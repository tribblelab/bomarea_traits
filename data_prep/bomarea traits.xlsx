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chiarasmythies/Desktop/bomarea_traits/data_prep/"/>
    </mc:Choice>
  </mc:AlternateContent>
  <xr:revisionPtr revIDLastSave="0" documentId="13_ncr:1_{D7C2D2D3-7FBF-2348-BBE8-4F2F2AAAF997}" xr6:coauthVersionLast="47" xr6:coauthVersionMax="47" xr10:uidLastSave="{00000000-0000-0000-0000-000000000000}"/>
  <bookViews>
    <workbookView xWindow="0" yWindow="780" windowWidth="34200" windowHeight="21360" xr2:uid="{00000000-000D-0000-FFFF-FFFF00000000}"/>
  </bookViews>
  <sheets>
    <sheet name="Main" sheetId="4" r:id="rId1"/>
    <sheet name="phylo_species" sheetId="3" r:id="rId2"/>
    <sheet name="hidden rows" sheetId="1" r:id="rId3"/>
  </sheets>
  <definedNames>
    <definedName name="_xlnm._FilterDatabase" localSheetId="2" hidden="1">'hidden rows'!$A$1:$CH$999</definedName>
    <definedName name="_xlnm._FilterDatabase" localSheetId="0" hidden="1">Main!$A$1:$CG$1047784</definedName>
    <definedName name="_xlnm._FilterDatabase" localSheetId="1" hidden="1">phylo_species!$A$1:$CE$193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16" i="1" l="1"/>
  <c r="AZ245" i="1"/>
  <c r="BE245" i="1"/>
  <c r="BD245" i="1"/>
  <c r="BB245" i="1"/>
  <c r="BA245" i="1"/>
  <c r="AQ245" i="1"/>
  <c r="AM245" i="1" s="1"/>
  <c r="AF245" i="1"/>
  <c r="AD245" i="1"/>
  <c r="V245" i="1"/>
  <c r="U245" i="1"/>
  <c r="S245" i="1"/>
  <c r="AH314" i="1"/>
  <c r="AG314" i="1"/>
  <c r="AF314" i="1"/>
  <c r="AB314" i="1" s="1"/>
  <c r="AE314" i="1"/>
  <c r="U314" i="1"/>
  <c r="Q314" i="1" s="1"/>
  <c r="T314" i="1"/>
  <c r="N314" i="1"/>
  <c r="M314" i="1"/>
  <c r="L314" i="1"/>
  <c r="K314" i="1"/>
  <c r="J314" i="1"/>
  <c r="I314" i="1"/>
  <c r="H314" i="1"/>
  <c r="F65" i="1"/>
  <c r="Q64" i="1"/>
  <c r="L64" i="1"/>
  <c r="F64" i="1"/>
  <c r="H64" i="1"/>
  <c r="AB63" i="1"/>
  <c r="Q63" i="1"/>
  <c r="F63" i="1"/>
  <c r="AY23" i="1"/>
  <c r="AM23" i="1"/>
  <c r="AB23" i="1"/>
  <c r="Q23" i="1"/>
  <c r="F23" i="1"/>
  <c r="Q22" i="1"/>
  <c r="F22" i="1"/>
  <c r="AY20" i="1"/>
  <c r="AM20" i="1"/>
  <c r="Q20" i="1"/>
  <c r="AY164" i="1"/>
  <c r="AM164" i="1"/>
  <c r="AB164" i="1"/>
  <c r="Q164" i="1"/>
  <c r="F164" i="1"/>
  <c r="AB163" i="1"/>
  <c r="Q163" i="1"/>
  <c r="F163" i="1"/>
  <c r="H79" i="1"/>
  <c r="F314" i="1" l="1"/>
  <c r="Q245" i="1"/>
  <c r="AX245" i="1"/>
  <c r="AB2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Chiara Smythies</author>
  </authors>
  <commentList>
    <comment ref="CG1" authorId="0" shapeId="0" xr:uid="{D068D81A-CA3C-B041-8F2B-CC86C7B949E9}">
      <text>
        <r>
          <rPr>
            <b/>
            <sz val="10"/>
            <color rgb="FF000000"/>
            <rFont val="Tahoma"/>
            <family val="2"/>
          </rPr>
          <t>Chiara Smythies: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this is the original number of flowers I counted but changed because not possible to have more branches than flowers. Changed also for branchier species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Chiara Smythies</author>
  </authors>
  <commentList>
    <comment ref="CG1" authorId="0" shapeId="0" xr:uid="{6493A828-EE9A-2A45-8505-364FFAFCE738}">
      <text>
        <r>
          <rPr>
            <b/>
            <sz val="10"/>
            <color rgb="FF000000"/>
            <rFont val="Tahoma"/>
            <family val="2"/>
          </rPr>
          <t>Chiara Smythies: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this is the original number of flowers I counted but changed because not possible to have more branches than flowers. Changed also for branchier species</t>
        </r>
      </text>
    </comment>
  </commentList>
</comments>
</file>

<file path=xl/sharedStrings.xml><?xml version="1.0" encoding="utf-8"?>
<sst xmlns="http://schemas.openxmlformats.org/spreadsheetml/2006/main" count="42950" uniqueCount="580">
  <si>
    <t>gbfID</t>
  </si>
  <si>
    <t>speciesName</t>
  </si>
  <si>
    <t>acceptedName</t>
  </si>
  <si>
    <t>numBracts</t>
  </si>
  <si>
    <t>numBranchP</t>
  </si>
  <si>
    <t>lengthTotal1</t>
  </si>
  <si>
    <t>numBranch1</t>
  </si>
  <si>
    <t>lengthSeg1_1</t>
  </si>
  <si>
    <t>lengthBranch1_1</t>
  </si>
  <si>
    <t>lengthSeg1_2</t>
  </si>
  <si>
    <t>lengthBranch1_2</t>
  </si>
  <si>
    <t>lengthSeg1_3</t>
  </si>
  <si>
    <t>lengthBranch1_3</t>
  </si>
  <si>
    <t>lengthSeg1_4</t>
  </si>
  <si>
    <t>lengthBranch1_4</t>
  </si>
  <si>
    <t>lengthSeg1_5</t>
  </si>
  <si>
    <t>lengthTotal2</t>
  </si>
  <si>
    <t>numBranch2</t>
  </si>
  <si>
    <t>lengthSeg2_1</t>
  </si>
  <si>
    <t>lengthBranch2_1</t>
  </si>
  <si>
    <t>lengthSeg2_2</t>
  </si>
  <si>
    <t>lengthBranch2_2</t>
  </si>
  <si>
    <t>lengthSeg2_3</t>
  </si>
  <si>
    <t>lengthBranch2_3</t>
  </si>
  <si>
    <t>lengthSeg2_4</t>
  </si>
  <si>
    <t>lengthBranch2_4</t>
  </si>
  <si>
    <t>lengthSeg2_5</t>
  </si>
  <si>
    <t>lengthTotal3</t>
  </si>
  <si>
    <t>numBranch3</t>
  </si>
  <si>
    <t>lengthSeg3_1</t>
  </si>
  <si>
    <t>lengthBranch3_1</t>
  </si>
  <si>
    <t>lengthSeg3_2</t>
  </si>
  <si>
    <t>lengthBranch3_2</t>
  </si>
  <si>
    <t>lengthSeg3_3</t>
  </si>
  <si>
    <t>lengthBranch3_3</t>
  </si>
  <si>
    <t>lengthSeg3_4</t>
  </si>
  <si>
    <t>lengthBranch3_4</t>
  </si>
  <si>
    <t>lengthSeg3_5</t>
  </si>
  <si>
    <t>lengthTotal4</t>
  </si>
  <si>
    <t>numBranch4</t>
  </si>
  <si>
    <t>lengthSeg4_1</t>
  </si>
  <si>
    <t>lengthBranch4_1</t>
  </si>
  <si>
    <t>lengthSeg4_2</t>
  </si>
  <si>
    <t>lengthBranch4_2</t>
  </si>
  <si>
    <t>lengthSeg4_3</t>
  </si>
  <si>
    <t>lengthBranch4_3</t>
  </si>
  <si>
    <t>lengthSeg4_4</t>
  </si>
  <si>
    <t>lengthBranch4_4</t>
  </si>
  <si>
    <t>lengthSeg4_5</t>
  </si>
  <si>
    <t>lengthTotal5</t>
  </si>
  <si>
    <t>numBranch5</t>
  </si>
  <si>
    <t>lengthSeg5_1</t>
  </si>
  <si>
    <t>lengthBranch5_1</t>
  </si>
  <si>
    <t>lengthSeg5_2</t>
  </si>
  <si>
    <t>lengthBranch5_2</t>
  </si>
  <si>
    <t>lengthSeg5_3</t>
  </si>
  <si>
    <t>lengthBranch5_3</t>
  </si>
  <si>
    <t>lengthSeg5_4</t>
  </si>
  <si>
    <t>lengthBranch5_4</t>
  </si>
  <si>
    <t>lengthSeg5_5</t>
  </si>
  <si>
    <t>Bracteoles</t>
  </si>
  <si>
    <t>ifFruiting</t>
  </si>
  <si>
    <t>matFruit</t>
  </si>
  <si>
    <t>ifFlowering</t>
  </si>
  <si>
    <t>matFlower</t>
  </si>
  <si>
    <t>allFlowersMat</t>
  </si>
  <si>
    <t>nectarGuides</t>
  </si>
  <si>
    <t>colorEETepal</t>
  </si>
  <si>
    <t>colorEITepal</t>
  </si>
  <si>
    <t>colorIETepal</t>
  </si>
  <si>
    <t>colorIITepal</t>
  </si>
  <si>
    <t>colorTepalP</t>
  </si>
  <si>
    <t>colorTepalS</t>
  </si>
  <si>
    <t>ifTepalLengthMatch</t>
  </si>
  <si>
    <t>ETepalLength</t>
  </si>
  <si>
    <t>ifExcerted</t>
  </si>
  <si>
    <t>Notes</t>
  </si>
  <si>
    <t>Source</t>
  </si>
  <si>
    <t>tree</t>
  </si>
  <si>
    <t>shape</t>
  </si>
  <si>
    <t>Bomarea acutifolia</t>
  </si>
  <si>
    <t>N/A</t>
  </si>
  <si>
    <t>N</t>
  </si>
  <si>
    <t>NA</t>
  </si>
  <si>
    <t>Y</t>
  </si>
  <si>
    <t>orange</t>
  </si>
  <si>
    <t>SI</t>
  </si>
  <si>
    <t>red</t>
  </si>
  <si>
    <t>red (?)</t>
  </si>
  <si>
    <t>orange with dark red dots</t>
  </si>
  <si>
    <t>orange?</t>
  </si>
  <si>
    <t>Shorter</t>
  </si>
  <si>
    <t>5th primary branch blocked by leaf</t>
  </si>
  <si>
    <t>F</t>
  </si>
  <si>
    <t>orange w/ yellow around upper center</t>
  </si>
  <si>
    <t>orange w/ yellow around upper center (?)</t>
  </si>
  <si>
    <t>half orange, half yellow</t>
  </si>
  <si>
    <t>yellow w/ purple spots</t>
  </si>
  <si>
    <t>yellow</t>
  </si>
  <si>
    <t>orange red</t>
  </si>
  <si>
    <t>Some bracts broken (uncountable)</t>
  </si>
  <si>
    <t>Bomarea albimontana</t>
  </si>
  <si>
    <t>leaves concealing bracts/most primary branches</t>
  </si>
  <si>
    <t>/</t>
  </si>
  <si>
    <t>Bomarea alstroemerioides</t>
  </si>
  <si>
    <t>2 specimens; other has more flowers, but can't be measured</t>
  </si>
  <si>
    <t>pink</t>
  </si>
  <si>
    <t>hard to differentiate lengths of inner and outer sepals</t>
  </si>
  <si>
    <t>Bomarea amazonica</t>
  </si>
  <si>
    <t>vermillion</t>
  </si>
  <si>
    <t>pale orange, dark spots</t>
  </si>
  <si>
    <t>Longer</t>
  </si>
  <si>
    <t>Most branches broken, only 2 able to measure</t>
  </si>
  <si>
    <t>dark red</t>
  </si>
  <si>
    <t>red spotted w/ black</t>
  </si>
  <si>
    <t>Bomarea amilcariana</t>
  </si>
  <si>
    <t>red?</t>
  </si>
  <si>
    <t>maybe excerted?</t>
  </si>
  <si>
    <t>no color info available</t>
  </si>
  <si>
    <t>Bomarea ampayesana</t>
  </si>
  <si>
    <t>red w/ yellow near base</t>
  </si>
  <si>
    <t>hard to see base. ampayesana is so BEAUTIFUL but so stressful</t>
  </si>
  <si>
    <t>bracts indistinguishable from leaves; some branches obsured by leaves</t>
  </si>
  <si>
    <t>M</t>
  </si>
  <si>
    <t>bracts indistinguishable from leaves; parts branches obsured by leaves</t>
  </si>
  <si>
    <t>H</t>
  </si>
  <si>
    <t>Bomarea anceps</t>
  </si>
  <si>
    <t>yellow base green apex</t>
  </si>
  <si>
    <t>yellow base, green apex, purple stripes</t>
  </si>
  <si>
    <t>green</t>
  </si>
  <si>
    <t>cant see all bracts</t>
  </si>
  <si>
    <t>Bomarea andimarcana</t>
  </si>
  <si>
    <t>specimen damaged; some est.</t>
  </si>
  <si>
    <t>red w/ green tips</t>
  </si>
  <si>
    <t>immature</t>
  </si>
  <si>
    <t>yellow-green</t>
  </si>
  <si>
    <t>hard to determine if natural end or broken branch</t>
  </si>
  <si>
    <t>pink w/ green tips</t>
  </si>
  <si>
    <t>yellow w/ green tip and black margin</t>
  </si>
  <si>
    <t xml:space="preserve">branches somewhat obscured </t>
  </si>
  <si>
    <t>Bomarea andreana</t>
  </si>
  <si>
    <t>orange w/ dark red patches</t>
  </si>
  <si>
    <t>Bomarea glaberrima</t>
  </si>
  <si>
    <t>Bomarea angulata</t>
  </si>
  <si>
    <t>"moco de shingo"</t>
  </si>
  <si>
    <t>bracts too small to count + many flowers broken off + 'grosellas?'</t>
  </si>
  <si>
    <t>Bomarea cuencensis</t>
  </si>
  <si>
    <t>bracts uncountable, no color info</t>
  </si>
  <si>
    <t>carmine w/ green tip</t>
  </si>
  <si>
    <t>yellow base, green, black tips (?)</t>
  </si>
  <si>
    <t>bracts uncountable, can't tell from bracteoles; some baby flowers at base?</t>
  </si>
  <si>
    <t>Bomarea isopetala</t>
  </si>
  <si>
    <t>red to cream</t>
  </si>
  <si>
    <t>yellow-green w/ black spots</t>
  </si>
  <si>
    <t>flowers in very bad shape</t>
  </si>
  <si>
    <t>Bomarea angustissima</t>
  </si>
  <si>
    <t>green, purple blotches</t>
  </si>
  <si>
    <t>many branches broken off; can't measure</t>
  </si>
  <si>
    <t>Bomarea aurantiaca</t>
  </si>
  <si>
    <t>too many bracts to count; branches estimate</t>
  </si>
  <si>
    <t>bracts uncountable</t>
  </si>
  <si>
    <t>some branches broken</t>
  </si>
  <si>
    <t>red orange</t>
  </si>
  <si>
    <t>Bomarea boliviensis</t>
  </si>
  <si>
    <t>bracts stripped</t>
  </si>
  <si>
    <t>yellow-orange</t>
  </si>
  <si>
    <t>Bomarea brachysepala</t>
  </si>
  <si>
    <t>black base, red, white tip</t>
  </si>
  <si>
    <t>red/black</t>
  </si>
  <si>
    <t>black</t>
  </si>
  <si>
    <t>yellow above, orange below</t>
  </si>
  <si>
    <t>dark blue</t>
  </si>
  <si>
    <t>blue</t>
  </si>
  <si>
    <t>no color info</t>
  </si>
  <si>
    <t>pale salmon</t>
  </si>
  <si>
    <t>red on bottom, gray/lavender upper</t>
  </si>
  <si>
    <t>gray</t>
  </si>
  <si>
    <t>Bomarea bredemeyeriana</t>
  </si>
  <si>
    <t>half yellow (base)/half red</t>
  </si>
  <si>
    <t>color notes/ and bracts unclear</t>
  </si>
  <si>
    <t>yellow and brown</t>
  </si>
  <si>
    <t>hard to distinguish between bracts and bracteoles</t>
  </si>
  <si>
    <t>deep yellow</t>
  </si>
  <si>
    <t>dull red above/dull orange-yellow below</t>
  </si>
  <si>
    <t>deep yellow w/ orange-red tip, brown-purple spots</t>
  </si>
  <si>
    <t>bracts est.</t>
  </si>
  <si>
    <t>Bomarea brevis</t>
  </si>
  <si>
    <t>fruits yellow</t>
  </si>
  <si>
    <t>red-orange</t>
  </si>
  <si>
    <t>red-orange w/ violet dots</t>
  </si>
  <si>
    <t>no bracts visible</t>
  </si>
  <si>
    <t>crimson</t>
  </si>
  <si>
    <t>Bomarea campylophylla</t>
  </si>
  <si>
    <t>orange-yellow w/ green tip</t>
  </si>
  <si>
    <t>orange-yellow, pale green at tip</t>
  </si>
  <si>
    <t>orange-yellow, pale green at tip w/ maroon spots</t>
  </si>
  <si>
    <t>some P branches broken</t>
  </si>
  <si>
    <t>yellow, green tip</t>
  </si>
  <si>
    <t>yellow w/ upper 1/4 green</t>
  </si>
  <si>
    <t>yellow w/ upper 1/4 green + dark blotches</t>
  </si>
  <si>
    <t>hard to tell if branches are broken or not</t>
  </si>
  <si>
    <t>some branches broken off</t>
  </si>
  <si>
    <t>Bomarea allenii</t>
  </si>
  <si>
    <t>Bomarea carderi</t>
  </si>
  <si>
    <t>All branches but 1 broken off. possibly broken at tip</t>
  </si>
  <si>
    <t>white</t>
  </si>
  <si>
    <t>light green</t>
  </si>
  <si>
    <t>light green w/ dark spots</t>
  </si>
  <si>
    <t>many branches broken</t>
  </si>
  <si>
    <t>Bomarea caucana</t>
  </si>
  <si>
    <t>greenish-red</t>
  </si>
  <si>
    <t>?</t>
  </si>
  <si>
    <t>green w/ brown spots</t>
  </si>
  <si>
    <t>Bomarea chaparensis</t>
  </si>
  <si>
    <t>some flowers broken off. no color info</t>
  </si>
  <si>
    <t>Bomarea chiriquina</t>
  </si>
  <si>
    <t>red-orange w/ purple spots</t>
  </si>
  <si>
    <t>broken apart flowers</t>
  </si>
  <si>
    <t>orange-red</t>
  </si>
  <si>
    <t>orange-red w/ purple</t>
  </si>
  <si>
    <t>pale orange</t>
  </si>
  <si>
    <t>yello purple spotted</t>
  </si>
  <si>
    <t>Bomarea coccinea</t>
  </si>
  <si>
    <t>erect fuzzy purple fruit</t>
  </si>
  <si>
    <t>orange-red w/ yellow-green apex</t>
  </si>
  <si>
    <t>yellow w/ green apex</t>
  </si>
  <si>
    <t>yellow w/ green apex maroon spots</t>
  </si>
  <si>
    <t>Fruits inflated, ridged, pink, fuzzy</t>
  </si>
  <si>
    <t>difficult to tell bracts vs bracteoles</t>
  </si>
  <si>
    <t>Bomarea colombiana</t>
  </si>
  <si>
    <t>wine-red</t>
  </si>
  <si>
    <t>red w/ yellow margin + green apex</t>
  </si>
  <si>
    <t>have</t>
  </si>
  <si>
    <t>Bomarea cornigera</t>
  </si>
  <si>
    <t>bracts broken off, one branch broken off</t>
  </si>
  <si>
    <t>Bomarea cornuta</t>
  </si>
  <si>
    <t>red w/ green tips and black spots</t>
  </si>
  <si>
    <t>many branches/flowers/all bracts broken off</t>
  </si>
  <si>
    <t>red-green</t>
  </si>
  <si>
    <t>scarlet</t>
  </si>
  <si>
    <t>scarlet w/ yellow mid tube</t>
  </si>
  <si>
    <t>Bomarea costaricensis</t>
  </si>
  <si>
    <t>red w/ yellow center</t>
  </si>
  <si>
    <t>red w/ yellow center + maroon spots</t>
  </si>
  <si>
    <t>flowers in different stages of maturity</t>
  </si>
  <si>
    <t>some bracts hidden</t>
  </si>
  <si>
    <t>Bomarea crassifolia</t>
  </si>
  <si>
    <t>bracts uncountable; can't tell from bracteoles</t>
  </si>
  <si>
    <t>yellow (?)</t>
  </si>
  <si>
    <t>light yellow</t>
  </si>
  <si>
    <t>Bomarea densiflora</t>
  </si>
  <si>
    <t>red fruits; to many bracts to count</t>
  </si>
  <si>
    <t>bracts uncountable; branches est</t>
  </si>
  <si>
    <t>Bomarea diffracta</t>
  </si>
  <si>
    <t>pink, spotted with brown-red. at apex green</t>
  </si>
  <si>
    <t>proximally pink, distally whitish-green, many brown spots</t>
  </si>
  <si>
    <t>proximally pink, distally whitish-green, many brown blotches</t>
  </si>
  <si>
    <t>many branches clipped</t>
  </si>
  <si>
    <t>no color info; some branches broken off</t>
  </si>
  <si>
    <t>orange and yellow</t>
  </si>
  <si>
    <t>base covered by leaf</t>
  </si>
  <si>
    <t>many branches/flowers broken off</t>
  </si>
  <si>
    <t>Bomarea dispar</t>
  </si>
  <si>
    <t>yellow green</t>
  </si>
  <si>
    <t>yellow green w/ dark red dots</t>
  </si>
  <si>
    <t>many branches broken or hidden</t>
  </si>
  <si>
    <t>Bomarea dissitifolia</t>
  </si>
  <si>
    <t>fruit, no flowers</t>
  </si>
  <si>
    <t>Bomarea distichifolia</t>
  </si>
  <si>
    <t>no visible bracts</t>
  </si>
  <si>
    <t>yellow orange</t>
  </si>
  <si>
    <t>dark reddish-orange</t>
  </si>
  <si>
    <t>bracs stripped</t>
  </si>
  <si>
    <t>yellow-ish red</t>
  </si>
  <si>
    <t>Bomarea distichophylla</t>
  </si>
  <si>
    <t>Bomarea dulcis</t>
  </si>
  <si>
    <t>pink, tip purple then green</t>
  </si>
  <si>
    <t>pink w/ green rib</t>
  </si>
  <si>
    <t>pink w/ green rib + purple spots</t>
  </si>
  <si>
    <t>end segments covered by bracteoles, unable to measure them/total branch length</t>
  </si>
  <si>
    <t>hard to determine which is primary branch</t>
  </si>
  <si>
    <t>Bomarea bakeriana</t>
  </si>
  <si>
    <t>Bomarea edulis</t>
  </si>
  <si>
    <t>no color info/bracts stripped</t>
  </si>
  <si>
    <t>Bomarea caraccensis</t>
  </si>
  <si>
    <t>yellow w/ red midvein, green tips, purple spots at tips</t>
  </si>
  <si>
    <t>yellow w/ red midvein, green tips, purple spots</t>
  </si>
  <si>
    <t>unsure if fruiting or petals just pulled off of some</t>
  </si>
  <si>
    <t>yellow w/ green tips</t>
  </si>
  <si>
    <t>yellow w/ green tips, maroon spots</t>
  </si>
  <si>
    <t>many branches snapped, cannot measure</t>
  </si>
  <si>
    <t>Bomarea hirtella</t>
  </si>
  <si>
    <t>Bomarea endotrachys</t>
  </si>
  <si>
    <t>violet fruit</t>
  </si>
  <si>
    <t>Bomarea sclerophylla</t>
  </si>
  <si>
    <t>no color info; black and white, hard todistinguish branches</t>
  </si>
  <si>
    <t>Bomarea formosissima</t>
  </si>
  <si>
    <t>orange w/ dark red spots</t>
  </si>
  <si>
    <t>bracts est; no color info</t>
  </si>
  <si>
    <t>orange-yellow</t>
  </si>
  <si>
    <t>orange-yellow w/ dark spots</t>
  </si>
  <si>
    <t>variation in nectar guide presence + outer color</t>
  </si>
  <si>
    <t>Bomarea glaucescens</t>
  </si>
  <si>
    <t>Bomarea goniocaulon</t>
  </si>
  <si>
    <t>rose</t>
  </si>
  <si>
    <t>salmon pink, green distally</t>
  </si>
  <si>
    <t>green. purple specks, yellow basally</t>
  </si>
  <si>
    <t>Bomarea graminifolia</t>
  </si>
  <si>
    <t>green above, maroon on throat</t>
  </si>
  <si>
    <t>Bomarea hieronymi</t>
  </si>
  <si>
    <t>stuff going on w/ the flowers. maybe revisit</t>
  </si>
  <si>
    <t>lower half red, upper half green</t>
  </si>
  <si>
    <t>inferior = lower or inner?</t>
  </si>
  <si>
    <t>yellow and red</t>
  </si>
  <si>
    <t>Bomarea caldasiana</t>
  </si>
  <si>
    <t>Bomarea hirsuta</t>
  </si>
  <si>
    <t>no color info (fruiting); v. villosa</t>
  </si>
  <si>
    <t>some flowers broken/hidden by bracts</t>
  </si>
  <si>
    <t>Bomarea huanuco</t>
  </si>
  <si>
    <t>Etepals longer than Itepals; no visible bracts</t>
  </si>
  <si>
    <t>Bomarea involucrosa</t>
  </si>
  <si>
    <t>green tips</t>
  </si>
  <si>
    <t>hard to distinguish branches/bracts from leaves</t>
  </si>
  <si>
    <t>Bomarea libertadensis</t>
  </si>
  <si>
    <t>many branches broken/hidden; bracts/branch count approx</t>
  </si>
  <si>
    <t>Bomarea linifolia</t>
  </si>
  <si>
    <t>yellow w/ red stripe</t>
  </si>
  <si>
    <t>yellow w/brown dots</t>
  </si>
  <si>
    <t>yellow w/ dark spots</t>
  </si>
  <si>
    <t>Bomarea lopezii</t>
  </si>
  <si>
    <t>many branch ends broken off</t>
  </si>
  <si>
    <t>bracts damaged, uncountable</t>
  </si>
  <si>
    <t>Bomarea angamarcana</t>
  </si>
  <si>
    <t>Bomarea lutea</t>
  </si>
  <si>
    <t>orange to yellow</t>
  </si>
  <si>
    <t>pale yellow</t>
  </si>
  <si>
    <t>bracts cannot be est; Pbranch count est</t>
  </si>
  <si>
    <t>Bomarea macrocephala</t>
  </si>
  <si>
    <t>bracts uncountable; branches est.</t>
  </si>
  <si>
    <t>yellow-pink</t>
  </si>
  <si>
    <t>bracts uncountable; many branches broken off</t>
  </si>
  <si>
    <t>Bomarea macusanii</t>
  </si>
  <si>
    <t>bracts/branches approx</t>
  </si>
  <si>
    <t>h</t>
  </si>
  <si>
    <t>Bomarea moritziana</t>
  </si>
  <si>
    <t>lower half red, upper half greenish</t>
  </si>
  <si>
    <t>lower half red, upper half greenish w/ purple spots</t>
  </si>
  <si>
    <t>branches broken, can't measure</t>
  </si>
  <si>
    <t>reddish pink w/ green tip</t>
  </si>
  <si>
    <t>yellow, pink-tinged, purple dots</t>
  </si>
  <si>
    <t>light yellow w/ purple dots</t>
  </si>
  <si>
    <t>green w/ black flecks</t>
  </si>
  <si>
    <t>Bomarea caldasii</t>
  </si>
  <si>
    <t>Bomarea multiflora</t>
  </si>
  <si>
    <t>Bomarea floribunda</t>
  </si>
  <si>
    <t>orange w/ violaceous-red spots</t>
  </si>
  <si>
    <t>bracts est; some branches look mature but may not have bracteoles?</t>
  </si>
  <si>
    <t>orange-red, green on tip</t>
  </si>
  <si>
    <t>orange-red, purple-dotted</t>
  </si>
  <si>
    <t>lots of bracts (uncountable), lots of branches (uncountable)</t>
  </si>
  <si>
    <t>yellow w/ maroon spots</t>
  </si>
  <si>
    <t>bracts estimate</t>
  </si>
  <si>
    <t>cream-pink w/ green tips</t>
  </si>
  <si>
    <t>bracts estimate; immature fruit or petals gone?</t>
  </si>
  <si>
    <t>Bomarea multipes</t>
  </si>
  <si>
    <t>Bomarea multiples</t>
  </si>
  <si>
    <t>green w/ black spots</t>
  </si>
  <si>
    <t>Bomarea nematocaulon</t>
  </si>
  <si>
    <t>branches hidden/broken, can't measure; Etepals longer than Itepals</t>
  </si>
  <si>
    <t>yellow-red</t>
  </si>
  <si>
    <t>yellow w/ purple blotches</t>
  </si>
  <si>
    <t>Etepals longer than Itepals</t>
  </si>
  <si>
    <t>Bomarea nervosa</t>
  </si>
  <si>
    <t>no flowers present, but described</t>
  </si>
  <si>
    <t>many branches broken; no color info; cannot tell inner vs. outer tepals</t>
  </si>
  <si>
    <t>Bomarea chontalensis</t>
  </si>
  <si>
    <t>Bomarea obovata</t>
  </si>
  <si>
    <t>pink + marked with purple(?)</t>
  </si>
  <si>
    <t>color somewhat unclear</t>
  </si>
  <si>
    <t>white w/ dark spots</t>
  </si>
  <si>
    <t>end of branch 2 + other branches broken</t>
  </si>
  <si>
    <t>branch 2 broken</t>
  </si>
  <si>
    <t>Bomarea ovallei</t>
  </si>
  <si>
    <t>no color info; VERY hard to distinguish branches</t>
  </si>
  <si>
    <t>K</t>
  </si>
  <si>
    <t>Bomarea amoena</t>
  </si>
  <si>
    <t>Bomarea ovata</t>
  </si>
  <si>
    <t>yellow/green</t>
  </si>
  <si>
    <t>appear pink but not written color info</t>
  </si>
  <si>
    <t>yellow and green</t>
  </si>
  <si>
    <t>yellow and green w/ markings</t>
  </si>
  <si>
    <t>pinkish-red w/ green tips</t>
  </si>
  <si>
    <t xml:space="preserve">pinkish-red </t>
  </si>
  <si>
    <t>pinkish-red w/black dots</t>
  </si>
  <si>
    <t>red w/ maroon spots</t>
  </si>
  <si>
    <t>green w/ purple dots, red midrib</t>
  </si>
  <si>
    <t>green w/ purple dots</t>
  </si>
  <si>
    <t>4th branch broken</t>
  </si>
  <si>
    <t>Bomarea subsessilis</t>
  </si>
  <si>
    <t>rose to light red or purple</t>
  </si>
  <si>
    <t>yellow w/ red veins and green tip</t>
  </si>
  <si>
    <t>yellow w/ red veins and green tip and brown spots</t>
  </si>
  <si>
    <t>Bomarea tomentosa</t>
  </si>
  <si>
    <t>green and red w/ purple tips</t>
  </si>
  <si>
    <t>orange w/ reddish tip</t>
  </si>
  <si>
    <t>orange w/ yellowish tip</t>
  </si>
  <si>
    <t>Bomarea pardina</t>
  </si>
  <si>
    <t>white w/ red spots</t>
  </si>
  <si>
    <t>most branches /bracts broken off; count/measure est; tepals shorter</t>
  </si>
  <si>
    <t>branches/bracts broken off to show structure of select branches</t>
  </si>
  <si>
    <t>cerise</t>
  </si>
  <si>
    <t>white spotted w/ purple</t>
  </si>
  <si>
    <t>branches hard to see/ some broken off</t>
  </si>
  <si>
    <t>Bomarea patacocensis</t>
  </si>
  <si>
    <t>orange tinged with red</t>
  </si>
  <si>
    <t>orange tinged with red, chocolate flecked</t>
  </si>
  <si>
    <t>some branches snapped</t>
  </si>
  <si>
    <t>orange-red/pale yellow</t>
  </si>
  <si>
    <t>orange-red/pale yellow w/ violet dots</t>
  </si>
  <si>
    <t>some branches/bracts broken off</t>
  </si>
  <si>
    <t>yellow flushed w/ red</t>
  </si>
  <si>
    <t>yellow flushed w/ red on exposed parts</t>
  </si>
  <si>
    <t>yellow flushed w/ red on exposed parts w/ brown dots</t>
  </si>
  <si>
    <t>yellow w/ orange tip</t>
  </si>
  <si>
    <t>yellow w/ orange tip and brown dots</t>
  </si>
  <si>
    <t>too many bracts to count, hard to distinguish from bracteoles; branches est</t>
  </si>
  <si>
    <t>Bomarea patinii</t>
  </si>
  <si>
    <t>lots of bracts (uncountable), also lots of branches so 38 is approx</t>
  </si>
  <si>
    <t>Etepals shorter</t>
  </si>
  <si>
    <t>dull red</t>
  </si>
  <si>
    <t>bracts uncountable, branches est; Etepals shorter</t>
  </si>
  <si>
    <t>many bracts stripped</t>
  </si>
  <si>
    <t>Bomarea angustipetala</t>
  </si>
  <si>
    <t>Bomarea pauciflora</t>
  </si>
  <si>
    <t>yellow/red</t>
  </si>
  <si>
    <t>yellow with dark spots</t>
  </si>
  <si>
    <t>red to yellow</t>
  </si>
  <si>
    <t>yellow w/ red central keel</t>
  </si>
  <si>
    <t>salmon orange</t>
  </si>
  <si>
    <t>yellow w/ purple dots on upper half, green tip, red line down center</t>
  </si>
  <si>
    <t>Bomarea hispida</t>
  </si>
  <si>
    <t>dots scattered/many branches broken</t>
  </si>
  <si>
    <t>yellow w/ red line on upper half, green tip</t>
  </si>
  <si>
    <t>yellow w/ purple lines on upper half, green tip</t>
  </si>
  <si>
    <t>midrib colors; many branches broken/covered and unmeasurable</t>
  </si>
  <si>
    <t>Bomarea peruviana</t>
  </si>
  <si>
    <t>Bomarea porrecta</t>
  </si>
  <si>
    <t>salmon-red</t>
  </si>
  <si>
    <t>yellow w/ greenish tip and dark spots</t>
  </si>
  <si>
    <t>w/^; mis ids?</t>
  </si>
  <si>
    <t>yellow-greenish</t>
  </si>
  <si>
    <t>yellow-greenish w/ dark spots</t>
  </si>
  <si>
    <t>hard to see branch details</t>
  </si>
  <si>
    <t>Bomarea pumila</t>
  </si>
  <si>
    <t>yellow w/ orange-green tips</t>
  </si>
  <si>
    <t>no inflorescence??</t>
  </si>
  <si>
    <t>Bomarea puracensis</t>
  </si>
  <si>
    <t>yellow w/ red midrib</t>
  </si>
  <si>
    <t>red w/ dark spots</t>
  </si>
  <si>
    <t>reddish yellow</t>
  </si>
  <si>
    <t>reddish yellow w/ red dots</t>
  </si>
  <si>
    <t>hard to distinguish bracteoles from bracts</t>
  </si>
  <si>
    <t>Bomarea purpurea</t>
  </si>
  <si>
    <t>yellowish orange w/ purple tips</t>
  </si>
  <si>
    <t>bracts est., fruit white turning dark</t>
  </si>
  <si>
    <t>Bomarea rosea</t>
  </si>
  <si>
    <t>many bracts broken or obscured, fruit dark purple</t>
  </si>
  <si>
    <t>fruits greenish-purple</t>
  </si>
  <si>
    <t>bracts est</t>
  </si>
  <si>
    <t>Bomarea salsilla</t>
  </si>
  <si>
    <t>most branches covered</t>
  </si>
  <si>
    <t>red w/ blue-black spots</t>
  </si>
  <si>
    <t>dark pink</t>
  </si>
  <si>
    <t>dark pink shading to purple towards base</t>
  </si>
  <si>
    <t>purple</t>
  </si>
  <si>
    <t>Bomarea secundifolia</t>
  </si>
  <si>
    <t>yellow w/ yellow-green tip</t>
  </si>
  <si>
    <t>Bomarea setacea</t>
  </si>
  <si>
    <t>red/red orange</t>
  </si>
  <si>
    <t>fruits dark pink</t>
  </si>
  <si>
    <t>orange w/ brown spots</t>
  </si>
  <si>
    <t>Bomarea killipii</t>
  </si>
  <si>
    <t>Bomarea speciosa</t>
  </si>
  <si>
    <t>pink w/ darkish tip</t>
  </si>
  <si>
    <t>white, green towards summit, pink-ribbed</t>
  </si>
  <si>
    <t>white w/ green edges, purple blotches</t>
  </si>
  <si>
    <t>bracts broken off/most branches snapped off</t>
  </si>
  <si>
    <t>pink w/ green tips w/ dark purple spots</t>
  </si>
  <si>
    <t>many bracts/branches broken off or unclear</t>
  </si>
  <si>
    <t>Bomarea suberecta</t>
  </si>
  <si>
    <t>not flowering, no flower color info</t>
  </si>
  <si>
    <t>not flowering; no color info</t>
  </si>
  <si>
    <t>Bomarea superba</t>
  </si>
  <si>
    <t>bracts uncountable; no color info</t>
  </si>
  <si>
    <t>Bomarea tarmensis</t>
  </si>
  <si>
    <t>yellow w/ green tip</t>
  </si>
  <si>
    <t>branches clustered tightly; bracts and Pbranches est</t>
  </si>
  <si>
    <t>white base, green apex</t>
  </si>
  <si>
    <t>red w/ green stripes</t>
  </si>
  <si>
    <t>bracts stripped, uncountable</t>
  </si>
  <si>
    <t>Bomarea cumbrensis</t>
  </si>
  <si>
    <t>Bomarea torta</t>
  </si>
  <si>
    <t>bracts/branches est; maybe wrong id</t>
  </si>
  <si>
    <t>nectar guides unclear</t>
  </si>
  <si>
    <t>some branches snapped off</t>
  </si>
  <si>
    <t>Bomarea tribrachiata</t>
  </si>
  <si>
    <t>some branches hidden or snapped</t>
  </si>
  <si>
    <t>many branches snapped off or concealed</t>
  </si>
  <si>
    <t>Bomarea trichophylla</t>
  </si>
  <si>
    <t>paler pink</t>
  </si>
  <si>
    <t>yellow w/ green apex, purple spots</t>
  </si>
  <si>
    <t>Bomarea uncifolia</t>
  </si>
  <si>
    <t>pale green tip</t>
  </si>
  <si>
    <t>yellowish at margins of claw, rose in center, pale green upper</t>
  </si>
  <si>
    <t>yellowish at margins of claw, rose in center, pale green upper w/ purple spots</t>
  </si>
  <si>
    <t>flowers snapped off branch or branch concealed</t>
  </si>
  <si>
    <t>Bomarea vargasii</t>
  </si>
  <si>
    <t>rose-orange</t>
  </si>
  <si>
    <t>interesting architecture where 1 pbranch has no secondary branches but other does. maybe just due to time of collection?</t>
  </si>
  <si>
    <t>nectar guide presence unclear</t>
  </si>
  <si>
    <t>Bomarea velascoana</t>
  </si>
  <si>
    <t>bracts/flowers extremely unclear; est. No color info</t>
  </si>
  <si>
    <t>Bomarea vestita</t>
  </si>
  <si>
    <t>Bomarea hazenii</t>
  </si>
  <si>
    <t>Bomarea vitellina</t>
  </si>
  <si>
    <t>orange-yellow tinted red</t>
  </si>
  <si>
    <t>dark orange</t>
  </si>
  <si>
    <t>Bomarea weigendii</t>
  </si>
  <si>
    <t>red green lip</t>
  </si>
  <si>
    <t>Bomarea torquifes</t>
  </si>
  <si>
    <t>black and white; some branches snapped off</t>
  </si>
  <si>
    <t>3500-4600</t>
  </si>
  <si>
    <t>15-40</t>
  </si>
  <si>
    <t>numFlowers_1</t>
  </si>
  <si>
    <t>numFlowers_2</t>
  </si>
  <si>
    <t>numFlowers_3</t>
  </si>
  <si>
    <t>modified_maxFlower</t>
  </si>
  <si>
    <t>COL471931</t>
  </si>
  <si>
    <t>Bomarea euryantha</t>
  </si>
  <si>
    <t>COL592316</t>
  </si>
  <si>
    <t>UNAL</t>
  </si>
  <si>
    <t>Bomarea andean type</t>
  </si>
  <si>
    <t>5434 (P4022924)</t>
  </si>
  <si>
    <t>5434 (P4022925)</t>
  </si>
  <si>
    <t>6859 (P4022926)</t>
  </si>
  <si>
    <t>12595 (P4022935)</t>
  </si>
  <si>
    <t>12518 (P4022909)</t>
  </si>
  <si>
    <t>Bomarea catarata soga</t>
  </si>
  <si>
    <t>12530 (P4022913)</t>
  </si>
  <si>
    <t>12539 (P4022915)</t>
  </si>
  <si>
    <t>Bomarea Elfin_red_green</t>
  </si>
  <si>
    <t>5867 (P4022937)</t>
  </si>
  <si>
    <t>5867 (P4022938)</t>
  </si>
  <si>
    <t>)</t>
  </si>
  <si>
    <t>6654 (P4022870)</t>
  </si>
  <si>
    <t>6654 (P4022871)</t>
  </si>
  <si>
    <t>Bomarea_Ponillal_soga</t>
  </si>
  <si>
    <t>6822 (P4022903)</t>
  </si>
  <si>
    <t>6825 (P4022878)</t>
  </si>
  <si>
    <t>Bomarea_Ponillal_spiral</t>
  </si>
  <si>
    <t>6825 (P4022880)</t>
  </si>
  <si>
    <t>Bomarea euryphylla</t>
  </si>
  <si>
    <t>Bomarea sp oso</t>
  </si>
  <si>
    <t>Bomarea ponillalsoya</t>
  </si>
  <si>
    <t>12511 (P4022893)</t>
  </si>
  <si>
    <t>branches somewhat obscured</t>
  </si>
  <si>
    <t>Bomarea bredemeyerana</t>
  </si>
  <si>
    <t>MOBOT208041</t>
  </si>
  <si>
    <t>MOBOT1005316</t>
  </si>
  <si>
    <t>MOBOT2469081</t>
  </si>
  <si>
    <t>MOBOT2939749</t>
  </si>
  <si>
    <t>MOBOT2994103</t>
  </si>
  <si>
    <t>MOBOT2994458</t>
  </si>
  <si>
    <t>MOBOT04858296</t>
  </si>
  <si>
    <t>MOBOT04858297</t>
  </si>
  <si>
    <t>MOBOT5696314</t>
  </si>
  <si>
    <t>MOBOT3615474</t>
  </si>
  <si>
    <t>MOBOT</t>
  </si>
  <si>
    <t>B100365832</t>
  </si>
  <si>
    <t>U0026192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</si>
</sst>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Roboto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FF00"/>
        <bgColor rgb="FFFCE5CD"/>
      </patternFill>
    </fill>
    <fill>
      <patternFill patternType="solid">
        <fgColor rgb="FFFFFF00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left" wrapText="1"/>
    </xf>
    <xf numFmtId="0" fontId="2" fillId="6" borderId="0" xfId="0" applyFont="1" applyFill="1"/>
    <xf numFmtId="0" fontId="5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0" fillId="6" borderId="0" xfId="0" applyFill="1"/>
    <xf numFmtId="0" fontId="2" fillId="9" borderId="0" xfId="0" applyFont="1" applyFill="1"/>
    <xf numFmtId="0" fontId="2" fillId="0" borderId="0" xfId="0" applyFont="1" applyFill="1"/>
    <xf numFmtId="0" fontId="0" fillId="0" borderId="0" xfId="0" applyFill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58328-E890-F442-AC31-508B3CB5BD2B}">
  <dimension ref="A1:XFD222"/>
  <sheetViews>
    <sheetView tabSelected="1" workbookViewId="0">
      <pane ySplit="1" topLeftCell="A187" activePane="bottomLeft" state="frozen"/>
      <selection pane="bottomLeft" activeCell="CG40" sqref="CG40"/>
    </sheetView>
  </sheetViews>
  <sheetFormatPr baseColWidth="10" defaultRowHeight="13" x14ac:dyDescent="0.15"/>
  <cols>
    <col min="1" max="1" width="15.1640625" customWidth="1"/>
    <col min="2" max="2" width="18.83203125" customWidth="1"/>
    <col min="3" max="3" width="18.6640625" customWidth="1"/>
  </cols>
  <sheetData>
    <row r="1" spans="1:87" ht="33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/>
      <c r="CB1" s="1" t="s">
        <v>78</v>
      </c>
      <c r="CC1" s="1" t="s">
        <v>79</v>
      </c>
      <c r="CD1" s="1" t="s">
        <v>533</v>
      </c>
      <c r="CE1" s="1" t="s">
        <v>534</v>
      </c>
      <c r="CF1" s="10" t="s">
        <v>535</v>
      </c>
      <c r="CG1" s="1" t="s">
        <v>536</v>
      </c>
      <c r="CH1" s="1"/>
      <c r="CI1" s="2"/>
    </row>
    <row r="2" spans="1:87" ht="15.75" customHeight="1" x14ac:dyDescent="0.15">
      <c r="A2" s="3">
        <v>1228384138</v>
      </c>
      <c r="B2" s="3" t="s">
        <v>101</v>
      </c>
      <c r="C2" s="3" t="s">
        <v>101</v>
      </c>
      <c r="D2" s="3" t="s">
        <v>81</v>
      </c>
      <c r="E2" s="3">
        <v>8</v>
      </c>
      <c r="F2" s="3">
        <v>8.2949999999999999</v>
      </c>
      <c r="G2" s="3">
        <v>0</v>
      </c>
      <c r="H2" s="3" t="s">
        <v>81</v>
      </c>
      <c r="I2" s="3" t="s">
        <v>81</v>
      </c>
      <c r="J2" s="3" t="s">
        <v>81</v>
      </c>
      <c r="K2" s="3" t="s">
        <v>81</v>
      </c>
      <c r="L2" s="3" t="s">
        <v>81</v>
      </c>
      <c r="M2" s="3" t="s">
        <v>81</v>
      </c>
      <c r="N2" s="3" t="s">
        <v>81</v>
      </c>
      <c r="O2" s="3" t="s">
        <v>81</v>
      </c>
      <c r="P2" s="3" t="s">
        <v>81</v>
      </c>
      <c r="Q2" s="3">
        <v>8.9830000000000005</v>
      </c>
      <c r="R2" s="3">
        <v>0</v>
      </c>
      <c r="S2" s="3" t="s">
        <v>81</v>
      </c>
      <c r="T2" s="3" t="s">
        <v>81</v>
      </c>
      <c r="U2" s="3" t="s">
        <v>81</v>
      </c>
      <c r="V2" s="3" t="s">
        <v>81</v>
      </c>
      <c r="W2" s="3" t="s">
        <v>81</v>
      </c>
      <c r="X2" s="3" t="s">
        <v>81</v>
      </c>
      <c r="Y2" s="3" t="s">
        <v>81</v>
      </c>
      <c r="Z2" s="3" t="s">
        <v>81</v>
      </c>
      <c r="AA2" s="3" t="s">
        <v>81</v>
      </c>
      <c r="AB2" s="3">
        <v>7.0430000000000001</v>
      </c>
      <c r="AC2" s="3">
        <v>0</v>
      </c>
      <c r="AD2" s="3" t="s">
        <v>81</v>
      </c>
      <c r="AE2" s="3" t="s">
        <v>81</v>
      </c>
      <c r="AF2" s="3" t="s">
        <v>81</v>
      </c>
      <c r="AG2" s="3" t="s">
        <v>81</v>
      </c>
      <c r="AH2" s="3" t="s">
        <v>81</v>
      </c>
      <c r="AI2" s="3" t="s">
        <v>81</v>
      </c>
      <c r="AJ2" s="3" t="s">
        <v>81</v>
      </c>
      <c r="AK2" s="3" t="s">
        <v>81</v>
      </c>
      <c r="AL2" s="3" t="s">
        <v>81</v>
      </c>
      <c r="AM2" s="3" t="s">
        <v>81</v>
      </c>
      <c r="AN2" s="3" t="s">
        <v>81</v>
      </c>
      <c r="AO2" s="3" t="s">
        <v>81</v>
      </c>
      <c r="AP2" s="3" t="s">
        <v>81</v>
      </c>
      <c r="AQ2" s="3" t="s">
        <v>81</v>
      </c>
      <c r="AR2" s="3" t="s">
        <v>81</v>
      </c>
      <c r="AS2" s="3" t="s">
        <v>81</v>
      </c>
      <c r="AT2" s="3" t="s">
        <v>81</v>
      </c>
      <c r="AU2" s="3" t="s">
        <v>81</v>
      </c>
      <c r="AV2" s="3" t="s">
        <v>81</v>
      </c>
      <c r="AW2" s="3" t="s">
        <v>81</v>
      </c>
      <c r="AX2" s="3" t="s">
        <v>81</v>
      </c>
      <c r="AY2" s="3" t="s">
        <v>81</v>
      </c>
      <c r="AZ2" s="3" t="s">
        <v>81</v>
      </c>
      <c r="BA2" s="3" t="s">
        <v>81</v>
      </c>
      <c r="BB2" s="3" t="s">
        <v>81</v>
      </c>
      <c r="BC2" s="3" t="s">
        <v>81</v>
      </c>
      <c r="BD2" s="3" t="s">
        <v>81</v>
      </c>
      <c r="BE2" s="3" t="s">
        <v>81</v>
      </c>
      <c r="BF2" s="3" t="s">
        <v>81</v>
      </c>
      <c r="BG2" s="3" t="s">
        <v>81</v>
      </c>
      <c r="BH2" s="3" t="s">
        <v>81</v>
      </c>
      <c r="BI2" s="3" t="s">
        <v>82</v>
      </c>
      <c r="BJ2" s="3" t="s">
        <v>82</v>
      </c>
      <c r="BK2" s="3" t="s">
        <v>83</v>
      </c>
      <c r="BL2" s="3" t="s">
        <v>84</v>
      </c>
      <c r="BM2" s="3" t="s">
        <v>84</v>
      </c>
      <c r="BN2" s="3" t="s">
        <v>84</v>
      </c>
      <c r="BO2" s="3" t="s">
        <v>82</v>
      </c>
      <c r="BP2" s="3" t="s">
        <v>87</v>
      </c>
      <c r="BQ2" s="3" t="s">
        <v>87</v>
      </c>
      <c r="BR2" s="3" t="s">
        <v>87</v>
      </c>
      <c r="BS2" s="3" t="s">
        <v>87</v>
      </c>
      <c r="BT2" s="3" t="s">
        <v>87</v>
      </c>
      <c r="BU2" s="3" t="s">
        <v>81</v>
      </c>
      <c r="BV2" s="3" t="s">
        <v>84</v>
      </c>
      <c r="BW2" s="3" t="s">
        <v>83</v>
      </c>
      <c r="BX2" s="3" t="s">
        <v>82</v>
      </c>
      <c r="BY2" s="3" t="s">
        <v>102</v>
      </c>
      <c r="BZ2" s="3" t="s">
        <v>93</v>
      </c>
      <c r="CA2" s="3" t="s">
        <v>103</v>
      </c>
      <c r="CB2" s="3" t="s">
        <v>84</v>
      </c>
      <c r="CC2" s="3"/>
      <c r="CD2" s="3">
        <v>3</v>
      </c>
      <c r="CE2" s="3">
        <v>8</v>
      </c>
      <c r="CF2" s="3"/>
      <c r="CG2" s="3"/>
      <c r="CH2" s="3"/>
      <c r="CI2" s="3"/>
    </row>
    <row r="3" spans="1:87" ht="15.75" customHeight="1" x14ac:dyDescent="0.15">
      <c r="A3" s="3">
        <v>1228607592</v>
      </c>
      <c r="B3" s="3" t="s">
        <v>104</v>
      </c>
      <c r="C3" s="3" t="s">
        <v>104</v>
      </c>
      <c r="D3" s="3">
        <v>2</v>
      </c>
      <c r="E3" s="3">
        <v>4</v>
      </c>
      <c r="F3" s="3">
        <v>28.545999999999999</v>
      </c>
      <c r="G3" s="3">
        <v>0</v>
      </c>
      <c r="H3" s="3" t="s">
        <v>81</v>
      </c>
      <c r="I3" s="3" t="s">
        <v>81</v>
      </c>
      <c r="J3" s="3" t="s">
        <v>81</v>
      </c>
      <c r="K3" s="3" t="s">
        <v>81</v>
      </c>
      <c r="L3" s="3" t="s">
        <v>81</v>
      </c>
      <c r="M3" s="3" t="s">
        <v>81</v>
      </c>
      <c r="N3" s="3" t="s">
        <v>81</v>
      </c>
      <c r="O3" s="3" t="s">
        <v>81</v>
      </c>
      <c r="P3" s="3" t="s">
        <v>81</v>
      </c>
      <c r="Q3" s="3">
        <v>31.123000000000001</v>
      </c>
      <c r="R3" s="3">
        <v>0</v>
      </c>
      <c r="S3" s="3" t="s">
        <v>81</v>
      </c>
      <c r="T3" s="3" t="s">
        <v>81</v>
      </c>
      <c r="U3" s="3" t="s">
        <v>81</v>
      </c>
      <c r="V3" s="3" t="s">
        <v>81</v>
      </c>
      <c r="W3" s="3" t="s">
        <v>81</v>
      </c>
      <c r="X3" s="3" t="s">
        <v>81</v>
      </c>
      <c r="Y3" s="3" t="s">
        <v>81</v>
      </c>
      <c r="Z3" s="3" t="s">
        <v>81</v>
      </c>
      <c r="AA3" s="3" t="s">
        <v>81</v>
      </c>
      <c r="AB3" s="3">
        <v>29.957999999999998</v>
      </c>
      <c r="AC3" s="3">
        <v>0</v>
      </c>
      <c r="AD3" s="3" t="s">
        <v>81</v>
      </c>
      <c r="AE3" s="3" t="s">
        <v>81</v>
      </c>
      <c r="AF3" s="3" t="s">
        <v>81</v>
      </c>
      <c r="AG3" s="3" t="s">
        <v>81</v>
      </c>
      <c r="AH3" s="3" t="s">
        <v>81</v>
      </c>
      <c r="AI3" s="3" t="s">
        <v>81</v>
      </c>
      <c r="AJ3" s="3" t="s">
        <v>81</v>
      </c>
      <c r="AK3" s="3" t="s">
        <v>81</v>
      </c>
      <c r="AL3" s="3" t="s">
        <v>81</v>
      </c>
      <c r="AM3" s="3" t="s">
        <v>81</v>
      </c>
      <c r="AN3" s="3" t="s">
        <v>81</v>
      </c>
      <c r="AO3" s="3" t="s">
        <v>81</v>
      </c>
      <c r="AP3" s="3" t="s">
        <v>81</v>
      </c>
      <c r="AQ3" s="3" t="s">
        <v>81</v>
      </c>
      <c r="AR3" s="3" t="s">
        <v>81</v>
      </c>
      <c r="AS3" s="3" t="s">
        <v>81</v>
      </c>
      <c r="AT3" s="3" t="s">
        <v>81</v>
      </c>
      <c r="AU3" s="3" t="s">
        <v>81</v>
      </c>
      <c r="AV3" s="3" t="s">
        <v>81</v>
      </c>
      <c r="AW3" s="3" t="s">
        <v>81</v>
      </c>
      <c r="AX3" s="3" t="s">
        <v>81</v>
      </c>
      <c r="AY3" s="3" t="s">
        <v>81</v>
      </c>
      <c r="AZ3" s="3" t="s">
        <v>81</v>
      </c>
      <c r="BA3" s="3" t="s">
        <v>81</v>
      </c>
      <c r="BB3" s="3" t="s">
        <v>81</v>
      </c>
      <c r="BC3" s="3" t="s">
        <v>81</v>
      </c>
      <c r="BD3" s="3" t="s">
        <v>81</v>
      </c>
      <c r="BE3" s="3" t="s">
        <v>81</v>
      </c>
      <c r="BF3" s="3" t="s">
        <v>81</v>
      </c>
      <c r="BG3" s="3" t="s">
        <v>81</v>
      </c>
      <c r="BH3" s="3" t="s">
        <v>81</v>
      </c>
      <c r="BI3" s="3" t="s">
        <v>82</v>
      </c>
      <c r="BJ3" s="3" t="s">
        <v>82</v>
      </c>
      <c r="BK3" s="3" t="s">
        <v>83</v>
      </c>
      <c r="BL3" s="3" t="s">
        <v>84</v>
      </c>
      <c r="BM3" s="3" t="s">
        <v>84</v>
      </c>
      <c r="BN3" s="3" t="s">
        <v>84</v>
      </c>
      <c r="BO3" s="3" t="s">
        <v>84</v>
      </c>
      <c r="BP3" s="3" t="s">
        <v>87</v>
      </c>
      <c r="BQ3" s="3" t="s">
        <v>87</v>
      </c>
      <c r="BR3" s="3" t="s">
        <v>87</v>
      </c>
      <c r="BS3" s="3" t="s">
        <v>87</v>
      </c>
      <c r="BT3" s="3" t="s">
        <v>87</v>
      </c>
      <c r="BU3" s="3" t="s">
        <v>81</v>
      </c>
      <c r="BV3" s="3" t="s">
        <v>84</v>
      </c>
      <c r="BW3" s="3" t="s">
        <v>83</v>
      </c>
      <c r="BX3" s="3" t="s">
        <v>82</v>
      </c>
      <c r="BY3" s="3" t="s">
        <v>105</v>
      </c>
      <c r="BZ3" s="3" t="s">
        <v>93</v>
      </c>
      <c r="CA3" s="3" t="s">
        <v>103</v>
      </c>
      <c r="CB3" s="3" t="s">
        <v>84</v>
      </c>
      <c r="CC3" s="3"/>
      <c r="CD3" s="3">
        <v>4</v>
      </c>
      <c r="CE3" s="3">
        <v>7</v>
      </c>
      <c r="CF3" s="17"/>
      <c r="CG3" s="17"/>
      <c r="CH3" s="17"/>
      <c r="CI3" s="18"/>
    </row>
    <row r="4" spans="1:87" ht="15.75" customHeight="1" x14ac:dyDescent="0.15">
      <c r="A4" s="3">
        <v>1318340552</v>
      </c>
      <c r="B4" s="3" t="s">
        <v>104</v>
      </c>
      <c r="C4" s="3" t="s">
        <v>104</v>
      </c>
      <c r="D4" s="3">
        <v>3</v>
      </c>
      <c r="E4" s="3">
        <v>3</v>
      </c>
      <c r="F4" s="3">
        <v>33.643000000000001</v>
      </c>
      <c r="G4" s="3">
        <v>2</v>
      </c>
      <c r="H4" s="3">
        <v>20.204000000000001</v>
      </c>
      <c r="I4" s="3">
        <v>10.728</v>
      </c>
      <c r="J4" s="3">
        <v>10.231999999999999</v>
      </c>
      <c r="K4" s="3">
        <v>10.291</v>
      </c>
      <c r="L4" s="3">
        <v>1.556</v>
      </c>
      <c r="M4" s="3" t="s">
        <v>81</v>
      </c>
      <c r="N4" s="3" t="s">
        <v>81</v>
      </c>
      <c r="O4" s="3" t="s">
        <v>81</v>
      </c>
      <c r="P4" s="3" t="s">
        <v>81</v>
      </c>
      <c r="Q4" s="3">
        <v>35.966000000000001</v>
      </c>
      <c r="R4" s="3">
        <v>2</v>
      </c>
      <c r="S4" s="3">
        <v>22.931000000000001</v>
      </c>
      <c r="T4" s="3">
        <v>14.654</v>
      </c>
      <c r="U4" s="3">
        <v>11.795999999999999</v>
      </c>
      <c r="V4" s="3">
        <v>13.039</v>
      </c>
      <c r="W4" s="3">
        <v>1.0640000000000001</v>
      </c>
      <c r="X4" s="3" t="s">
        <v>81</v>
      </c>
      <c r="Y4" s="3" t="s">
        <v>81</v>
      </c>
      <c r="Z4" s="3" t="s">
        <v>81</v>
      </c>
      <c r="AA4" s="3" t="s">
        <v>81</v>
      </c>
      <c r="AB4" s="3">
        <v>18.452000000000002</v>
      </c>
      <c r="AC4" s="3">
        <v>1</v>
      </c>
      <c r="AD4" s="3">
        <v>16.271000000000001</v>
      </c>
      <c r="AE4" s="3">
        <v>11.247999999999999</v>
      </c>
      <c r="AF4" s="3">
        <v>1.6359999999999999</v>
      </c>
      <c r="AG4" s="3" t="s">
        <v>81</v>
      </c>
      <c r="AH4" s="3" t="s">
        <v>81</v>
      </c>
      <c r="AI4" s="3" t="s">
        <v>81</v>
      </c>
      <c r="AJ4" s="3" t="s">
        <v>81</v>
      </c>
      <c r="AK4" s="3" t="s">
        <v>81</v>
      </c>
      <c r="AL4" s="3" t="s">
        <v>81</v>
      </c>
      <c r="AM4" s="3" t="s">
        <v>81</v>
      </c>
      <c r="AN4" s="3" t="s">
        <v>81</v>
      </c>
      <c r="AO4" s="3" t="s">
        <v>81</v>
      </c>
      <c r="AP4" s="3" t="s">
        <v>81</v>
      </c>
      <c r="AQ4" s="3" t="s">
        <v>81</v>
      </c>
      <c r="AR4" s="3" t="s">
        <v>81</v>
      </c>
      <c r="AS4" s="3" t="s">
        <v>81</v>
      </c>
      <c r="AT4" s="3" t="s">
        <v>81</v>
      </c>
      <c r="AU4" s="3" t="s">
        <v>81</v>
      </c>
      <c r="AV4" s="3" t="s">
        <v>81</v>
      </c>
      <c r="AW4" s="3" t="s">
        <v>81</v>
      </c>
      <c r="AX4" s="3" t="s">
        <v>81</v>
      </c>
      <c r="AY4" s="3" t="s">
        <v>81</v>
      </c>
      <c r="AZ4" s="3" t="s">
        <v>81</v>
      </c>
      <c r="BA4" s="3" t="s">
        <v>81</v>
      </c>
      <c r="BB4" s="3" t="s">
        <v>81</v>
      </c>
      <c r="BC4" s="3" t="s">
        <v>81</v>
      </c>
      <c r="BD4" s="3" t="s">
        <v>81</v>
      </c>
      <c r="BE4" s="3" t="s">
        <v>81</v>
      </c>
      <c r="BF4" s="3" t="s">
        <v>81</v>
      </c>
      <c r="BG4" s="3" t="s">
        <v>81</v>
      </c>
      <c r="BH4" s="3" t="s">
        <v>81</v>
      </c>
      <c r="BI4" s="3" t="s">
        <v>84</v>
      </c>
      <c r="BJ4" s="3" t="s">
        <v>84</v>
      </c>
      <c r="BK4" s="3" t="s">
        <v>82</v>
      </c>
      <c r="BL4" s="3" t="s">
        <v>84</v>
      </c>
      <c r="BM4" s="3" t="s">
        <v>84</v>
      </c>
      <c r="BN4" s="3" t="s">
        <v>82</v>
      </c>
      <c r="BO4" s="3" t="s">
        <v>84</v>
      </c>
      <c r="BP4" s="3" t="s">
        <v>106</v>
      </c>
      <c r="BQ4" s="3" t="s">
        <v>106</v>
      </c>
      <c r="BR4" s="3" t="s">
        <v>106</v>
      </c>
      <c r="BS4" s="3" t="s">
        <v>106</v>
      </c>
      <c r="BT4" s="3" t="s">
        <v>106</v>
      </c>
      <c r="BU4" s="3" t="s">
        <v>81</v>
      </c>
      <c r="BV4" s="3" t="s">
        <v>84</v>
      </c>
      <c r="BW4" s="3" t="s">
        <v>83</v>
      </c>
      <c r="BX4" s="3" t="s">
        <v>82</v>
      </c>
      <c r="BY4" s="3" t="s">
        <v>107</v>
      </c>
      <c r="BZ4" s="3" t="s">
        <v>86</v>
      </c>
      <c r="CB4" s="3" t="s">
        <v>84</v>
      </c>
      <c r="CD4" s="3">
        <v>2</v>
      </c>
      <c r="CE4">
        <v>6</v>
      </c>
      <c r="CF4" s="18"/>
      <c r="CG4" s="18"/>
      <c r="CH4" s="18"/>
      <c r="CI4" s="17"/>
    </row>
    <row r="5" spans="1:87" ht="15.75" customHeight="1" x14ac:dyDescent="0.15">
      <c r="A5" s="3">
        <v>1228626221</v>
      </c>
      <c r="B5" s="3" t="s">
        <v>115</v>
      </c>
      <c r="C5" s="3" t="s">
        <v>115</v>
      </c>
      <c r="D5" s="3">
        <v>4</v>
      </c>
      <c r="E5" s="3">
        <v>6</v>
      </c>
      <c r="F5" s="3">
        <v>48.377000000000002</v>
      </c>
      <c r="G5" s="3">
        <v>1</v>
      </c>
      <c r="H5" s="3">
        <v>31.984999999999999</v>
      </c>
      <c r="I5" s="3">
        <v>26.481999999999999</v>
      </c>
      <c r="J5" s="3">
        <v>15.906000000000001</v>
      </c>
      <c r="K5" s="3" t="s">
        <v>81</v>
      </c>
      <c r="L5" s="3" t="s">
        <v>81</v>
      </c>
      <c r="M5" s="3" t="s">
        <v>81</v>
      </c>
      <c r="N5" s="3" t="s">
        <v>81</v>
      </c>
      <c r="O5" s="3" t="s">
        <v>81</v>
      </c>
      <c r="P5" s="3" t="s">
        <v>81</v>
      </c>
      <c r="Q5" s="3">
        <v>53.752000000000002</v>
      </c>
      <c r="R5" s="3">
        <v>1</v>
      </c>
      <c r="S5" s="3">
        <v>37.651000000000003</v>
      </c>
      <c r="T5" s="3">
        <v>19.358000000000001</v>
      </c>
      <c r="U5" s="3">
        <v>14.372999999999999</v>
      </c>
      <c r="V5" s="3" t="s">
        <v>81</v>
      </c>
      <c r="W5" s="3" t="s">
        <v>81</v>
      </c>
      <c r="X5" s="3" t="s">
        <v>81</v>
      </c>
      <c r="Y5" s="3" t="s">
        <v>81</v>
      </c>
      <c r="Z5" s="3" t="s">
        <v>81</v>
      </c>
      <c r="AA5" s="3" t="s">
        <v>81</v>
      </c>
      <c r="AB5" s="3">
        <v>51.744</v>
      </c>
      <c r="AC5" s="3">
        <v>1</v>
      </c>
      <c r="AD5" s="3">
        <v>34.661000000000001</v>
      </c>
      <c r="AE5" s="3">
        <v>21.236000000000001</v>
      </c>
      <c r="AF5" s="3">
        <v>16.356000000000002</v>
      </c>
      <c r="AG5" s="3" t="s">
        <v>81</v>
      </c>
      <c r="AH5" s="3" t="s">
        <v>81</v>
      </c>
      <c r="AI5" s="3" t="s">
        <v>81</v>
      </c>
      <c r="AJ5" s="3" t="s">
        <v>81</v>
      </c>
      <c r="AK5" s="3" t="s">
        <v>81</v>
      </c>
      <c r="AL5" s="3" t="s">
        <v>81</v>
      </c>
      <c r="AM5" s="3">
        <v>51.066000000000003</v>
      </c>
      <c r="AN5" s="3">
        <v>1</v>
      </c>
      <c r="AO5" s="3">
        <v>35.551000000000002</v>
      </c>
      <c r="AP5" s="3">
        <v>26.120999999999999</v>
      </c>
      <c r="AQ5" s="3">
        <v>15.005000000000001</v>
      </c>
      <c r="AR5" s="3" t="s">
        <v>81</v>
      </c>
      <c r="AS5" s="3" t="s">
        <v>81</v>
      </c>
      <c r="AT5" s="3" t="s">
        <v>81</v>
      </c>
      <c r="AU5" s="3" t="s">
        <v>81</v>
      </c>
      <c r="AV5" s="3" t="s">
        <v>81</v>
      </c>
      <c r="AW5" s="3" t="s">
        <v>81</v>
      </c>
      <c r="AX5" s="3">
        <v>48.744</v>
      </c>
      <c r="AY5" s="3">
        <v>1</v>
      </c>
      <c r="AZ5" s="3">
        <v>33.899000000000001</v>
      </c>
      <c r="BA5" s="3">
        <v>20.468</v>
      </c>
      <c r="BB5" s="3">
        <v>15.371</v>
      </c>
      <c r="BC5" s="3" t="s">
        <v>81</v>
      </c>
      <c r="BD5" s="3" t="s">
        <v>81</v>
      </c>
      <c r="BE5" s="3" t="s">
        <v>81</v>
      </c>
      <c r="BF5" s="3" t="s">
        <v>81</v>
      </c>
      <c r="BG5" s="3" t="s">
        <v>81</v>
      </c>
      <c r="BH5" s="3" t="s">
        <v>81</v>
      </c>
      <c r="BI5" s="3" t="s">
        <v>84</v>
      </c>
      <c r="BJ5" s="3" t="s">
        <v>82</v>
      </c>
      <c r="BK5" s="3" t="s">
        <v>83</v>
      </c>
      <c r="BL5" s="3" t="s">
        <v>84</v>
      </c>
      <c r="BM5" s="3" t="s">
        <v>84</v>
      </c>
      <c r="BN5" s="3" t="s">
        <v>82</v>
      </c>
      <c r="BO5" s="3" t="s">
        <v>82</v>
      </c>
      <c r="BP5" s="3" t="s">
        <v>87</v>
      </c>
      <c r="BQ5" s="3" t="s">
        <v>87</v>
      </c>
      <c r="BR5" s="3" t="s">
        <v>116</v>
      </c>
      <c r="BS5" s="3" t="s">
        <v>116</v>
      </c>
      <c r="BT5" s="3" t="s">
        <v>87</v>
      </c>
      <c r="BU5" s="3" t="s">
        <v>81</v>
      </c>
      <c r="BV5" s="3" t="s">
        <v>84</v>
      </c>
      <c r="BW5" s="3" t="s">
        <v>83</v>
      </c>
      <c r="BX5" s="3" t="s">
        <v>82</v>
      </c>
      <c r="BY5" s="3"/>
      <c r="BZ5" s="3" t="s">
        <v>93</v>
      </c>
      <c r="CA5" s="3"/>
      <c r="CB5" s="3" t="s">
        <v>84</v>
      </c>
      <c r="CC5" s="3"/>
      <c r="CD5" s="3">
        <v>12</v>
      </c>
      <c r="CE5" s="3"/>
      <c r="CF5" s="17"/>
      <c r="CG5" s="17"/>
      <c r="CH5" s="17"/>
      <c r="CI5" s="18"/>
    </row>
    <row r="6" spans="1:87" ht="15.75" customHeight="1" x14ac:dyDescent="0.15">
      <c r="A6" s="3">
        <v>1322214876</v>
      </c>
      <c r="B6" s="3" t="s">
        <v>115</v>
      </c>
      <c r="C6" s="3" t="s">
        <v>115</v>
      </c>
      <c r="D6" s="3">
        <v>9</v>
      </c>
      <c r="E6" s="3">
        <v>12</v>
      </c>
      <c r="F6" s="3">
        <v>62.137</v>
      </c>
      <c r="G6" s="3">
        <v>1</v>
      </c>
      <c r="H6" s="3">
        <v>28.681999999999999</v>
      </c>
      <c r="I6" s="3">
        <v>12.845000000000001</v>
      </c>
      <c r="J6" s="3">
        <v>31.195</v>
      </c>
      <c r="K6" s="3" t="s">
        <v>81</v>
      </c>
      <c r="L6" s="3" t="s">
        <v>81</v>
      </c>
      <c r="M6" s="3" t="s">
        <v>81</v>
      </c>
      <c r="N6" s="3" t="s">
        <v>81</v>
      </c>
      <c r="O6" s="3" t="s">
        <v>81</v>
      </c>
      <c r="P6" s="3" t="s">
        <v>81</v>
      </c>
      <c r="Q6" s="3">
        <v>54.701999999999998</v>
      </c>
      <c r="R6" s="3">
        <v>1</v>
      </c>
      <c r="S6" s="3">
        <v>31.045000000000002</v>
      </c>
      <c r="T6" s="3">
        <v>16.052</v>
      </c>
      <c r="U6" s="3">
        <v>24.516999999999999</v>
      </c>
      <c r="V6" s="3" t="s">
        <v>81</v>
      </c>
      <c r="W6" s="3" t="s">
        <v>81</v>
      </c>
      <c r="X6" s="3" t="s">
        <v>81</v>
      </c>
      <c r="Y6" s="3" t="s">
        <v>81</v>
      </c>
      <c r="Z6" s="3" t="s">
        <v>81</v>
      </c>
      <c r="AA6" s="3" t="s">
        <v>81</v>
      </c>
      <c r="AB6" s="3">
        <v>60.423000000000002</v>
      </c>
      <c r="AC6" s="3">
        <v>1</v>
      </c>
      <c r="AD6" s="3">
        <v>21.734999999999999</v>
      </c>
      <c r="AE6" s="3">
        <v>22.015999999999998</v>
      </c>
      <c r="AF6" s="3">
        <v>37.728000000000002</v>
      </c>
      <c r="AG6" s="3" t="s">
        <v>81</v>
      </c>
      <c r="AH6" s="3" t="s">
        <v>81</v>
      </c>
      <c r="AI6" s="3" t="s">
        <v>81</v>
      </c>
      <c r="AJ6" s="3" t="s">
        <v>81</v>
      </c>
      <c r="AK6" s="3" t="s">
        <v>81</v>
      </c>
      <c r="AL6" s="3" t="s">
        <v>81</v>
      </c>
      <c r="AM6" s="3">
        <v>73.206999999999994</v>
      </c>
      <c r="AN6" s="3">
        <v>1</v>
      </c>
      <c r="AO6" s="3">
        <v>38.521999999999998</v>
      </c>
      <c r="AP6" s="3">
        <v>17.445</v>
      </c>
      <c r="AQ6" s="3">
        <v>33.674999999999997</v>
      </c>
      <c r="AR6" s="3" t="s">
        <v>81</v>
      </c>
      <c r="AS6" s="3" t="s">
        <v>81</v>
      </c>
      <c r="AT6" s="3" t="s">
        <v>81</v>
      </c>
      <c r="AU6" s="3" t="s">
        <v>81</v>
      </c>
      <c r="AV6" s="3" t="s">
        <v>81</v>
      </c>
      <c r="AW6" s="3" t="s">
        <v>81</v>
      </c>
      <c r="AX6" s="3">
        <v>59.534999999999997</v>
      </c>
      <c r="AY6" s="3">
        <v>1</v>
      </c>
      <c r="AZ6" s="3">
        <v>23.308</v>
      </c>
      <c r="BA6" s="3">
        <v>14.945</v>
      </c>
      <c r="BB6" s="3">
        <v>35</v>
      </c>
      <c r="BC6" s="3" t="s">
        <v>81</v>
      </c>
      <c r="BD6" s="3" t="s">
        <v>81</v>
      </c>
      <c r="BE6" s="3" t="s">
        <v>81</v>
      </c>
      <c r="BF6" s="3" t="s">
        <v>81</v>
      </c>
      <c r="BG6" s="3" t="s">
        <v>81</v>
      </c>
      <c r="BH6" s="3" t="s">
        <v>81</v>
      </c>
      <c r="BI6" s="3" t="s">
        <v>84</v>
      </c>
      <c r="BJ6" s="3" t="s">
        <v>84</v>
      </c>
      <c r="BK6" s="3" t="s">
        <v>82</v>
      </c>
      <c r="BL6" s="3" t="s">
        <v>84</v>
      </c>
      <c r="BM6" s="3" t="s">
        <v>84</v>
      </c>
      <c r="BN6" s="3" t="s">
        <v>82</v>
      </c>
      <c r="BO6" s="3" t="s">
        <v>82</v>
      </c>
      <c r="BP6" s="3" t="s">
        <v>87</v>
      </c>
      <c r="BQ6" s="3" t="s">
        <v>87</v>
      </c>
      <c r="BR6" s="3" t="s">
        <v>87</v>
      </c>
      <c r="BS6" s="3" t="s">
        <v>87</v>
      </c>
      <c r="BT6" s="3" t="s">
        <v>87</v>
      </c>
      <c r="BU6" s="3" t="s">
        <v>81</v>
      </c>
      <c r="BV6" s="3" t="s">
        <v>82</v>
      </c>
      <c r="BW6" s="3" t="s">
        <v>91</v>
      </c>
      <c r="BX6" s="3" t="s">
        <v>82</v>
      </c>
      <c r="BY6" s="3" t="s">
        <v>117</v>
      </c>
      <c r="BZ6" s="3" t="s">
        <v>86</v>
      </c>
      <c r="CB6" s="3" t="s">
        <v>84</v>
      </c>
      <c r="CD6" s="3">
        <v>22</v>
      </c>
      <c r="CF6" s="18"/>
      <c r="CG6" s="18"/>
      <c r="CH6" s="18"/>
      <c r="CI6" s="18"/>
    </row>
    <row r="7" spans="1:87" ht="15.75" customHeight="1" x14ac:dyDescent="0.15">
      <c r="A7" s="3">
        <v>1322106996</v>
      </c>
      <c r="B7" s="3" t="s">
        <v>115</v>
      </c>
      <c r="C7" s="3" t="s">
        <v>115</v>
      </c>
      <c r="D7" s="3">
        <v>6</v>
      </c>
      <c r="E7" s="3">
        <v>6</v>
      </c>
      <c r="F7" s="3">
        <v>79.078000000000003</v>
      </c>
      <c r="G7" s="3">
        <v>3</v>
      </c>
      <c r="H7" s="3">
        <v>45.631</v>
      </c>
      <c r="I7" s="3">
        <v>10.773999999999999</v>
      </c>
      <c r="J7" s="3">
        <v>24.167000000000002</v>
      </c>
      <c r="K7" s="3">
        <v>8.8439999999999994</v>
      </c>
      <c r="L7" s="3">
        <v>8.6739999999999995</v>
      </c>
      <c r="M7" s="3">
        <v>3.21</v>
      </c>
      <c r="N7" s="3">
        <v>0.55600000000000005</v>
      </c>
      <c r="O7" s="3" t="s">
        <v>81</v>
      </c>
      <c r="P7" s="3" t="s">
        <v>81</v>
      </c>
      <c r="Q7" s="3">
        <v>85.031999999999996</v>
      </c>
      <c r="R7" s="3">
        <v>3</v>
      </c>
      <c r="S7" s="3">
        <v>48.540999999999997</v>
      </c>
      <c r="T7" s="3">
        <v>10.220000000000001</v>
      </c>
      <c r="U7" s="3">
        <v>25.748999999999999</v>
      </c>
      <c r="V7" s="3">
        <v>7.87</v>
      </c>
      <c r="W7" s="3">
        <v>8.3610000000000007</v>
      </c>
      <c r="X7" s="3">
        <v>2.536</v>
      </c>
      <c r="Y7" s="3">
        <v>0.28299999999999997</v>
      </c>
      <c r="Z7" s="3" t="s">
        <v>81</v>
      </c>
      <c r="AA7" s="3" t="s">
        <v>81</v>
      </c>
      <c r="AB7" s="3">
        <v>79.010000000000005</v>
      </c>
      <c r="AC7" s="3">
        <v>3</v>
      </c>
      <c r="AD7" s="3">
        <v>36.112000000000002</v>
      </c>
      <c r="AE7" s="3">
        <v>17.102</v>
      </c>
      <c r="AF7" s="3">
        <v>29.859000000000002</v>
      </c>
      <c r="AG7" s="3">
        <v>7.8490000000000002</v>
      </c>
      <c r="AH7" s="3">
        <v>9.7379999999999995</v>
      </c>
      <c r="AI7" s="3">
        <v>3.7269999999999999</v>
      </c>
      <c r="AJ7" s="3">
        <v>0.68100000000000005</v>
      </c>
      <c r="AK7" s="3" t="s">
        <v>81</v>
      </c>
      <c r="AL7" s="3" t="s">
        <v>81</v>
      </c>
      <c r="AM7" s="3">
        <v>76.721999999999994</v>
      </c>
      <c r="AN7" s="3">
        <v>3</v>
      </c>
      <c r="AO7" s="3">
        <v>39.387999999999998</v>
      </c>
      <c r="AP7" s="3">
        <v>12.388999999999999</v>
      </c>
      <c r="AQ7" s="3">
        <v>26.748000000000001</v>
      </c>
      <c r="AR7" s="3" t="s">
        <v>81</v>
      </c>
      <c r="AS7" s="3">
        <v>7.8280000000000003</v>
      </c>
      <c r="AT7" s="3">
        <v>3.22</v>
      </c>
      <c r="AU7" s="3">
        <v>1.2270000000000001</v>
      </c>
      <c r="AV7" s="3" t="s">
        <v>81</v>
      </c>
      <c r="AW7" s="3" t="s">
        <v>81</v>
      </c>
      <c r="AX7" s="3">
        <v>75.385000000000005</v>
      </c>
      <c r="AY7" s="3">
        <v>3</v>
      </c>
      <c r="AZ7" s="3">
        <v>39.162999999999997</v>
      </c>
      <c r="BA7" s="3" t="s">
        <v>81</v>
      </c>
      <c r="BB7" s="3">
        <v>27.356999999999999</v>
      </c>
      <c r="BC7" s="3">
        <v>7.8280000000000003</v>
      </c>
      <c r="BD7" s="3">
        <v>6.6159999999999997</v>
      </c>
      <c r="BE7" s="3">
        <v>2.8780000000000001</v>
      </c>
      <c r="BF7" s="3">
        <v>0.625</v>
      </c>
      <c r="BG7" s="3" t="s">
        <v>81</v>
      </c>
      <c r="BH7" s="3" t="s">
        <v>81</v>
      </c>
      <c r="BI7" s="3" t="s">
        <v>84</v>
      </c>
      <c r="BJ7" s="3" t="s">
        <v>84</v>
      </c>
      <c r="BK7" s="3" t="s">
        <v>82</v>
      </c>
      <c r="BL7" s="3" t="s">
        <v>84</v>
      </c>
      <c r="BM7" s="3" t="s">
        <v>84</v>
      </c>
      <c r="BN7" s="3" t="s">
        <v>82</v>
      </c>
      <c r="BO7" s="3" t="s">
        <v>83</v>
      </c>
      <c r="BP7" s="3" t="s">
        <v>81</v>
      </c>
      <c r="BQ7" s="3" t="s">
        <v>81</v>
      </c>
      <c r="BR7" s="3" t="s">
        <v>81</v>
      </c>
      <c r="BS7" s="3" t="s">
        <v>81</v>
      </c>
      <c r="BT7" s="3" t="s">
        <v>81</v>
      </c>
      <c r="BU7" s="3" t="s">
        <v>81</v>
      </c>
      <c r="BV7" s="3" t="s">
        <v>82</v>
      </c>
      <c r="BW7" s="3" t="s">
        <v>91</v>
      </c>
      <c r="BX7" s="3" t="s">
        <v>82</v>
      </c>
      <c r="BY7" s="3" t="s">
        <v>118</v>
      </c>
      <c r="BZ7" s="3" t="s">
        <v>86</v>
      </c>
      <c r="CB7" s="3" t="s">
        <v>84</v>
      </c>
      <c r="CD7" s="3">
        <v>16</v>
      </c>
      <c r="CF7" s="18"/>
      <c r="CG7" s="18"/>
      <c r="CH7" s="18"/>
      <c r="CI7" s="17"/>
    </row>
    <row r="8" spans="1:87" ht="15.75" customHeight="1" x14ac:dyDescent="0.15">
      <c r="A8" s="3">
        <v>1322745819</v>
      </c>
      <c r="B8" s="3" t="s">
        <v>119</v>
      </c>
      <c r="C8" s="3" t="s">
        <v>119</v>
      </c>
      <c r="D8" s="3" t="s">
        <v>81</v>
      </c>
      <c r="E8" s="3">
        <v>4</v>
      </c>
      <c r="F8" s="3">
        <v>31.943999999999999</v>
      </c>
      <c r="G8" s="3">
        <v>1</v>
      </c>
      <c r="H8" s="3">
        <v>7.69</v>
      </c>
      <c r="I8" s="3">
        <v>22.986000000000001</v>
      </c>
      <c r="J8" s="3">
        <v>23.966999999999999</v>
      </c>
      <c r="K8" s="3" t="s">
        <v>81</v>
      </c>
      <c r="L8" s="3" t="s">
        <v>81</v>
      </c>
      <c r="M8" s="3" t="s">
        <v>81</v>
      </c>
      <c r="N8" s="3" t="s">
        <v>81</v>
      </c>
      <c r="O8" s="3" t="s">
        <v>81</v>
      </c>
      <c r="P8" s="3" t="s">
        <v>81</v>
      </c>
      <c r="Q8" s="3">
        <v>34.668999999999997</v>
      </c>
      <c r="R8" s="3">
        <v>1</v>
      </c>
      <c r="S8" s="3">
        <v>4.3390000000000004</v>
      </c>
      <c r="T8" s="3">
        <v>28.806999999999999</v>
      </c>
      <c r="U8" s="3">
        <v>29.423999999999999</v>
      </c>
      <c r="V8" s="3" t="s">
        <v>81</v>
      </c>
      <c r="W8" s="3" t="s">
        <v>81</v>
      </c>
      <c r="X8" s="3" t="s">
        <v>81</v>
      </c>
      <c r="Y8" s="3" t="s">
        <v>81</v>
      </c>
      <c r="Z8" s="3" t="s">
        <v>81</v>
      </c>
      <c r="AA8" s="3" t="s">
        <v>81</v>
      </c>
      <c r="AB8" s="3" t="s">
        <v>81</v>
      </c>
      <c r="AC8" s="3" t="s">
        <v>81</v>
      </c>
      <c r="AD8" s="3" t="s">
        <v>81</v>
      </c>
      <c r="AE8" s="3" t="s">
        <v>81</v>
      </c>
      <c r="AF8" s="3" t="s">
        <v>81</v>
      </c>
      <c r="AG8" s="3" t="s">
        <v>81</v>
      </c>
      <c r="AH8" s="3" t="s">
        <v>81</v>
      </c>
      <c r="AI8" s="3" t="s">
        <v>81</v>
      </c>
      <c r="AJ8" s="3" t="s">
        <v>81</v>
      </c>
      <c r="AK8" s="3" t="s">
        <v>81</v>
      </c>
      <c r="AL8" s="3" t="s">
        <v>81</v>
      </c>
      <c r="AM8" s="3" t="s">
        <v>81</v>
      </c>
      <c r="AN8" s="3" t="s">
        <v>81</v>
      </c>
      <c r="AO8" s="3" t="s">
        <v>81</v>
      </c>
      <c r="AP8" s="3" t="s">
        <v>81</v>
      </c>
      <c r="AQ8" s="3" t="s">
        <v>81</v>
      </c>
      <c r="AR8" s="3" t="s">
        <v>81</v>
      </c>
      <c r="AS8" s="3" t="s">
        <v>81</v>
      </c>
      <c r="AT8" s="3" t="s">
        <v>81</v>
      </c>
      <c r="AU8" s="3" t="s">
        <v>81</v>
      </c>
      <c r="AV8" s="3" t="s">
        <v>81</v>
      </c>
      <c r="AW8" s="3" t="s">
        <v>81</v>
      </c>
      <c r="AX8" s="3" t="s">
        <v>81</v>
      </c>
      <c r="AY8" s="3" t="s">
        <v>81</v>
      </c>
      <c r="AZ8" s="3" t="s">
        <v>81</v>
      </c>
      <c r="BA8" s="3" t="s">
        <v>81</v>
      </c>
      <c r="BB8" s="3" t="s">
        <v>81</v>
      </c>
      <c r="BC8" s="3" t="s">
        <v>81</v>
      </c>
      <c r="BD8" s="3" t="s">
        <v>81</v>
      </c>
      <c r="BE8" s="3" t="s">
        <v>81</v>
      </c>
      <c r="BF8" s="3" t="s">
        <v>81</v>
      </c>
      <c r="BG8" s="3" t="s">
        <v>81</v>
      </c>
      <c r="BH8" s="3" t="s">
        <v>81</v>
      </c>
      <c r="BI8" s="3" t="s">
        <v>84</v>
      </c>
      <c r="BJ8" s="3" t="s">
        <v>82</v>
      </c>
      <c r="BK8" s="3" t="s">
        <v>83</v>
      </c>
      <c r="BL8" s="3" t="s">
        <v>84</v>
      </c>
      <c r="BM8" s="3" t="s">
        <v>84</v>
      </c>
      <c r="BN8" s="3" t="s">
        <v>82</v>
      </c>
      <c r="BO8" s="3" t="s">
        <v>82</v>
      </c>
      <c r="BP8" s="3" t="s">
        <v>120</v>
      </c>
      <c r="BQ8" s="3" t="s">
        <v>120</v>
      </c>
      <c r="BR8" s="3" t="s">
        <v>120</v>
      </c>
      <c r="BS8" s="3" t="s">
        <v>120</v>
      </c>
      <c r="BT8" s="3" t="s">
        <v>87</v>
      </c>
      <c r="BU8" s="3" t="s">
        <v>98</v>
      </c>
      <c r="BV8" s="3" t="s">
        <v>82</v>
      </c>
      <c r="BW8" s="3" t="s">
        <v>91</v>
      </c>
      <c r="BX8" s="3" t="s">
        <v>84</v>
      </c>
      <c r="BY8" s="3" t="s">
        <v>121</v>
      </c>
      <c r="BZ8" s="3" t="s">
        <v>86</v>
      </c>
      <c r="CA8" s="3"/>
      <c r="CB8" s="3" t="s">
        <v>84</v>
      </c>
      <c r="CC8" s="3"/>
      <c r="CD8" s="3">
        <v>9</v>
      </c>
      <c r="CE8" s="3"/>
      <c r="CF8" s="17"/>
      <c r="CG8" s="17"/>
      <c r="CH8" s="17"/>
      <c r="CI8" s="18"/>
    </row>
    <row r="9" spans="1:87" ht="15.75" customHeight="1" x14ac:dyDescent="0.15">
      <c r="A9" s="3">
        <v>1260871688</v>
      </c>
      <c r="B9" s="3" t="s">
        <v>119</v>
      </c>
      <c r="C9" s="3" t="s">
        <v>119</v>
      </c>
      <c r="D9" s="3" t="s">
        <v>81</v>
      </c>
      <c r="E9" s="3">
        <v>4</v>
      </c>
      <c r="F9" s="3">
        <v>32.353999999999999</v>
      </c>
      <c r="G9" s="3">
        <v>1</v>
      </c>
      <c r="H9" s="3">
        <v>8.5</v>
      </c>
      <c r="I9" s="3">
        <v>23.721</v>
      </c>
      <c r="J9" s="3">
        <v>23.149000000000001</v>
      </c>
      <c r="K9" s="3" t="s">
        <v>81</v>
      </c>
      <c r="L9" s="3" t="s">
        <v>81</v>
      </c>
      <c r="M9" s="3" t="s">
        <v>81</v>
      </c>
      <c r="N9" s="3" t="s">
        <v>81</v>
      </c>
      <c r="O9" s="3" t="s">
        <v>81</v>
      </c>
      <c r="P9" s="3" t="s">
        <v>81</v>
      </c>
      <c r="Q9" s="3">
        <v>31.899000000000001</v>
      </c>
      <c r="R9" s="3">
        <v>1</v>
      </c>
      <c r="S9" s="3">
        <v>8.0839999999999996</v>
      </c>
      <c r="T9" s="3">
        <v>25.077000000000002</v>
      </c>
      <c r="U9" s="3">
        <v>24.356999999999999</v>
      </c>
      <c r="V9" s="3" t="s">
        <v>81</v>
      </c>
      <c r="W9" s="3" t="s">
        <v>81</v>
      </c>
      <c r="X9" s="3" t="s">
        <v>81</v>
      </c>
      <c r="Y9" s="3" t="s">
        <v>81</v>
      </c>
      <c r="Z9" s="3" t="s">
        <v>81</v>
      </c>
      <c r="AA9" s="3" t="s">
        <v>81</v>
      </c>
      <c r="AB9" s="3">
        <v>35.051000000000002</v>
      </c>
      <c r="AC9" s="3">
        <v>1</v>
      </c>
      <c r="AD9" s="3">
        <v>11.766999999999999</v>
      </c>
      <c r="AE9" s="3" t="s">
        <v>81</v>
      </c>
      <c r="AF9" s="3">
        <v>23.617000000000001</v>
      </c>
      <c r="AG9" s="3" t="s">
        <v>81</v>
      </c>
      <c r="AH9" s="3" t="s">
        <v>81</v>
      </c>
      <c r="AI9" s="3" t="s">
        <v>81</v>
      </c>
      <c r="AJ9" s="3" t="s">
        <v>81</v>
      </c>
      <c r="AK9" s="3" t="s">
        <v>81</v>
      </c>
      <c r="AL9" s="3" t="s">
        <v>81</v>
      </c>
      <c r="AM9" s="3" t="s">
        <v>81</v>
      </c>
      <c r="AN9" s="3">
        <v>1</v>
      </c>
      <c r="AO9" s="3" t="s">
        <v>81</v>
      </c>
      <c r="AP9" s="3" t="s">
        <v>81</v>
      </c>
      <c r="AQ9" s="3" t="s">
        <v>81</v>
      </c>
      <c r="AR9" s="3" t="s">
        <v>81</v>
      </c>
      <c r="AS9" s="3" t="s">
        <v>81</v>
      </c>
      <c r="AT9" s="3" t="s">
        <v>81</v>
      </c>
      <c r="AU9" s="3" t="s">
        <v>81</v>
      </c>
      <c r="AV9" s="3" t="s">
        <v>81</v>
      </c>
      <c r="AW9" s="3" t="s">
        <v>81</v>
      </c>
      <c r="AX9" s="3" t="s">
        <v>81</v>
      </c>
      <c r="AY9" s="3" t="s">
        <v>81</v>
      </c>
      <c r="AZ9" s="3" t="s">
        <v>81</v>
      </c>
      <c r="BA9" s="3" t="s">
        <v>81</v>
      </c>
      <c r="BB9" s="3" t="s">
        <v>81</v>
      </c>
      <c r="BC9" s="3" t="s">
        <v>81</v>
      </c>
      <c r="BD9" s="3" t="s">
        <v>81</v>
      </c>
      <c r="BE9" s="3" t="s">
        <v>81</v>
      </c>
      <c r="BF9" s="3" t="s">
        <v>81</v>
      </c>
      <c r="BG9" s="3" t="s">
        <v>81</v>
      </c>
      <c r="BH9" s="3" t="s">
        <v>81</v>
      </c>
      <c r="BI9" s="3" t="s">
        <v>84</v>
      </c>
      <c r="BJ9" s="3" t="s">
        <v>82</v>
      </c>
      <c r="BK9" s="3" t="s">
        <v>83</v>
      </c>
      <c r="BL9" s="3" t="s">
        <v>84</v>
      </c>
      <c r="BM9" s="3" t="s">
        <v>84</v>
      </c>
      <c r="BN9" s="3" t="s">
        <v>82</v>
      </c>
      <c r="BO9" s="3" t="s">
        <v>82</v>
      </c>
      <c r="BP9" s="3" t="s">
        <v>81</v>
      </c>
      <c r="BQ9" s="3" t="s">
        <v>81</v>
      </c>
      <c r="BR9" s="3" t="s">
        <v>81</v>
      </c>
      <c r="BS9" s="3" t="s">
        <v>81</v>
      </c>
      <c r="BT9" s="3" t="s">
        <v>81</v>
      </c>
      <c r="BU9" s="3" t="s">
        <v>81</v>
      </c>
      <c r="BV9" s="3" t="s">
        <v>82</v>
      </c>
      <c r="BW9" s="3" t="s">
        <v>91</v>
      </c>
      <c r="BX9" s="3" t="s">
        <v>84</v>
      </c>
      <c r="BY9" s="3" t="s">
        <v>122</v>
      </c>
      <c r="BZ9" s="3" t="s">
        <v>123</v>
      </c>
      <c r="CB9" s="3" t="s">
        <v>84</v>
      </c>
      <c r="CD9" s="3"/>
      <c r="CF9" s="18"/>
      <c r="CG9" s="18"/>
      <c r="CH9" s="18"/>
      <c r="CI9" s="18"/>
    </row>
    <row r="10" spans="1:87" ht="15.75" customHeight="1" x14ac:dyDescent="0.15">
      <c r="A10" s="3">
        <v>1998734384</v>
      </c>
      <c r="B10" s="3" t="s">
        <v>119</v>
      </c>
      <c r="C10" s="3" t="s">
        <v>119</v>
      </c>
      <c r="D10" s="3" t="s">
        <v>81</v>
      </c>
      <c r="E10" s="3">
        <v>2</v>
      </c>
      <c r="F10" s="3">
        <v>39.741</v>
      </c>
      <c r="G10" s="3">
        <v>1</v>
      </c>
      <c r="H10" s="3">
        <v>11.537000000000001</v>
      </c>
      <c r="I10" s="3">
        <v>20.53</v>
      </c>
      <c r="J10" s="3">
        <v>27.79</v>
      </c>
      <c r="K10" s="3" t="s">
        <v>81</v>
      </c>
      <c r="L10" s="3" t="s">
        <v>81</v>
      </c>
      <c r="M10" s="3" t="s">
        <v>81</v>
      </c>
      <c r="N10" s="3" t="s">
        <v>81</v>
      </c>
      <c r="O10" s="3" t="s">
        <v>81</v>
      </c>
      <c r="P10" s="3" t="s">
        <v>81</v>
      </c>
      <c r="Q10" s="3">
        <v>32.631</v>
      </c>
      <c r="R10" s="3">
        <v>1</v>
      </c>
      <c r="S10" s="3">
        <v>10.271000000000001</v>
      </c>
      <c r="T10" s="3">
        <v>20.343</v>
      </c>
      <c r="U10" s="3">
        <v>21.577000000000002</v>
      </c>
      <c r="V10" s="3" t="s">
        <v>81</v>
      </c>
      <c r="W10" s="3" t="s">
        <v>81</v>
      </c>
      <c r="X10" s="3" t="s">
        <v>81</v>
      </c>
      <c r="Y10" s="3" t="s">
        <v>81</v>
      </c>
      <c r="Z10" s="3" t="s">
        <v>81</v>
      </c>
      <c r="AA10" s="3" t="s">
        <v>81</v>
      </c>
      <c r="AB10" s="3" t="s">
        <v>81</v>
      </c>
      <c r="AC10" s="3" t="s">
        <v>81</v>
      </c>
      <c r="AD10" s="3" t="s">
        <v>81</v>
      </c>
      <c r="AE10" s="3" t="s">
        <v>81</v>
      </c>
      <c r="AF10" s="3" t="s">
        <v>81</v>
      </c>
      <c r="AG10" s="3" t="s">
        <v>81</v>
      </c>
      <c r="AH10" s="3" t="s">
        <v>81</v>
      </c>
      <c r="AI10" s="3" t="s">
        <v>81</v>
      </c>
      <c r="AJ10" s="3" t="s">
        <v>81</v>
      </c>
      <c r="AK10" s="3" t="s">
        <v>81</v>
      </c>
      <c r="AL10" s="3" t="s">
        <v>81</v>
      </c>
      <c r="AM10" s="3" t="s">
        <v>81</v>
      </c>
      <c r="AN10" s="3" t="s">
        <v>81</v>
      </c>
      <c r="AO10" s="3" t="s">
        <v>81</v>
      </c>
      <c r="AP10" s="3" t="s">
        <v>81</v>
      </c>
      <c r="AQ10" s="3" t="s">
        <v>81</v>
      </c>
      <c r="AR10" s="3" t="s">
        <v>81</v>
      </c>
      <c r="AS10" s="3" t="s">
        <v>81</v>
      </c>
      <c r="AT10" s="3" t="s">
        <v>81</v>
      </c>
      <c r="AU10" s="3" t="s">
        <v>81</v>
      </c>
      <c r="AV10" s="3" t="s">
        <v>81</v>
      </c>
      <c r="AW10" s="3" t="s">
        <v>81</v>
      </c>
      <c r="AX10" s="3" t="s">
        <v>81</v>
      </c>
      <c r="AY10" s="3" t="s">
        <v>81</v>
      </c>
      <c r="AZ10" s="3" t="s">
        <v>81</v>
      </c>
      <c r="BA10" s="3" t="s">
        <v>81</v>
      </c>
      <c r="BB10" s="3" t="s">
        <v>81</v>
      </c>
      <c r="BC10" s="3" t="s">
        <v>81</v>
      </c>
      <c r="BD10" s="3" t="s">
        <v>81</v>
      </c>
      <c r="BE10" s="3" t="s">
        <v>81</v>
      </c>
      <c r="BF10" s="3" t="s">
        <v>81</v>
      </c>
      <c r="BG10" s="3" t="s">
        <v>81</v>
      </c>
      <c r="BH10" s="3" t="s">
        <v>81</v>
      </c>
      <c r="BI10" s="3" t="s">
        <v>84</v>
      </c>
      <c r="BJ10" s="3" t="s">
        <v>82</v>
      </c>
      <c r="BK10" s="3" t="s">
        <v>83</v>
      </c>
      <c r="BL10" s="3" t="s">
        <v>84</v>
      </c>
      <c r="BM10" s="3" t="s">
        <v>84</v>
      </c>
      <c r="BN10" s="3" t="s">
        <v>82</v>
      </c>
      <c r="BO10" s="3" t="s">
        <v>83</v>
      </c>
      <c r="BP10" s="3" t="s">
        <v>81</v>
      </c>
      <c r="BQ10" s="3" t="s">
        <v>81</v>
      </c>
      <c r="BR10" s="3" t="s">
        <v>81</v>
      </c>
      <c r="BS10" s="3" t="s">
        <v>81</v>
      </c>
      <c r="BT10" s="3" t="s">
        <v>81</v>
      </c>
      <c r="BU10" s="3" t="s">
        <v>81</v>
      </c>
      <c r="BV10" s="3" t="s">
        <v>82</v>
      </c>
      <c r="BW10" s="3" t="s">
        <v>91</v>
      </c>
      <c r="BX10" s="3" t="s">
        <v>84</v>
      </c>
      <c r="BY10" s="3" t="s">
        <v>124</v>
      </c>
      <c r="BZ10" s="3" t="s">
        <v>125</v>
      </c>
      <c r="CB10" s="3" t="s">
        <v>84</v>
      </c>
      <c r="CD10" s="3"/>
      <c r="CF10" s="18"/>
      <c r="CG10" s="18"/>
      <c r="CH10" s="18"/>
      <c r="CI10" s="17"/>
    </row>
    <row r="11" spans="1:87" ht="15.75" customHeight="1" x14ac:dyDescent="0.15">
      <c r="A11" s="3">
        <v>2625831807</v>
      </c>
      <c r="B11" s="3" t="s">
        <v>126</v>
      </c>
      <c r="C11" s="3" t="s">
        <v>126</v>
      </c>
      <c r="D11" s="3">
        <v>8</v>
      </c>
      <c r="E11" s="3">
        <v>20</v>
      </c>
      <c r="F11" s="3">
        <v>28.588000000000001</v>
      </c>
      <c r="G11" s="3">
        <v>0</v>
      </c>
      <c r="H11" s="3" t="s">
        <v>81</v>
      </c>
      <c r="I11" s="3" t="s">
        <v>81</v>
      </c>
      <c r="J11" s="3" t="s">
        <v>81</v>
      </c>
      <c r="K11" s="3" t="s">
        <v>81</v>
      </c>
      <c r="L11" s="3" t="s">
        <v>81</v>
      </c>
      <c r="M11" s="3" t="s">
        <v>81</v>
      </c>
      <c r="N11" s="3" t="s">
        <v>81</v>
      </c>
      <c r="O11" s="3" t="s">
        <v>81</v>
      </c>
      <c r="P11" s="3" t="s">
        <v>81</v>
      </c>
      <c r="Q11" s="3">
        <v>28.565000000000001</v>
      </c>
      <c r="R11" s="3">
        <v>0</v>
      </c>
      <c r="S11" s="3" t="s">
        <v>81</v>
      </c>
      <c r="T11" s="3" t="s">
        <v>81</v>
      </c>
      <c r="U11" s="3" t="s">
        <v>81</v>
      </c>
      <c r="V11" s="3" t="s">
        <v>81</v>
      </c>
      <c r="W11" s="3" t="s">
        <v>81</v>
      </c>
      <c r="X11" s="3" t="s">
        <v>81</v>
      </c>
      <c r="Y11" s="3" t="s">
        <v>81</v>
      </c>
      <c r="Z11" s="3" t="s">
        <v>81</v>
      </c>
      <c r="AA11" s="3" t="s">
        <v>81</v>
      </c>
      <c r="AB11" s="3">
        <v>28.036999999999999</v>
      </c>
      <c r="AC11" s="3">
        <v>0</v>
      </c>
      <c r="AD11" s="3" t="s">
        <v>81</v>
      </c>
      <c r="AE11" s="3" t="s">
        <v>81</v>
      </c>
      <c r="AF11" s="3" t="s">
        <v>81</v>
      </c>
      <c r="AG11" s="3" t="s">
        <v>81</v>
      </c>
      <c r="AH11" s="3" t="s">
        <v>81</v>
      </c>
      <c r="AI11" s="3" t="s">
        <v>81</v>
      </c>
      <c r="AJ11" s="3" t="s">
        <v>81</v>
      </c>
      <c r="AK11" s="3" t="s">
        <v>81</v>
      </c>
      <c r="AL11" s="3" t="s">
        <v>81</v>
      </c>
      <c r="AM11" s="3">
        <v>29.28</v>
      </c>
      <c r="AN11" s="3">
        <v>0</v>
      </c>
      <c r="AO11" s="3" t="s">
        <v>81</v>
      </c>
      <c r="AP11" s="3" t="s">
        <v>81</v>
      </c>
      <c r="AQ11" s="3" t="s">
        <v>81</v>
      </c>
      <c r="AR11" s="3" t="s">
        <v>81</v>
      </c>
      <c r="AS11" s="3" t="s">
        <v>81</v>
      </c>
      <c r="AT11" s="3" t="s">
        <v>81</v>
      </c>
      <c r="AU11" s="3" t="s">
        <v>81</v>
      </c>
      <c r="AV11" s="3" t="s">
        <v>81</v>
      </c>
      <c r="AW11" s="3" t="s">
        <v>81</v>
      </c>
      <c r="AX11" s="3">
        <v>30.619</v>
      </c>
      <c r="AY11" s="3">
        <v>0</v>
      </c>
      <c r="AZ11" s="3" t="s">
        <v>81</v>
      </c>
      <c r="BA11" s="3" t="s">
        <v>81</v>
      </c>
      <c r="BB11" s="3" t="s">
        <v>81</v>
      </c>
      <c r="BC11" s="3" t="s">
        <v>81</v>
      </c>
      <c r="BD11" s="3" t="s">
        <v>81</v>
      </c>
      <c r="BE11" s="3" t="s">
        <v>81</v>
      </c>
      <c r="BF11" s="3" t="s">
        <v>81</v>
      </c>
      <c r="BG11" s="3" t="s">
        <v>81</v>
      </c>
      <c r="BH11" s="3" t="s">
        <v>81</v>
      </c>
      <c r="BI11" s="3" t="s">
        <v>84</v>
      </c>
      <c r="BJ11" s="3" t="s">
        <v>82</v>
      </c>
      <c r="BK11" s="3" t="s">
        <v>83</v>
      </c>
      <c r="BL11" s="3" t="s">
        <v>84</v>
      </c>
      <c r="BM11" s="3" t="s">
        <v>84</v>
      </c>
      <c r="BN11" s="3" t="s">
        <v>84</v>
      </c>
      <c r="BO11" s="3" t="s">
        <v>84</v>
      </c>
      <c r="BP11" s="3" t="s">
        <v>106</v>
      </c>
      <c r="BQ11" s="3" t="s">
        <v>106</v>
      </c>
      <c r="BR11" s="3" t="s">
        <v>127</v>
      </c>
      <c r="BS11" s="3" t="s">
        <v>127</v>
      </c>
      <c r="BT11" s="3" t="s">
        <v>106</v>
      </c>
      <c r="BU11" s="3" t="s">
        <v>98</v>
      </c>
      <c r="BV11" s="3" t="s">
        <v>84</v>
      </c>
      <c r="BW11" s="3" t="s">
        <v>83</v>
      </c>
      <c r="BX11" s="3" t="s">
        <v>82</v>
      </c>
      <c r="BY11" s="3"/>
      <c r="BZ11" s="3" t="s">
        <v>86</v>
      </c>
      <c r="CA11" s="3" t="s">
        <v>103</v>
      </c>
      <c r="CB11" s="3" t="s">
        <v>84</v>
      </c>
      <c r="CC11" s="3"/>
      <c r="CD11" s="3">
        <v>23</v>
      </c>
      <c r="CE11" s="3"/>
      <c r="CF11" s="17"/>
      <c r="CG11" s="17"/>
      <c r="CH11" s="17"/>
      <c r="CI11" s="18"/>
    </row>
    <row r="12" spans="1:87" ht="15.75" customHeight="1" x14ac:dyDescent="0.15">
      <c r="A12" s="3">
        <v>2643342337</v>
      </c>
      <c r="B12" s="3" t="s">
        <v>126</v>
      </c>
      <c r="C12" s="3" t="s">
        <v>126</v>
      </c>
      <c r="D12" s="3">
        <v>14</v>
      </c>
      <c r="E12" s="3">
        <v>40</v>
      </c>
      <c r="F12" s="3">
        <v>28.094999999999999</v>
      </c>
      <c r="G12" s="3">
        <v>0</v>
      </c>
      <c r="H12" s="3" t="s">
        <v>81</v>
      </c>
      <c r="I12" s="3" t="s">
        <v>81</v>
      </c>
      <c r="J12" s="3" t="s">
        <v>81</v>
      </c>
      <c r="K12" s="3" t="s">
        <v>81</v>
      </c>
      <c r="L12" s="3" t="s">
        <v>81</v>
      </c>
      <c r="M12" s="3" t="s">
        <v>81</v>
      </c>
      <c r="N12" s="3" t="s">
        <v>81</v>
      </c>
      <c r="O12" s="3" t="s">
        <v>81</v>
      </c>
      <c r="P12" s="3" t="s">
        <v>81</v>
      </c>
      <c r="Q12" s="3">
        <v>44.082999999999998</v>
      </c>
      <c r="R12" s="3">
        <v>0</v>
      </c>
      <c r="S12" s="3" t="s">
        <v>81</v>
      </c>
      <c r="T12" s="3" t="s">
        <v>81</v>
      </c>
      <c r="U12" s="3" t="s">
        <v>81</v>
      </c>
      <c r="V12" s="3" t="s">
        <v>81</v>
      </c>
      <c r="W12" s="3" t="s">
        <v>81</v>
      </c>
      <c r="X12" s="3" t="s">
        <v>81</v>
      </c>
      <c r="Y12" s="3" t="s">
        <v>81</v>
      </c>
      <c r="Z12" s="3" t="s">
        <v>81</v>
      </c>
      <c r="AA12" s="3" t="s">
        <v>81</v>
      </c>
      <c r="AB12" s="3">
        <v>47.189</v>
      </c>
      <c r="AC12" s="3">
        <v>0</v>
      </c>
      <c r="AD12" s="3" t="s">
        <v>81</v>
      </c>
      <c r="AE12" s="3" t="s">
        <v>81</v>
      </c>
      <c r="AF12" s="3" t="s">
        <v>81</v>
      </c>
      <c r="AG12" s="3" t="s">
        <v>81</v>
      </c>
      <c r="AH12" s="3" t="s">
        <v>81</v>
      </c>
      <c r="AI12" s="3" t="s">
        <v>81</v>
      </c>
      <c r="AJ12" s="3" t="s">
        <v>81</v>
      </c>
      <c r="AK12" s="3" t="s">
        <v>81</v>
      </c>
      <c r="AL12" s="3" t="s">
        <v>81</v>
      </c>
      <c r="AM12" s="3">
        <v>52.802</v>
      </c>
      <c r="AN12" s="3">
        <v>0</v>
      </c>
      <c r="AO12" s="3" t="s">
        <v>81</v>
      </c>
      <c r="AP12" s="3" t="s">
        <v>81</v>
      </c>
      <c r="AQ12" s="3" t="s">
        <v>81</v>
      </c>
      <c r="AR12" s="3" t="s">
        <v>81</v>
      </c>
      <c r="AS12" s="3" t="s">
        <v>81</v>
      </c>
      <c r="AT12" s="3" t="s">
        <v>81</v>
      </c>
      <c r="AU12" s="3" t="s">
        <v>81</v>
      </c>
      <c r="AV12" s="3" t="s">
        <v>81</v>
      </c>
      <c r="AW12" s="3" t="s">
        <v>81</v>
      </c>
      <c r="AX12" s="3">
        <v>34.39</v>
      </c>
      <c r="AY12" s="3">
        <v>0</v>
      </c>
      <c r="AZ12" s="3" t="s">
        <v>81</v>
      </c>
      <c r="BA12" s="3" t="s">
        <v>81</v>
      </c>
      <c r="BB12" s="3" t="s">
        <v>81</v>
      </c>
      <c r="BC12" s="3" t="s">
        <v>81</v>
      </c>
      <c r="BD12" s="3" t="s">
        <v>81</v>
      </c>
      <c r="BE12" s="3" t="s">
        <v>81</v>
      </c>
      <c r="BF12" s="3" t="s">
        <v>81</v>
      </c>
      <c r="BG12" s="3" t="s">
        <v>81</v>
      </c>
      <c r="BH12" s="3" t="s">
        <v>81</v>
      </c>
      <c r="BI12" s="3" t="s">
        <v>82</v>
      </c>
      <c r="BJ12" s="3" t="s">
        <v>82</v>
      </c>
      <c r="BK12" s="3" t="s">
        <v>83</v>
      </c>
      <c r="BL12" s="3" t="s">
        <v>84</v>
      </c>
      <c r="BM12" s="3" t="s">
        <v>84</v>
      </c>
      <c r="BN12" s="3" t="s">
        <v>84</v>
      </c>
      <c r="BO12" s="3" t="s">
        <v>84</v>
      </c>
      <c r="BP12" s="3" t="s">
        <v>106</v>
      </c>
      <c r="BQ12" s="3" t="s">
        <v>106</v>
      </c>
      <c r="BR12" s="3" t="s">
        <v>128</v>
      </c>
      <c r="BS12" s="3" t="s">
        <v>128</v>
      </c>
      <c r="BT12" s="3" t="s">
        <v>106</v>
      </c>
      <c r="BU12" s="3" t="s">
        <v>129</v>
      </c>
      <c r="BV12" s="3" t="s">
        <v>84</v>
      </c>
      <c r="BW12" s="3" t="s">
        <v>83</v>
      </c>
      <c r="BX12" s="3" t="s">
        <v>82</v>
      </c>
      <c r="BY12" s="3" t="s">
        <v>130</v>
      </c>
      <c r="BZ12" s="3" t="s">
        <v>86</v>
      </c>
      <c r="CB12" s="3" t="s">
        <v>84</v>
      </c>
      <c r="CD12" s="3">
        <v>40</v>
      </c>
      <c r="CF12" s="18"/>
      <c r="CG12" s="18">
        <v>35</v>
      </c>
      <c r="CH12" s="18"/>
      <c r="CI12" s="18"/>
    </row>
    <row r="13" spans="1:87" ht="15.75" customHeight="1" x14ac:dyDescent="0.15">
      <c r="A13" s="3">
        <v>2625888549</v>
      </c>
      <c r="B13" s="3" t="s">
        <v>131</v>
      </c>
      <c r="C13" s="3" t="s">
        <v>131</v>
      </c>
      <c r="D13" s="3">
        <v>3</v>
      </c>
      <c r="E13" s="3">
        <v>3</v>
      </c>
      <c r="F13" s="3">
        <v>33.720999999999997</v>
      </c>
      <c r="G13" s="3">
        <v>1</v>
      </c>
      <c r="H13" s="3">
        <v>17.228999999999999</v>
      </c>
      <c r="I13" s="3">
        <v>18.716999999999999</v>
      </c>
      <c r="J13" s="3">
        <v>15.375999999999999</v>
      </c>
      <c r="K13" s="3" t="s">
        <v>81</v>
      </c>
      <c r="L13" s="3" t="s">
        <v>81</v>
      </c>
      <c r="M13" s="3" t="s">
        <v>81</v>
      </c>
      <c r="N13" s="3" t="s">
        <v>81</v>
      </c>
      <c r="O13" s="3" t="s">
        <v>81</v>
      </c>
      <c r="P13" s="3" t="s">
        <v>81</v>
      </c>
      <c r="Q13" s="3">
        <v>37.353999999999999</v>
      </c>
      <c r="R13" s="3">
        <v>2</v>
      </c>
      <c r="S13" s="3">
        <v>12.234999999999999</v>
      </c>
      <c r="T13" s="3">
        <v>18.942</v>
      </c>
      <c r="U13" s="3">
        <v>11.313000000000001</v>
      </c>
      <c r="V13" s="3">
        <v>15.339</v>
      </c>
      <c r="W13" s="3">
        <v>12.058999999999999</v>
      </c>
      <c r="X13" s="3" t="s">
        <v>81</v>
      </c>
      <c r="Y13" s="3" t="s">
        <v>81</v>
      </c>
      <c r="Z13" s="3" t="s">
        <v>81</v>
      </c>
      <c r="AA13" s="3" t="s">
        <v>81</v>
      </c>
      <c r="AB13" s="3">
        <v>33.813000000000002</v>
      </c>
      <c r="AC13" s="3">
        <v>2</v>
      </c>
      <c r="AD13" s="3">
        <v>10.73</v>
      </c>
      <c r="AE13" s="3">
        <v>15.478</v>
      </c>
      <c r="AF13" s="3">
        <v>10.135</v>
      </c>
      <c r="AG13" s="3">
        <v>13.987</v>
      </c>
      <c r="AH13" s="3">
        <v>13.345000000000001</v>
      </c>
      <c r="AI13" s="3" t="s">
        <v>81</v>
      </c>
      <c r="AJ13" s="3" t="s">
        <v>81</v>
      </c>
      <c r="AK13" s="3" t="s">
        <v>81</v>
      </c>
      <c r="AL13" s="3" t="s">
        <v>81</v>
      </c>
      <c r="AM13" s="3" t="s">
        <v>81</v>
      </c>
      <c r="AN13" s="3" t="s">
        <v>81</v>
      </c>
      <c r="AO13" s="3" t="s">
        <v>81</v>
      </c>
      <c r="AP13" s="3" t="s">
        <v>81</v>
      </c>
      <c r="AQ13" s="3" t="s">
        <v>81</v>
      </c>
      <c r="AR13" s="3" t="s">
        <v>81</v>
      </c>
      <c r="AS13" s="3" t="s">
        <v>81</v>
      </c>
      <c r="AT13" s="3" t="s">
        <v>81</v>
      </c>
      <c r="AU13" s="3" t="s">
        <v>81</v>
      </c>
      <c r="AV13" s="3" t="s">
        <v>81</v>
      </c>
      <c r="AW13" s="3" t="s">
        <v>81</v>
      </c>
      <c r="AX13" s="3" t="s">
        <v>81</v>
      </c>
      <c r="AY13" s="3" t="s">
        <v>81</v>
      </c>
      <c r="AZ13" s="3" t="s">
        <v>81</v>
      </c>
      <c r="BA13" s="3" t="s">
        <v>81</v>
      </c>
      <c r="BB13" s="3" t="s">
        <v>81</v>
      </c>
      <c r="BC13" s="3" t="s">
        <v>81</v>
      </c>
      <c r="BD13" s="3" t="s">
        <v>81</v>
      </c>
      <c r="BE13" s="3" t="s">
        <v>81</v>
      </c>
      <c r="BF13" s="3" t="s">
        <v>81</v>
      </c>
      <c r="BG13" s="3" t="s">
        <v>81</v>
      </c>
      <c r="BH13" s="3" t="s">
        <v>81</v>
      </c>
      <c r="BI13" s="3" t="s">
        <v>84</v>
      </c>
      <c r="BJ13" s="3" t="s">
        <v>82</v>
      </c>
      <c r="BK13" s="3" t="s">
        <v>83</v>
      </c>
      <c r="BL13" s="3" t="s">
        <v>84</v>
      </c>
      <c r="BM13" s="3" t="s">
        <v>84</v>
      </c>
      <c r="BN13" s="3" t="s">
        <v>82</v>
      </c>
      <c r="BO13" s="3" t="s">
        <v>84</v>
      </c>
      <c r="BP13" s="3" t="s">
        <v>81</v>
      </c>
      <c r="BQ13" s="3" t="s">
        <v>81</v>
      </c>
      <c r="BR13" s="3" t="s">
        <v>81</v>
      </c>
      <c r="BS13" s="3" t="s">
        <v>81</v>
      </c>
      <c r="BT13" s="3" t="s">
        <v>81</v>
      </c>
      <c r="BU13" s="3" t="s">
        <v>81</v>
      </c>
      <c r="BV13" s="3" t="s">
        <v>82</v>
      </c>
      <c r="BW13" s="3" t="s">
        <v>91</v>
      </c>
      <c r="BX13" s="3" t="s">
        <v>84</v>
      </c>
      <c r="BY13" s="3" t="s">
        <v>132</v>
      </c>
      <c r="BZ13" s="3" t="s">
        <v>86</v>
      </c>
      <c r="CB13" s="3" t="s">
        <v>84</v>
      </c>
      <c r="CD13" s="3">
        <v>6</v>
      </c>
      <c r="CF13" s="18"/>
      <c r="CG13" s="18"/>
      <c r="CH13" s="18"/>
      <c r="CI13" s="18"/>
    </row>
    <row r="14" spans="1:87" ht="15.75" customHeight="1" x14ac:dyDescent="0.15">
      <c r="A14" s="3">
        <v>2625900771</v>
      </c>
      <c r="B14" s="3" t="s">
        <v>131</v>
      </c>
      <c r="C14" s="3" t="s">
        <v>131</v>
      </c>
      <c r="D14" s="3">
        <v>2</v>
      </c>
      <c r="E14" s="3">
        <v>2</v>
      </c>
      <c r="F14" s="3">
        <v>31.805</v>
      </c>
      <c r="G14" s="3">
        <v>0</v>
      </c>
      <c r="H14" s="3" t="s">
        <v>81</v>
      </c>
      <c r="I14" s="3" t="s">
        <v>81</v>
      </c>
      <c r="J14" s="3" t="s">
        <v>81</v>
      </c>
      <c r="K14" s="3" t="s">
        <v>81</v>
      </c>
      <c r="L14" s="3" t="s">
        <v>81</v>
      </c>
      <c r="M14" s="3" t="s">
        <v>81</v>
      </c>
      <c r="N14" s="3" t="s">
        <v>81</v>
      </c>
      <c r="O14" s="3" t="s">
        <v>81</v>
      </c>
      <c r="P14" s="3" t="s">
        <v>81</v>
      </c>
      <c r="Q14" s="3">
        <v>31.324999999999999</v>
      </c>
      <c r="R14" s="3">
        <v>0</v>
      </c>
      <c r="S14" s="3" t="s">
        <v>81</v>
      </c>
      <c r="T14" s="3" t="s">
        <v>81</v>
      </c>
      <c r="U14" s="3" t="s">
        <v>81</v>
      </c>
      <c r="V14" s="3" t="s">
        <v>81</v>
      </c>
      <c r="W14" s="3" t="s">
        <v>81</v>
      </c>
      <c r="X14" s="3" t="s">
        <v>81</v>
      </c>
      <c r="Y14" s="3" t="s">
        <v>81</v>
      </c>
      <c r="Z14" s="3" t="s">
        <v>81</v>
      </c>
      <c r="AA14" s="3" t="s">
        <v>81</v>
      </c>
      <c r="AB14" s="3" t="s">
        <v>81</v>
      </c>
      <c r="AC14" s="3" t="s">
        <v>81</v>
      </c>
      <c r="AD14" s="3" t="s">
        <v>81</v>
      </c>
      <c r="AE14" s="3" t="s">
        <v>81</v>
      </c>
      <c r="AF14" s="3" t="s">
        <v>81</v>
      </c>
      <c r="AG14" s="3" t="s">
        <v>81</v>
      </c>
      <c r="AH14" s="3" t="s">
        <v>81</v>
      </c>
      <c r="AI14" s="3" t="s">
        <v>81</v>
      </c>
      <c r="AJ14" s="3" t="s">
        <v>81</v>
      </c>
      <c r="AK14" s="3" t="s">
        <v>81</v>
      </c>
      <c r="AL14" s="3" t="s">
        <v>81</v>
      </c>
      <c r="AM14" s="3" t="s">
        <v>81</v>
      </c>
      <c r="AN14" s="3" t="s">
        <v>81</v>
      </c>
      <c r="AO14" s="3" t="s">
        <v>81</v>
      </c>
      <c r="AP14" s="3" t="s">
        <v>81</v>
      </c>
      <c r="AQ14" s="3" t="s">
        <v>81</v>
      </c>
      <c r="AR14" s="3" t="s">
        <v>81</v>
      </c>
      <c r="AS14" s="3" t="s">
        <v>81</v>
      </c>
      <c r="AT14" s="3" t="s">
        <v>81</v>
      </c>
      <c r="AU14" s="3" t="s">
        <v>81</v>
      </c>
      <c r="AV14" s="3" t="s">
        <v>81</v>
      </c>
      <c r="AW14" s="3" t="s">
        <v>81</v>
      </c>
      <c r="AX14" s="3" t="s">
        <v>81</v>
      </c>
      <c r="AY14" s="3" t="s">
        <v>81</v>
      </c>
      <c r="AZ14" s="3" t="s">
        <v>81</v>
      </c>
      <c r="BA14" s="3" t="s">
        <v>81</v>
      </c>
      <c r="BB14" s="3" t="s">
        <v>81</v>
      </c>
      <c r="BC14" s="3" t="s">
        <v>81</v>
      </c>
      <c r="BD14" s="3" t="s">
        <v>81</v>
      </c>
      <c r="BE14" s="3" t="s">
        <v>81</v>
      </c>
      <c r="BF14" s="3" t="s">
        <v>81</v>
      </c>
      <c r="BG14" s="3" t="s">
        <v>81</v>
      </c>
      <c r="BH14" s="3" t="s">
        <v>81</v>
      </c>
      <c r="BI14" s="3" t="s">
        <v>84</v>
      </c>
      <c r="BJ14" s="3" t="s">
        <v>82</v>
      </c>
      <c r="BK14" s="3" t="s">
        <v>83</v>
      </c>
      <c r="BL14" s="3" t="s">
        <v>84</v>
      </c>
      <c r="BM14" s="3" t="s">
        <v>82</v>
      </c>
      <c r="BN14" s="3" t="s">
        <v>84</v>
      </c>
      <c r="BO14" s="3" t="s">
        <v>83</v>
      </c>
      <c r="BP14" s="3" t="s">
        <v>133</v>
      </c>
      <c r="BQ14" s="3" t="s">
        <v>133</v>
      </c>
      <c r="BR14" s="3" t="s">
        <v>133</v>
      </c>
      <c r="BS14" s="3" t="s">
        <v>133</v>
      </c>
      <c r="BT14" s="3" t="s">
        <v>87</v>
      </c>
      <c r="BU14" s="3" t="s">
        <v>129</v>
      </c>
      <c r="BV14" s="3" t="s">
        <v>83</v>
      </c>
      <c r="BW14" s="3" t="s">
        <v>83</v>
      </c>
      <c r="BX14" s="3" t="s">
        <v>83</v>
      </c>
      <c r="BY14" s="3" t="s">
        <v>134</v>
      </c>
      <c r="BZ14" s="3" t="s">
        <v>86</v>
      </c>
      <c r="CB14" s="3" t="s">
        <v>84</v>
      </c>
      <c r="CD14" s="3">
        <v>2</v>
      </c>
      <c r="CF14" s="18"/>
      <c r="CG14" s="18"/>
      <c r="CH14" s="18"/>
      <c r="CI14" s="18"/>
    </row>
    <row r="15" spans="1:87" ht="15.75" customHeight="1" x14ac:dyDescent="0.15">
      <c r="A15" s="3">
        <v>2625850943</v>
      </c>
      <c r="B15" s="3" t="s">
        <v>131</v>
      </c>
      <c r="C15" s="3" t="s">
        <v>131</v>
      </c>
      <c r="D15" s="3">
        <v>3</v>
      </c>
      <c r="E15" s="3">
        <v>3</v>
      </c>
      <c r="F15" s="3" t="s">
        <v>81</v>
      </c>
      <c r="G15" s="3">
        <v>3</v>
      </c>
      <c r="H15" s="3">
        <v>10.686</v>
      </c>
      <c r="I15" s="3">
        <v>16.593</v>
      </c>
      <c r="J15" s="3">
        <v>6.5</v>
      </c>
      <c r="K15" s="3">
        <v>15.807</v>
      </c>
      <c r="L15" s="3">
        <v>5.4180000000000001</v>
      </c>
      <c r="M15" s="3">
        <v>12.916</v>
      </c>
      <c r="N15" s="3" t="s">
        <v>81</v>
      </c>
      <c r="O15" s="3" t="s">
        <v>81</v>
      </c>
      <c r="P15" s="3" t="s">
        <v>81</v>
      </c>
      <c r="Q15" s="3" t="s">
        <v>81</v>
      </c>
      <c r="R15" s="3">
        <v>3</v>
      </c>
      <c r="S15" s="3">
        <v>10.286</v>
      </c>
      <c r="T15" s="3">
        <v>18.643000000000001</v>
      </c>
      <c r="U15" s="3">
        <v>6.6280000000000001</v>
      </c>
      <c r="V15" s="3">
        <v>20.922999999999998</v>
      </c>
      <c r="W15" s="3">
        <v>4.5140000000000002</v>
      </c>
      <c r="X15" s="3">
        <v>15.058</v>
      </c>
      <c r="Y15" s="3" t="s">
        <v>81</v>
      </c>
      <c r="Z15" s="3" t="s">
        <v>81</v>
      </c>
      <c r="AA15" s="3" t="s">
        <v>81</v>
      </c>
      <c r="AB15" s="3" t="s">
        <v>81</v>
      </c>
      <c r="AC15" s="3" t="s">
        <v>81</v>
      </c>
      <c r="AD15" s="3">
        <v>10.345000000000001</v>
      </c>
      <c r="AE15" s="3">
        <v>16.263999999999999</v>
      </c>
      <c r="AF15" s="3">
        <v>7.15</v>
      </c>
      <c r="AG15" s="3" t="s">
        <v>81</v>
      </c>
      <c r="AH15" s="3" t="s">
        <v>81</v>
      </c>
      <c r="AI15" s="3" t="s">
        <v>81</v>
      </c>
      <c r="AJ15" s="3" t="s">
        <v>81</v>
      </c>
      <c r="AK15" s="3" t="s">
        <v>81</v>
      </c>
      <c r="AL15" s="3" t="s">
        <v>81</v>
      </c>
      <c r="AM15" s="3" t="s">
        <v>81</v>
      </c>
      <c r="AN15" s="3" t="s">
        <v>81</v>
      </c>
      <c r="AO15" s="3" t="s">
        <v>81</v>
      </c>
      <c r="AP15" s="3" t="s">
        <v>81</v>
      </c>
      <c r="AQ15" s="3" t="s">
        <v>81</v>
      </c>
      <c r="AR15" s="3" t="s">
        <v>81</v>
      </c>
      <c r="AS15" s="3" t="s">
        <v>81</v>
      </c>
      <c r="AT15" s="3" t="s">
        <v>81</v>
      </c>
      <c r="AU15" s="3" t="s">
        <v>81</v>
      </c>
      <c r="AV15" s="3" t="s">
        <v>81</v>
      </c>
      <c r="AW15" s="3" t="s">
        <v>81</v>
      </c>
      <c r="AX15" s="3" t="s">
        <v>81</v>
      </c>
      <c r="AY15" s="3" t="s">
        <v>81</v>
      </c>
      <c r="AZ15" s="3" t="s">
        <v>81</v>
      </c>
      <c r="BA15" s="3" t="s">
        <v>81</v>
      </c>
      <c r="BB15" s="3" t="s">
        <v>81</v>
      </c>
      <c r="BC15" s="3" t="s">
        <v>81</v>
      </c>
      <c r="BD15" s="3" t="s">
        <v>81</v>
      </c>
      <c r="BE15" s="3" t="s">
        <v>81</v>
      </c>
      <c r="BF15" s="3" t="s">
        <v>81</v>
      </c>
      <c r="BG15" s="3" t="s">
        <v>81</v>
      </c>
      <c r="BH15" s="3" t="s">
        <v>81</v>
      </c>
      <c r="BI15" s="3" t="s">
        <v>84</v>
      </c>
      <c r="BJ15" s="3" t="s">
        <v>82</v>
      </c>
      <c r="BK15" s="3" t="s">
        <v>83</v>
      </c>
      <c r="BL15" s="3" t="s">
        <v>84</v>
      </c>
      <c r="BM15" s="3" t="s">
        <v>84</v>
      </c>
      <c r="BN15" s="3" t="s">
        <v>84</v>
      </c>
      <c r="BO15" s="3" t="s">
        <v>83</v>
      </c>
      <c r="BP15" s="3" t="s">
        <v>135</v>
      </c>
      <c r="BQ15" s="3" t="s">
        <v>135</v>
      </c>
      <c r="BR15" s="3" t="s">
        <v>135</v>
      </c>
      <c r="BS15" s="3" t="s">
        <v>135</v>
      </c>
      <c r="BT15" s="3" t="s">
        <v>129</v>
      </c>
      <c r="BU15" s="3" t="s">
        <v>81</v>
      </c>
      <c r="BV15" s="3" t="s">
        <v>82</v>
      </c>
      <c r="BW15" s="3" t="s">
        <v>111</v>
      </c>
      <c r="BX15" s="3" t="s">
        <v>82</v>
      </c>
      <c r="BY15" s="3" t="s">
        <v>136</v>
      </c>
      <c r="BZ15" s="3" t="s">
        <v>86</v>
      </c>
      <c r="CB15" s="3" t="s">
        <v>84</v>
      </c>
      <c r="CD15" s="3">
        <v>7</v>
      </c>
      <c r="CF15" s="18"/>
      <c r="CG15" s="18"/>
      <c r="CH15" s="18"/>
      <c r="CI15" s="19"/>
    </row>
    <row r="16" spans="1:87" ht="15.75" customHeight="1" x14ac:dyDescent="0.15">
      <c r="A16" s="9">
        <v>2625850722</v>
      </c>
      <c r="B16" s="9" t="s">
        <v>131</v>
      </c>
      <c r="C16" s="9" t="s">
        <v>131</v>
      </c>
      <c r="D16" s="9">
        <v>4</v>
      </c>
      <c r="E16" s="9">
        <v>3</v>
      </c>
      <c r="F16" s="9">
        <v>37.872999999999998</v>
      </c>
      <c r="G16" s="9">
        <v>1</v>
      </c>
      <c r="H16" s="9">
        <v>10.182</v>
      </c>
      <c r="I16" s="9">
        <v>27.387</v>
      </c>
      <c r="J16" s="9">
        <v>26.977</v>
      </c>
      <c r="K16" s="9" t="s">
        <v>81</v>
      </c>
      <c r="L16" s="9" t="s">
        <v>81</v>
      </c>
      <c r="M16" s="9" t="s">
        <v>81</v>
      </c>
      <c r="N16" s="9" t="s">
        <v>81</v>
      </c>
      <c r="O16" s="9" t="s">
        <v>81</v>
      </c>
      <c r="P16" s="9" t="s">
        <v>81</v>
      </c>
      <c r="Q16" s="9">
        <v>40</v>
      </c>
      <c r="R16" s="9">
        <v>1</v>
      </c>
      <c r="S16" s="9">
        <v>12.11</v>
      </c>
      <c r="T16" s="9">
        <v>29.257000000000001</v>
      </c>
      <c r="U16" s="9">
        <v>25.975999999999999</v>
      </c>
      <c r="V16" s="9" t="s">
        <v>81</v>
      </c>
      <c r="W16" s="9" t="s">
        <v>81</v>
      </c>
      <c r="X16" s="9" t="s">
        <v>81</v>
      </c>
      <c r="Y16" s="9" t="s">
        <v>81</v>
      </c>
      <c r="Z16" s="9" t="s">
        <v>81</v>
      </c>
      <c r="AA16" s="9" t="s">
        <v>81</v>
      </c>
      <c r="AB16" s="9">
        <v>39.573999999999998</v>
      </c>
      <c r="AC16" s="9">
        <v>1</v>
      </c>
      <c r="AD16" s="9">
        <v>9.8000000000000007</v>
      </c>
      <c r="AE16" s="9" t="s">
        <v>81</v>
      </c>
      <c r="AF16" s="9">
        <v>29.922000000000001</v>
      </c>
      <c r="AG16" s="9" t="s">
        <v>81</v>
      </c>
      <c r="AH16" s="9" t="s">
        <v>81</v>
      </c>
      <c r="AI16" s="9" t="s">
        <v>81</v>
      </c>
      <c r="AJ16" s="9" t="s">
        <v>81</v>
      </c>
      <c r="AK16" s="9" t="s">
        <v>81</v>
      </c>
      <c r="AL16" s="9" t="s">
        <v>81</v>
      </c>
      <c r="AM16" s="9" t="s">
        <v>81</v>
      </c>
      <c r="AN16" s="9" t="s">
        <v>81</v>
      </c>
      <c r="AO16" s="9" t="s">
        <v>81</v>
      </c>
      <c r="AP16" s="9" t="s">
        <v>81</v>
      </c>
      <c r="AQ16" s="9" t="s">
        <v>81</v>
      </c>
      <c r="AR16" s="9" t="s">
        <v>81</v>
      </c>
      <c r="AS16" s="9" t="s">
        <v>81</v>
      </c>
      <c r="AT16" s="9" t="s">
        <v>81</v>
      </c>
      <c r="AU16" s="9" t="s">
        <v>81</v>
      </c>
      <c r="AV16" s="9" t="s">
        <v>81</v>
      </c>
      <c r="AW16" s="9" t="s">
        <v>81</v>
      </c>
      <c r="AX16" s="9" t="s">
        <v>81</v>
      </c>
      <c r="AY16" s="9" t="s">
        <v>81</v>
      </c>
      <c r="AZ16" s="9" t="s">
        <v>81</v>
      </c>
      <c r="BA16" s="9" t="s">
        <v>81</v>
      </c>
      <c r="BB16" s="9" t="s">
        <v>81</v>
      </c>
      <c r="BC16" s="9" t="s">
        <v>81</v>
      </c>
      <c r="BD16" s="9" t="s">
        <v>81</v>
      </c>
      <c r="BE16" s="9" t="s">
        <v>81</v>
      </c>
      <c r="BF16" s="9" t="s">
        <v>81</v>
      </c>
      <c r="BG16" s="9" t="s">
        <v>81</v>
      </c>
      <c r="BH16" s="9" t="s">
        <v>81</v>
      </c>
      <c r="BI16" s="9" t="s">
        <v>84</v>
      </c>
      <c r="BJ16" s="9" t="s">
        <v>82</v>
      </c>
      <c r="BK16" s="9" t="s">
        <v>83</v>
      </c>
      <c r="BL16" s="9" t="s">
        <v>84</v>
      </c>
      <c r="BM16" s="9" t="s">
        <v>84</v>
      </c>
      <c r="BN16" s="9" t="s">
        <v>82</v>
      </c>
      <c r="BO16" s="9" t="s">
        <v>82</v>
      </c>
      <c r="BP16" s="9" t="s">
        <v>137</v>
      </c>
      <c r="BQ16" s="9" t="s">
        <v>137</v>
      </c>
      <c r="BR16" s="9" t="s">
        <v>138</v>
      </c>
      <c r="BS16" s="9" t="s">
        <v>138</v>
      </c>
      <c r="BT16" s="9" t="s">
        <v>106</v>
      </c>
      <c r="BU16" s="9" t="s">
        <v>98</v>
      </c>
      <c r="BV16" s="9" t="s">
        <v>84</v>
      </c>
      <c r="BW16" s="9" t="s">
        <v>83</v>
      </c>
      <c r="BX16" s="9" t="s">
        <v>84</v>
      </c>
      <c r="BY16" s="9" t="s">
        <v>565</v>
      </c>
      <c r="BZ16" s="9" t="s">
        <v>86</v>
      </c>
      <c r="CA16" s="9"/>
      <c r="CB16" s="3" t="s">
        <v>84</v>
      </c>
      <c r="CC16" s="9"/>
      <c r="CD16" s="9"/>
      <c r="CE16" s="9"/>
      <c r="CF16" s="19"/>
      <c r="CG16" s="19"/>
      <c r="CH16" s="19"/>
      <c r="CI16" s="18"/>
    </row>
    <row r="17" spans="1:87" ht="15.75" customHeight="1" x14ac:dyDescent="0.15">
      <c r="A17" s="3">
        <v>1228376165</v>
      </c>
      <c r="B17" s="3" t="s">
        <v>143</v>
      </c>
      <c r="C17" s="3" t="s">
        <v>143</v>
      </c>
      <c r="D17" s="3" t="s">
        <v>81</v>
      </c>
      <c r="E17" s="3">
        <v>8</v>
      </c>
      <c r="F17" s="3">
        <v>27.478000000000002</v>
      </c>
      <c r="G17" s="3">
        <v>0</v>
      </c>
      <c r="H17" s="3" t="s">
        <v>81</v>
      </c>
      <c r="I17" s="3" t="s">
        <v>81</v>
      </c>
      <c r="J17" s="3" t="s">
        <v>81</v>
      </c>
      <c r="K17" s="3" t="s">
        <v>81</v>
      </c>
      <c r="L17" s="3" t="s">
        <v>81</v>
      </c>
      <c r="M17" s="3" t="s">
        <v>81</v>
      </c>
      <c r="N17" s="3" t="s">
        <v>81</v>
      </c>
      <c r="O17" s="3" t="s">
        <v>81</v>
      </c>
      <c r="P17" s="3" t="s">
        <v>81</v>
      </c>
      <c r="Q17" s="3">
        <v>27.018999999999998</v>
      </c>
      <c r="R17" s="3">
        <v>0</v>
      </c>
      <c r="S17" s="3" t="s">
        <v>81</v>
      </c>
      <c r="T17" s="3" t="s">
        <v>81</v>
      </c>
      <c r="U17" s="3" t="s">
        <v>81</v>
      </c>
      <c r="V17" s="3" t="s">
        <v>81</v>
      </c>
      <c r="W17" s="3" t="s">
        <v>81</v>
      </c>
      <c r="X17" s="3" t="s">
        <v>81</v>
      </c>
      <c r="Y17" s="3" t="s">
        <v>81</v>
      </c>
      <c r="Z17" s="3" t="s">
        <v>81</v>
      </c>
      <c r="AA17" s="3" t="s">
        <v>81</v>
      </c>
      <c r="AB17" s="3">
        <v>27.03</v>
      </c>
      <c r="AC17" s="3">
        <v>0</v>
      </c>
      <c r="AD17" s="3" t="s">
        <v>81</v>
      </c>
      <c r="AE17" s="3" t="s">
        <v>81</v>
      </c>
      <c r="AF17" s="3" t="s">
        <v>81</v>
      </c>
      <c r="AG17" s="3" t="s">
        <v>81</v>
      </c>
      <c r="AH17" s="3" t="s">
        <v>81</v>
      </c>
      <c r="AI17" s="3" t="s">
        <v>81</v>
      </c>
      <c r="AJ17" s="3" t="s">
        <v>81</v>
      </c>
      <c r="AK17" s="3" t="s">
        <v>81</v>
      </c>
      <c r="AL17" s="3" t="s">
        <v>81</v>
      </c>
      <c r="AM17" s="3" t="s">
        <v>81</v>
      </c>
      <c r="AN17" s="3" t="s">
        <v>81</v>
      </c>
      <c r="AO17" s="3" t="s">
        <v>81</v>
      </c>
      <c r="AP17" s="3" t="s">
        <v>81</v>
      </c>
      <c r="AQ17" s="3" t="s">
        <v>81</v>
      </c>
      <c r="AR17" s="3" t="s">
        <v>81</v>
      </c>
      <c r="AS17" s="3" t="s">
        <v>81</v>
      </c>
      <c r="AT17" s="3" t="s">
        <v>81</v>
      </c>
      <c r="AU17" s="3" t="s">
        <v>81</v>
      </c>
      <c r="AV17" s="3" t="s">
        <v>81</v>
      </c>
      <c r="AW17" s="3" t="s">
        <v>81</v>
      </c>
      <c r="AX17" s="3" t="s">
        <v>81</v>
      </c>
      <c r="AY17" s="3" t="s">
        <v>81</v>
      </c>
      <c r="AZ17" s="3" t="s">
        <v>81</v>
      </c>
      <c r="BA17" s="3" t="s">
        <v>81</v>
      </c>
      <c r="BB17" s="3" t="s">
        <v>81</v>
      </c>
      <c r="BC17" s="3" t="s">
        <v>81</v>
      </c>
      <c r="BD17" s="3" t="s">
        <v>81</v>
      </c>
      <c r="BE17" s="3" t="s">
        <v>81</v>
      </c>
      <c r="BF17" s="3" t="s">
        <v>81</v>
      </c>
      <c r="BG17" s="3" t="s">
        <v>81</v>
      </c>
      <c r="BH17" s="3" t="s">
        <v>81</v>
      </c>
      <c r="BI17" s="3" t="s">
        <v>84</v>
      </c>
      <c r="BJ17" s="3" t="s">
        <v>82</v>
      </c>
      <c r="BK17" s="3" t="s">
        <v>83</v>
      </c>
      <c r="BL17" s="3" t="s">
        <v>84</v>
      </c>
      <c r="BM17" s="3" t="s">
        <v>84</v>
      </c>
      <c r="BN17" s="3" t="s">
        <v>84</v>
      </c>
      <c r="BO17" s="3" t="s">
        <v>82</v>
      </c>
      <c r="BP17" s="3" t="s">
        <v>87</v>
      </c>
      <c r="BQ17" s="3" t="s">
        <v>87</v>
      </c>
      <c r="BR17" s="3" t="s">
        <v>87</v>
      </c>
      <c r="BS17" s="3" t="s">
        <v>87</v>
      </c>
      <c r="BT17" s="3" t="s">
        <v>87</v>
      </c>
      <c r="BU17" s="3" t="s">
        <v>81</v>
      </c>
      <c r="BV17" s="3" t="s">
        <v>84</v>
      </c>
      <c r="BW17" s="3" t="s">
        <v>83</v>
      </c>
      <c r="BX17" s="3" t="s">
        <v>82</v>
      </c>
      <c r="BY17" s="3" t="s">
        <v>145</v>
      </c>
      <c r="BZ17" s="3" t="s">
        <v>93</v>
      </c>
      <c r="CB17" s="3" t="s">
        <v>84</v>
      </c>
      <c r="CD17" s="9">
        <v>4</v>
      </c>
      <c r="CE17" s="9">
        <v>8</v>
      </c>
      <c r="CF17" s="18"/>
      <c r="CG17" s="18"/>
      <c r="CH17" s="18"/>
      <c r="CI17" s="18"/>
    </row>
    <row r="18" spans="1:87" ht="15.75" customHeight="1" x14ac:dyDescent="0.15">
      <c r="A18" s="3">
        <v>1228364917</v>
      </c>
      <c r="B18" s="3" t="s">
        <v>143</v>
      </c>
      <c r="C18" s="3" t="s">
        <v>143</v>
      </c>
      <c r="D18" s="3">
        <v>5</v>
      </c>
      <c r="E18" s="3">
        <v>11</v>
      </c>
      <c r="F18" s="3">
        <v>30.355</v>
      </c>
      <c r="G18" s="3">
        <v>0</v>
      </c>
      <c r="H18" s="3" t="s">
        <v>81</v>
      </c>
      <c r="I18" s="3" t="s">
        <v>81</v>
      </c>
      <c r="J18" s="3" t="s">
        <v>81</v>
      </c>
      <c r="K18" s="3" t="s">
        <v>81</v>
      </c>
      <c r="L18" s="3" t="s">
        <v>81</v>
      </c>
      <c r="M18" s="3" t="s">
        <v>81</v>
      </c>
      <c r="N18" s="3" t="s">
        <v>81</v>
      </c>
      <c r="O18" s="3" t="s">
        <v>81</v>
      </c>
      <c r="P18" s="3" t="s">
        <v>81</v>
      </c>
      <c r="Q18" s="3">
        <v>46.447000000000003</v>
      </c>
      <c r="R18" s="3">
        <v>0</v>
      </c>
      <c r="S18" s="3" t="s">
        <v>81</v>
      </c>
      <c r="T18" s="3" t="s">
        <v>81</v>
      </c>
      <c r="U18" s="3" t="s">
        <v>81</v>
      </c>
      <c r="V18" s="3" t="s">
        <v>81</v>
      </c>
      <c r="W18" s="3" t="s">
        <v>81</v>
      </c>
      <c r="X18" s="3" t="s">
        <v>81</v>
      </c>
      <c r="Y18" s="3" t="s">
        <v>81</v>
      </c>
      <c r="Z18" s="3" t="s">
        <v>81</v>
      </c>
      <c r="AA18" s="3" t="s">
        <v>81</v>
      </c>
      <c r="AB18" s="3">
        <v>48.652999999999999</v>
      </c>
      <c r="AC18" s="3">
        <v>0</v>
      </c>
      <c r="AD18" s="3" t="s">
        <v>81</v>
      </c>
      <c r="AE18" s="3" t="s">
        <v>81</v>
      </c>
      <c r="AF18" s="3" t="s">
        <v>81</v>
      </c>
      <c r="AG18" s="3" t="s">
        <v>81</v>
      </c>
      <c r="AH18" s="3" t="s">
        <v>81</v>
      </c>
      <c r="AI18" s="3" t="s">
        <v>81</v>
      </c>
      <c r="AJ18" s="3" t="s">
        <v>81</v>
      </c>
      <c r="AK18" s="3" t="s">
        <v>81</v>
      </c>
      <c r="AL18" s="3" t="s">
        <v>81</v>
      </c>
      <c r="AM18" s="3">
        <v>43.28</v>
      </c>
      <c r="AN18" s="3">
        <v>0</v>
      </c>
      <c r="AO18" s="3" t="s">
        <v>81</v>
      </c>
      <c r="AP18" s="3" t="s">
        <v>81</v>
      </c>
      <c r="AQ18" s="3" t="s">
        <v>81</v>
      </c>
      <c r="AR18" s="3" t="s">
        <v>81</v>
      </c>
      <c r="AS18" s="3" t="s">
        <v>81</v>
      </c>
      <c r="AT18" s="3" t="s">
        <v>81</v>
      </c>
      <c r="AU18" s="3" t="s">
        <v>81</v>
      </c>
      <c r="AV18" s="3" t="s">
        <v>81</v>
      </c>
      <c r="AW18" s="3" t="s">
        <v>81</v>
      </c>
      <c r="AX18" s="3">
        <v>45.225999999999999</v>
      </c>
      <c r="AY18" s="3">
        <v>0</v>
      </c>
      <c r="AZ18" s="3" t="s">
        <v>81</v>
      </c>
      <c r="BA18" s="3" t="s">
        <v>81</v>
      </c>
      <c r="BB18" s="3" t="s">
        <v>81</v>
      </c>
      <c r="BC18" s="3" t="s">
        <v>81</v>
      </c>
      <c r="BD18" s="3" t="s">
        <v>81</v>
      </c>
      <c r="BE18" s="3" t="s">
        <v>81</v>
      </c>
      <c r="BF18" s="3" t="s">
        <v>81</v>
      </c>
      <c r="BG18" s="3" t="s">
        <v>81</v>
      </c>
      <c r="BH18" s="3" t="s">
        <v>81</v>
      </c>
      <c r="BI18" s="3" t="s">
        <v>84</v>
      </c>
      <c r="BJ18" s="3" t="s">
        <v>84</v>
      </c>
      <c r="BK18" s="3" t="s">
        <v>82</v>
      </c>
      <c r="BL18" s="3" t="s">
        <v>84</v>
      </c>
      <c r="BM18" s="3" t="s">
        <v>84</v>
      </c>
      <c r="BN18" s="3" t="s">
        <v>84</v>
      </c>
      <c r="BO18" s="3" t="s">
        <v>82</v>
      </c>
      <c r="BP18" s="3" t="s">
        <v>81</v>
      </c>
      <c r="BQ18" s="3" t="s">
        <v>81</v>
      </c>
      <c r="BR18" s="3" t="s">
        <v>81</v>
      </c>
      <c r="BS18" s="3" t="s">
        <v>81</v>
      </c>
      <c r="BT18" s="3" t="s">
        <v>81</v>
      </c>
      <c r="BU18" s="3" t="s">
        <v>81</v>
      </c>
      <c r="BV18" s="3" t="s">
        <v>84</v>
      </c>
      <c r="BW18" s="3" t="s">
        <v>83</v>
      </c>
      <c r="BX18" s="3" t="s">
        <v>82</v>
      </c>
      <c r="BY18" s="3" t="s">
        <v>144</v>
      </c>
      <c r="BZ18" s="3" t="s">
        <v>93</v>
      </c>
      <c r="CB18" s="3" t="s">
        <v>84</v>
      </c>
      <c r="CF18" s="18"/>
      <c r="CG18" s="18"/>
      <c r="CH18" s="18"/>
      <c r="CI18" s="18"/>
    </row>
    <row r="19" spans="1:87" ht="15.75" customHeight="1" x14ac:dyDescent="0.15">
      <c r="A19" s="3">
        <v>2625878876</v>
      </c>
      <c r="B19" s="3" t="s">
        <v>146</v>
      </c>
      <c r="C19" s="3" t="s">
        <v>143</v>
      </c>
      <c r="D19" s="3" t="s">
        <v>81</v>
      </c>
      <c r="E19" s="3">
        <v>22</v>
      </c>
      <c r="F19" s="3">
        <v>30.321999999999999</v>
      </c>
      <c r="G19" s="3">
        <v>0</v>
      </c>
      <c r="H19" s="3" t="s">
        <v>81</v>
      </c>
      <c r="I19" s="3" t="s">
        <v>81</v>
      </c>
      <c r="J19" s="3" t="s">
        <v>81</v>
      </c>
      <c r="K19" s="3" t="s">
        <v>81</v>
      </c>
      <c r="L19" s="3" t="s">
        <v>81</v>
      </c>
      <c r="M19" s="3" t="s">
        <v>81</v>
      </c>
      <c r="N19" s="3" t="s">
        <v>81</v>
      </c>
      <c r="O19" s="3" t="s">
        <v>81</v>
      </c>
      <c r="P19" s="3" t="s">
        <v>81</v>
      </c>
      <c r="Q19" s="3">
        <v>28.297999999999998</v>
      </c>
      <c r="R19" s="3">
        <v>0</v>
      </c>
      <c r="S19" s="3" t="s">
        <v>81</v>
      </c>
      <c r="T19" s="3" t="s">
        <v>81</v>
      </c>
      <c r="U19" s="3" t="s">
        <v>81</v>
      </c>
      <c r="V19" s="3" t="s">
        <v>81</v>
      </c>
      <c r="W19" s="3" t="s">
        <v>81</v>
      </c>
      <c r="X19" s="3" t="s">
        <v>81</v>
      </c>
      <c r="Y19" s="3" t="s">
        <v>81</v>
      </c>
      <c r="Z19" s="3" t="s">
        <v>81</v>
      </c>
      <c r="AA19" s="3" t="s">
        <v>81</v>
      </c>
      <c r="AB19" s="3">
        <v>28.163</v>
      </c>
      <c r="AC19" s="3">
        <v>0</v>
      </c>
      <c r="AD19" s="3" t="s">
        <v>81</v>
      </c>
      <c r="AE19" s="3" t="s">
        <v>81</v>
      </c>
      <c r="AF19" s="3" t="s">
        <v>81</v>
      </c>
      <c r="AG19" s="3" t="s">
        <v>81</v>
      </c>
      <c r="AH19" s="3" t="s">
        <v>81</v>
      </c>
      <c r="AI19" s="3" t="s">
        <v>81</v>
      </c>
      <c r="AJ19" s="3" t="s">
        <v>81</v>
      </c>
      <c r="AK19" s="3" t="s">
        <v>81</v>
      </c>
      <c r="AL19" s="3" t="s">
        <v>81</v>
      </c>
      <c r="AM19" s="3">
        <v>31.783000000000001</v>
      </c>
      <c r="AN19" s="3">
        <v>0</v>
      </c>
      <c r="AO19" s="3" t="s">
        <v>81</v>
      </c>
      <c r="AP19" s="3" t="s">
        <v>81</v>
      </c>
      <c r="AQ19" s="3" t="s">
        <v>81</v>
      </c>
      <c r="AR19" s="3" t="s">
        <v>81</v>
      </c>
      <c r="AS19" s="3" t="s">
        <v>81</v>
      </c>
      <c r="AT19" s="3" t="s">
        <v>81</v>
      </c>
      <c r="AU19" s="3" t="s">
        <v>81</v>
      </c>
      <c r="AV19" s="3" t="s">
        <v>81</v>
      </c>
      <c r="AW19" s="3" t="s">
        <v>81</v>
      </c>
      <c r="AX19" s="3">
        <v>27.67</v>
      </c>
      <c r="AY19" s="3">
        <v>0</v>
      </c>
      <c r="AZ19" s="3" t="s">
        <v>81</v>
      </c>
      <c r="BA19" s="3" t="s">
        <v>81</v>
      </c>
      <c r="BB19" s="3" t="s">
        <v>81</v>
      </c>
      <c r="BC19" s="3" t="s">
        <v>81</v>
      </c>
      <c r="BD19" s="3" t="s">
        <v>81</v>
      </c>
      <c r="BE19" s="3" t="s">
        <v>81</v>
      </c>
      <c r="BF19" s="3" t="s">
        <v>81</v>
      </c>
      <c r="BG19" s="3" t="s">
        <v>81</v>
      </c>
      <c r="BH19" s="3" t="s">
        <v>81</v>
      </c>
      <c r="BI19" s="3" t="s">
        <v>84</v>
      </c>
      <c r="BJ19" s="3" t="s">
        <v>84</v>
      </c>
      <c r="BK19" s="3" t="s">
        <v>82</v>
      </c>
      <c r="BL19" s="3" t="s">
        <v>84</v>
      </c>
      <c r="BM19" s="3" t="s">
        <v>84</v>
      </c>
      <c r="BN19" s="3" t="s">
        <v>82</v>
      </c>
      <c r="BO19" s="3" t="s">
        <v>84</v>
      </c>
      <c r="BP19" s="3" t="s">
        <v>148</v>
      </c>
      <c r="BQ19" s="3" t="s">
        <v>148</v>
      </c>
      <c r="BR19" s="3" t="s">
        <v>149</v>
      </c>
      <c r="BS19" s="3" t="s">
        <v>149</v>
      </c>
      <c r="BT19" s="3" t="s">
        <v>87</v>
      </c>
      <c r="BU19" s="3" t="s">
        <v>129</v>
      </c>
      <c r="BV19" s="3" t="s">
        <v>84</v>
      </c>
      <c r="BW19" s="3" t="s">
        <v>83</v>
      </c>
      <c r="BX19" s="3" t="s">
        <v>82</v>
      </c>
      <c r="BY19" s="3" t="s">
        <v>150</v>
      </c>
      <c r="BZ19" s="3" t="s">
        <v>86</v>
      </c>
      <c r="CB19" s="3" t="s">
        <v>84</v>
      </c>
      <c r="CF19" s="18"/>
      <c r="CG19" s="18"/>
      <c r="CH19" s="18"/>
      <c r="CI19" s="18"/>
    </row>
    <row r="20" spans="1:87" ht="15.75" customHeight="1" x14ac:dyDescent="0.15">
      <c r="A20" s="3">
        <v>2625875522</v>
      </c>
      <c r="B20" s="3" t="s">
        <v>151</v>
      </c>
      <c r="C20" s="3" t="s">
        <v>143</v>
      </c>
      <c r="D20" s="3" t="s">
        <v>81</v>
      </c>
      <c r="E20" s="3">
        <v>17</v>
      </c>
      <c r="F20" s="3">
        <v>24.937000000000001</v>
      </c>
      <c r="G20" s="3">
        <v>0</v>
      </c>
      <c r="H20" s="3" t="s">
        <v>81</v>
      </c>
      <c r="I20" s="3" t="s">
        <v>81</v>
      </c>
      <c r="J20" s="3" t="s">
        <v>81</v>
      </c>
      <c r="K20" s="3" t="s">
        <v>81</v>
      </c>
      <c r="L20" s="3" t="s">
        <v>81</v>
      </c>
      <c r="M20" s="3" t="s">
        <v>81</v>
      </c>
      <c r="N20" s="3" t="s">
        <v>81</v>
      </c>
      <c r="O20" s="3" t="s">
        <v>81</v>
      </c>
      <c r="P20" s="3" t="s">
        <v>81</v>
      </c>
      <c r="Q20" s="3">
        <v>22.207999999999998</v>
      </c>
      <c r="R20" s="3">
        <v>0</v>
      </c>
      <c r="S20" s="3" t="s">
        <v>81</v>
      </c>
      <c r="T20" s="3" t="s">
        <v>81</v>
      </c>
      <c r="U20" s="3" t="s">
        <v>81</v>
      </c>
      <c r="V20" s="3" t="s">
        <v>81</v>
      </c>
      <c r="W20" s="3" t="s">
        <v>81</v>
      </c>
      <c r="X20" s="3" t="s">
        <v>81</v>
      </c>
      <c r="Y20" s="3" t="s">
        <v>81</v>
      </c>
      <c r="Z20" s="3" t="s">
        <v>81</v>
      </c>
      <c r="AA20" s="3" t="s">
        <v>81</v>
      </c>
      <c r="AB20" s="3">
        <v>23.734999999999999</v>
      </c>
      <c r="AC20" s="3">
        <v>0</v>
      </c>
      <c r="AD20" s="3" t="s">
        <v>81</v>
      </c>
      <c r="AE20" s="3" t="s">
        <v>81</v>
      </c>
      <c r="AF20" s="3" t="s">
        <v>81</v>
      </c>
      <c r="AG20" s="3" t="s">
        <v>81</v>
      </c>
      <c r="AH20" s="3" t="s">
        <v>81</v>
      </c>
      <c r="AI20" s="3" t="s">
        <v>81</v>
      </c>
      <c r="AJ20" s="3" t="s">
        <v>81</v>
      </c>
      <c r="AK20" s="3" t="s">
        <v>81</v>
      </c>
      <c r="AL20" s="3" t="s">
        <v>81</v>
      </c>
      <c r="AM20" s="3">
        <v>20.643000000000001</v>
      </c>
      <c r="AN20" s="3">
        <v>0</v>
      </c>
      <c r="AO20" s="3" t="s">
        <v>81</v>
      </c>
      <c r="AP20" s="3" t="s">
        <v>81</v>
      </c>
      <c r="AQ20" s="3" t="s">
        <v>81</v>
      </c>
      <c r="AR20" s="3" t="s">
        <v>81</v>
      </c>
      <c r="AS20" s="3" t="s">
        <v>81</v>
      </c>
      <c r="AT20" s="3" t="s">
        <v>81</v>
      </c>
      <c r="AU20" s="3" t="s">
        <v>81</v>
      </c>
      <c r="AV20" s="3" t="s">
        <v>81</v>
      </c>
      <c r="AW20" s="3" t="s">
        <v>81</v>
      </c>
      <c r="AX20" s="3">
        <v>20.844999999999999</v>
      </c>
      <c r="AY20" s="3">
        <v>0</v>
      </c>
      <c r="AZ20" s="3" t="s">
        <v>81</v>
      </c>
      <c r="BA20" s="3" t="s">
        <v>81</v>
      </c>
      <c r="BB20" s="3" t="s">
        <v>81</v>
      </c>
      <c r="BC20" s="3" t="s">
        <v>81</v>
      </c>
      <c r="BD20" s="3" t="s">
        <v>81</v>
      </c>
      <c r="BE20" s="3" t="s">
        <v>81</v>
      </c>
      <c r="BF20" s="3" t="s">
        <v>81</v>
      </c>
      <c r="BG20" s="3" t="s">
        <v>81</v>
      </c>
      <c r="BH20" s="3" t="s">
        <v>81</v>
      </c>
      <c r="BI20" s="3" t="s">
        <v>82</v>
      </c>
      <c r="BJ20" s="3" t="s">
        <v>84</v>
      </c>
      <c r="BK20" s="3" t="s">
        <v>82</v>
      </c>
      <c r="BL20" s="3" t="s">
        <v>84</v>
      </c>
      <c r="BM20" s="3" t="s">
        <v>84</v>
      </c>
      <c r="BN20" s="3" t="s">
        <v>82</v>
      </c>
      <c r="BO20" s="3" t="s">
        <v>84</v>
      </c>
      <c r="BP20" s="3" t="s">
        <v>152</v>
      </c>
      <c r="BQ20" s="3" t="s">
        <v>152</v>
      </c>
      <c r="BR20" s="3" t="s">
        <v>135</v>
      </c>
      <c r="BS20" s="3" t="s">
        <v>153</v>
      </c>
      <c r="BT20" s="3" t="s">
        <v>87</v>
      </c>
      <c r="BU20" s="3" t="s">
        <v>129</v>
      </c>
      <c r="BV20" s="3" t="s">
        <v>84</v>
      </c>
      <c r="BW20" s="3" t="s">
        <v>83</v>
      </c>
      <c r="BX20" s="3" t="s">
        <v>83</v>
      </c>
      <c r="BY20" s="3" t="s">
        <v>154</v>
      </c>
      <c r="BZ20" s="3" t="s">
        <v>86</v>
      </c>
      <c r="CB20" s="3" t="s">
        <v>84</v>
      </c>
      <c r="CF20" s="18"/>
      <c r="CG20" s="18"/>
      <c r="CH20" s="18"/>
      <c r="CI20" s="18"/>
    </row>
    <row r="21" spans="1:87" ht="15.75" customHeight="1" x14ac:dyDescent="0.15">
      <c r="A21" s="3">
        <v>2625867604</v>
      </c>
      <c r="B21" s="3" t="s">
        <v>146</v>
      </c>
      <c r="C21" s="3" t="s">
        <v>143</v>
      </c>
      <c r="D21" s="3" t="s">
        <v>81</v>
      </c>
      <c r="E21" s="3">
        <v>25</v>
      </c>
      <c r="F21" s="3">
        <v>36.094999999999999</v>
      </c>
      <c r="G21" s="3">
        <v>0</v>
      </c>
      <c r="H21" s="3" t="s">
        <v>81</v>
      </c>
      <c r="I21" s="3" t="s">
        <v>81</v>
      </c>
      <c r="J21" s="3" t="s">
        <v>81</v>
      </c>
      <c r="K21" s="3" t="s">
        <v>81</v>
      </c>
      <c r="L21" s="3" t="s">
        <v>81</v>
      </c>
      <c r="M21" s="3" t="s">
        <v>81</v>
      </c>
      <c r="N21" s="3" t="s">
        <v>81</v>
      </c>
      <c r="O21" s="3" t="s">
        <v>81</v>
      </c>
      <c r="P21" s="3" t="s">
        <v>81</v>
      </c>
      <c r="Q21" s="3">
        <v>35.094999999999999</v>
      </c>
      <c r="R21" s="3">
        <v>0</v>
      </c>
      <c r="S21" s="3" t="s">
        <v>81</v>
      </c>
      <c r="T21" s="3" t="s">
        <v>81</v>
      </c>
      <c r="U21" s="3" t="s">
        <v>81</v>
      </c>
      <c r="V21" s="3" t="s">
        <v>81</v>
      </c>
      <c r="W21" s="3" t="s">
        <v>81</v>
      </c>
      <c r="X21" s="3" t="s">
        <v>81</v>
      </c>
      <c r="Y21" s="3" t="s">
        <v>81</v>
      </c>
      <c r="Z21" s="3" t="s">
        <v>81</v>
      </c>
      <c r="AA21" s="3" t="s">
        <v>81</v>
      </c>
      <c r="AB21" s="3">
        <v>37.159999999999997</v>
      </c>
      <c r="AC21" s="3">
        <v>0</v>
      </c>
      <c r="AD21" s="3" t="s">
        <v>81</v>
      </c>
      <c r="AE21" s="3" t="s">
        <v>81</v>
      </c>
      <c r="AF21" s="3" t="s">
        <v>81</v>
      </c>
      <c r="AG21" s="3" t="s">
        <v>81</v>
      </c>
      <c r="AH21" s="3" t="s">
        <v>81</v>
      </c>
      <c r="AI21" s="3" t="s">
        <v>81</v>
      </c>
      <c r="AJ21" s="3" t="s">
        <v>81</v>
      </c>
      <c r="AK21" s="3" t="s">
        <v>81</v>
      </c>
      <c r="AL21" s="3" t="s">
        <v>81</v>
      </c>
      <c r="AM21" s="3">
        <v>36.808999999999997</v>
      </c>
      <c r="AN21" s="3">
        <v>0</v>
      </c>
      <c r="AO21" s="3" t="s">
        <v>81</v>
      </c>
      <c r="AP21" s="3" t="s">
        <v>81</v>
      </c>
      <c r="AQ21" s="3" t="s">
        <v>81</v>
      </c>
      <c r="AR21" s="3" t="s">
        <v>81</v>
      </c>
      <c r="AS21" s="3" t="s">
        <v>81</v>
      </c>
      <c r="AT21" s="3" t="s">
        <v>81</v>
      </c>
      <c r="AU21" s="3" t="s">
        <v>81</v>
      </c>
      <c r="AV21" s="3" t="s">
        <v>81</v>
      </c>
      <c r="AW21" s="3" t="s">
        <v>81</v>
      </c>
      <c r="AX21" s="3">
        <v>34.814999999999998</v>
      </c>
      <c r="AY21" s="3">
        <v>0</v>
      </c>
      <c r="AZ21" s="3" t="s">
        <v>81</v>
      </c>
      <c r="BA21" s="3" t="s">
        <v>81</v>
      </c>
      <c r="BB21" s="3" t="s">
        <v>81</v>
      </c>
      <c r="BC21" s="3" t="s">
        <v>81</v>
      </c>
      <c r="BD21" s="3" t="s">
        <v>81</v>
      </c>
      <c r="BE21" s="3" t="s">
        <v>81</v>
      </c>
      <c r="BF21" s="3" t="s">
        <v>81</v>
      </c>
      <c r="BG21" s="3" t="s">
        <v>81</v>
      </c>
      <c r="BH21" s="3" t="s">
        <v>81</v>
      </c>
      <c r="BI21" s="3" t="s">
        <v>82</v>
      </c>
      <c r="BJ21" s="3" t="s">
        <v>84</v>
      </c>
      <c r="BK21" s="3" t="s">
        <v>84</v>
      </c>
      <c r="BL21" s="3" t="s">
        <v>82</v>
      </c>
      <c r="BM21" s="3" t="s">
        <v>83</v>
      </c>
      <c r="BN21" s="3" t="s">
        <v>82</v>
      </c>
      <c r="BO21" s="3" t="s">
        <v>83</v>
      </c>
      <c r="BP21" s="3" t="s">
        <v>81</v>
      </c>
      <c r="BQ21" s="3" t="s">
        <v>81</v>
      </c>
      <c r="BR21" s="3" t="s">
        <v>81</v>
      </c>
      <c r="BS21" s="3" t="s">
        <v>81</v>
      </c>
      <c r="BT21" s="3" t="s">
        <v>81</v>
      </c>
      <c r="BU21" s="3" t="s">
        <v>81</v>
      </c>
      <c r="BV21" s="3" t="s">
        <v>83</v>
      </c>
      <c r="BW21" s="3" t="s">
        <v>83</v>
      </c>
      <c r="BX21" s="3" t="s">
        <v>83</v>
      </c>
      <c r="BY21" s="3" t="s">
        <v>147</v>
      </c>
      <c r="BZ21" s="3" t="s">
        <v>86</v>
      </c>
      <c r="CB21" s="3" t="s">
        <v>84</v>
      </c>
      <c r="CF21" s="18"/>
      <c r="CG21" s="18"/>
      <c r="CH21" s="18"/>
      <c r="CI21" s="18"/>
    </row>
    <row r="22" spans="1:87" ht="15.75" customHeight="1" x14ac:dyDescent="0.15">
      <c r="A22" s="3">
        <v>1228173457</v>
      </c>
      <c r="B22" s="3" t="s">
        <v>158</v>
      </c>
      <c r="C22" s="3" t="s">
        <v>158</v>
      </c>
      <c r="D22" s="3" t="s">
        <v>81</v>
      </c>
      <c r="E22" s="3">
        <v>23</v>
      </c>
      <c r="F22" s="3">
        <v>51.508000000000003</v>
      </c>
      <c r="G22" s="3">
        <v>0</v>
      </c>
      <c r="H22" s="3" t="s">
        <v>81</v>
      </c>
      <c r="I22" s="3" t="s">
        <v>81</v>
      </c>
      <c r="J22" s="3" t="s">
        <v>81</v>
      </c>
      <c r="K22" s="3" t="s">
        <v>81</v>
      </c>
      <c r="L22" s="3" t="s">
        <v>81</v>
      </c>
      <c r="M22" s="3" t="s">
        <v>81</v>
      </c>
      <c r="N22" s="3" t="s">
        <v>81</v>
      </c>
      <c r="O22" s="3" t="s">
        <v>81</v>
      </c>
      <c r="P22" s="3" t="s">
        <v>81</v>
      </c>
      <c r="Q22" s="3">
        <v>43.024000000000001</v>
      </c>
      <c r="R22" s="3">
        <v>0</v>
      </c>
      <c r="S22" s="3" t="s">
        <v>81</v>
      </c>
      <c r="T22" s="3" t="s">
        <v>81</v>
      </c>
      <c r="U22" s="3" t="s">
        <v>81</v>
      </c>
      <c r="V22" s="3" t="s">
        <v>81</v>
      </c>
      <c r="W22" s="3" t="s">
        <v>81</v>
      </c>
      <c r="X22" s="3" t="s">
        <v>81</v>
      </c>
      <c r="Y22" s="3" t="s">
        <v>81</v>
      </c>
      <c r="Z22" s="3" t="s">
        <v>81</v>
      </c>
      <c r="AA22" s="3" t="s">
        <v>81</v>
      </c>
      <c r="AB22" s="3">
        <v>56.927999999999997</v>
      </c>
      <c r="AC22" s="3">
        <v>0</v>
      </c>
      <c r="AD22" s="3" t="s">
        <v>81</v>
      </c>
      <c r="AE22" s="3" t="s">
        <v>81</v>
      </c>
      <c r="AF22" s="3" t="s">
        <v>81</v>
      </c>
      <c r="AG22" s="3" t="s">
        <v>81</v>
      </c>
      <c r="AH22" s="3" t="s">
        <v>81</v>
      </c>
      <c r="AI22" s="3" t="s">
        <v>81</v>
      </c>
      <c r="AJ22" s="3" t="s">
        <v>81</v>
      </c>
      <c r="AK22" s="3" t="s">
        <v>81</v>
      </c>
      <c r="AL22" s="3" t="s">
        <v>81</v>
      </c>
      <c r="AM22" s="3">
        <v>40.305</v>
      </c>
      <c r="AN22" s="3">
        <v>0</v>
      </c>
      <c r="AO22" s="3" t="s">
        <v>81</v>
      </c>
      <c r="AP22" s="3" t="s">
        <v>81</v>
      </c>
      <c r="AQ22" s="3" t="s">
        <v>81</v>
      </c>
      <c r="AR22" s="3" t="s">
        <v>81</v>
      </c>
      <c r="AS22" s="3" t="s">
        <v>81</v>
      </c>
      <c r="AT22" s="3" t="s">
        <v>81</v>
      </c>
      <c r="AU22" s="3" t="s">
        <v>81</v>
      </c>
      <c r="AV22" s="3" t="s">
        <v>81</v>
      </c>
      <c r="AW22" s="3" t="s">
        <v>81</v>
      </c>
      <c r="AX22" s="3">
        <v>58.731000000000002</v>
      </c>
      <c r="AY22" s="3">
        <v>0</v>
      </c>
      <c r="AZ22" s="3" t="s">
        <v>81</v>
      </c>
      <c r="BA22" s="3" t="s">
        <v>81</v>
      </c>
      <c r="BB22" s="3" t="s">
        <v>81</v>
      </c>
      <c r="BC22" s="3" t="s">
        <v>81</v>
      </c>
      <c r="BD22" s="3" t="s">
        <v>81</v>
      </c>
      <c r="BE22" s="3" t="s">
        <v>81</v>
      </c>
      <c r="BF22" s="3" t="s">
        <v>81</v>
      </c>
      <c r="BG22" s="3" t="s">
        <v>81</v>
      </c>
      <c r="BH22" s="3" t="s">
        <v>81</v>
      </c>
      <c r="BI22" s="3" t="s">
        <v>82</v>
      </c>
      <c r="BJ22" s="3" t="s">
        <v>84</v>
      </c>
      <c r="BK22" s="3" t="s">
        <v>84</v>
      </c>
      <c r="BL22" s="3" t="s">
        <v>82</v>
      </c>
      <c r="BM22" s="3" t="s">
        <v>83</v>
      </c>
      <c r="BN22" s="3" t="s">
        <v>83</v>
      </c>
      <c r="BO22" s="3" t="s">
        <v>83</v>
      </c>
      <c r="BP22" s="3" t="s">
        <v>81</v>
      </c>
      <c r="BQ22" s="3" t="s">
        <v>81</v>
      </c>
      <c r="BR22" s="3" t="s">
        <v>81</v>
      </c>
      <c r="BS22" s="3" t="s">
        <v>81</v>
      </c>
      <c r="BT22" s="3" t="s">
        <v>81</v>
      </c>
      <c r="BU22" s="3" t="s">
        <v>81</v>
      </c>
      <c r="BV22" s="3" t="s">
        <v>83</v>
      </c>
      <c r="BW22" s="3" t="s">
        <v>83</v>
      </c>
      <c r="BX22" s="3" t="s">
        <v>83</v>
      </c>
      <c r="BY22" s="3" t="s">
        <v>159</v>
      </c>
      <c r="BZ22" s="3" t="s">
        <v>93</v>
      </c>
      <c r="CB22" s="3" t="s">
        <v>84</v>
      </c>
      <c r="CD22" s="9">
        <v>26</v>
      </c>
      <c r="CF22" s="18"/>
      <c r="CG22" s="18"/>
      <c r="CH22" s="18"/>
      <c r="CI22" s="18"/>
    </row>
    <row r="23" spans="1:87" x14ac:dyDescent="0.15">
      <c r="A23" s="3">
        <v>1847921889</v>
      </c>
      <c r="B23" s="3" t="s">
        <v>158</v>
      </c>
      <c r="C23" s="3" t="s">
        <v>158</v>
      </c>
      <c r="D23" s="3" t="s">
        <v>81</v>
      </c>
      <c r="E23" s="3">
        <v>13</v>
      </c>
      <c r="F23" s="3">
        <v>50.822000000000003</v>
      </c>
      <c r="G23" s="3">
        <v>0</v>
      </c>
      <c r="H23" s="3" t="s">
        <v>81</v>
      </c>
      <c r="I23" s="3" t="s">
        <v>81</v>
      </c>
      <c r="J23" s="3" t="s">
        <v>81</v>
      </c>
      <c r="K23" s="3" t="s">
        <v>81</v>
      </c>
      <c r="L23" s="3" t="s">
        <v>81</v>
      </c>
      <c r="M23" s="3" t="s">
        <v>81</v>
      </c>
      <c r="N23" s="3" t="s">
        <v>81</v>
      </c>
      <c r="O23" s="3" t="s">
        <v>81</v>
      </c>
      <c r="P23" s="3" t="s">
        <v>81</v>
      </c>
      <c r="Q23" s="3">
        <v>51.991999999999997</v>
      </c>
      <c r="R23" s="3">
        <v>0</v>
      </c>
      <c r="S23" s="3" t="s">
        <v>81</v>
      </c>
      <c r="T23" s="3" t="s">
        <v>81</v>
      </c>
      <c r="U23" s="3" t="s">
        <v>81</v>
      </c>
      <c r="V23" s="3" t="s">
        <v>81</v>
      </c>
      <c r="W23" s="3" t="s">
        <v>81</v>
      </c>
      <c r="X23" s="3" t="s">
        <v>81</v>
      </c>
      <c r="Y23" s="3" t="s">
        <v>81</v>
      </c>
      <c r="Z23" s="3" t="s">
        <v>81</v>
      </c>
      <c r="AA23" s="3" t="s">
        <v>81</v>
      </c>
      <c r="AB23" s="3">
        <v>47.665999999999997</v>
      </c>
      <c r="AC23" s="3">
        <v>0</v>
      </c>
      <c r="AD23" s="3" t="s">
        <v>81</v>
      </c>
      <c r="AE23" s="3" t="s">
        <v>81</v>
      </c>
      <c r="AF23" s="3" t="s">
        <v>81</v>
      </c>
      <c r="AG23" s="3" t="s">
        <v>81</v>
      </c>
      <c r="AH23" s="3" t="s">
        <v>81</v>
      </c>
      <c r="AI23" s="3" t="s">
        <v>81</v>
      </c>
      <c r="AJ23" s="3" t="s">
        <v>81</v>
      </c>
      <c r="AK23" s="3" t="s">
        <v>81</v>
      </c>
      <c r="AL23" s="3" t="s">
        <v>81</v>
      </c>
      <c r="AM23" s="3">
        <v>50.189</v>
      </c>
      <c r="AN23" s="3">
        <v>0</v>
      </c>
      <c r="AO23" s="3" t="s">
        <v>81</v>
      </c>
      <c r="AP23" s="3" t="s">
        <v>81</v>
      </c>
      <c r="AQ23" s="3" t="s">
        <v>81</v>
      </c>
      <c r="AR23" s="3" t="s">
        <v>81</v>
      </c>
      <c r="AS23" s="3" t="s">
        <v>81</v>
      </c>
      <c r="AT23" s="3" t="s">
        <v>81</v>
      </c>
      <c r="AU23" s="3" t="s">
        <v>81</v>
      </c>
      <c r="AV23" s="3" t="s">
        <v>81</v>
      </c>
      <c r="AW23" s="3" t="s">
        <v>81</v>
      </c>
      <c r="AX23" s="3">
        <v>41.301000000000002</v>
      </c>
      <c r="AY23" s="3">
        <v>0</v>
      </c>
      <c r="AZ23" s="3" t="s">
        <v>81</v>
      </c>
      <c r="BA23" s="3" t="s">
        <v>81</v>
      </c>
      <c r="BB23" s="3" t="s">
        <v>81</v>
      </c>
      <c r="BC23" s="3" t="s">
        <v>81</v>
      </c>
      <c r="BD23" s="3" t="s">
        <v>81</v>
      </c>
      <c r="BE23" s="3" t="s">
        <v>81</v>
      </c>
      <c r="BF23" s="3" t="s">
        <v>81</v>
      </c>
      <c r="BG23" s="3" t="s">
        <v>81</v>
      </c>
      <c r="BH23" s="3" t="s">
        <v>81</v>
      </c>
      <c r="BI23" s="3" t="s">
        <v>82</v>
      </c>
      <c r="BJ23" s="3" t="s">
        <v>82</v>
      </c>
      <c r="BK23" s="3" t="s">
        <v>83</v>
      </c>
      <c r="BL23" s="3" t="s">
        <v>84</v>
      </c>
      <c r="BM23" s="3" t="s">
        <v>82</v>
      </c>
      <c r="BN23" s="3" t="s">
        <v>84</v>
      </c>
      <c r="BO23" s="3" t="s">
        <v>82</v>
      </c>
      <c r="BP23" s="3" t="s">
        <v>85</v>
      </c>
      <c r="BQ23" s="3" t="s">
        <v>85</v>
      </c>
      <c r="BR23" s="3" t="s">
        <v>85</v>
      </c>
      <c r="BS23" s="3" t="s">
        <v>85</v>
      </c>
      <c r="BT23" s="3" t="s">
        <v>85</v>
      </c>
      <c r="BU23" s="3" t="s">
        <v>81</v>
      </c>
      <c r="BV23" s="3" t="s">
        <v>84</v>
      </c>
      <c r="BW23" s="3" t="s">
        <v>83</v>
      </c>
      <c r="BX23" s="3" t="s">
        <v>82</v>
      </c>
      <c r="BY23" s="3" t="s">
        <v>160</v>
      </c>
      <c r="BZ23" s="3" t="s">
        <v>93</v>
      </c>
      <c r="CB23" s="3" t="s">
        <v>84</v>
      </c>
      <c r="CD23" s="9">
        <v>13</v>
      </c>
      <c r="CF23" s="18"/>
      <c r="CG23" s="18"/>
      <c r="CH23" s="18"/>
      <c r="CI23" s="18"/>
    </row>
    <row r="24" spans="1:87" ht="15.75" customHeight="1" x14ac:dyDescent="0.15">
      <c r="A24" s="3">
        <v>2235781910</v>
      </c>
      <c r="B24" s="3" t="s">
        <v>158</v>
      </c>
      <c r="C24" s="3" t="s">
        <v>158</v>
      </c>
      <c r="D24" s="3">
        <v>5</v>
      </c>
      <c r="E24" s="3">
        <v>5</v>
      </c>
      <c r="F24" s="3">
        <v>44.055999999999997</v>
      </c>
      <c r="G24" s="3">
        <v>0</v>
      </c>
      <c r="H24" s="3" t="s">
        <v>81</v>
      </c>
      <c r="I24" s="3" t="s">
        <v>81</v>
      </c>
      <c r="J24" s="3" t="s">
        <v>81</v>
      </c>
      <c r="K24" s="3" t="s">
        <v>81</v>
      </c>
      <c r="L24" s="3" t="s">
        <v>81</v>
      </c>
      <c r="M24" s="3" t="s">
        <v>81</v>
      </c>
      <c r="N24" s="3" t="s">
        <v>81</v>
      </c>
      <c r="O24" s="3" t="s">
        <v>81</v>
      </c>
      <c r="P24" s="3" t="s">
        <v>81</v>
      </c>
      <c r="Q24" s="3">
        <v>39.683999999999997</v>
      </c>
      <c r="R24" s="3">
        <v>0</v>
      </c>
      <c r="S24" s="3" t="s">
        <v>81</v>
      </c>
      <c r="T24" s="3" t="s">
        <v>81</v>
      </c>
      <c r="U24" s="3" t="s">
        <v>81</v>
      </c>
      <c r="V24" s="3" t="s">
        <v>81</v>
      </c>
      <c r="W24" s="3" t="s">
        <v>81</v>
      </c>
      <c r="X24" s="3" t="s">
        <v>81</v>
      </c>
      <c r="Y24" s="3" t="s">
        <v>81</v>
      </c>
      <c r="Z24" s="3" t="s">
        <v>81</v>
      </c>
      <c r="AA24" s="3" t="s">
        <v>81</v>
      </c>
      <c r="AB24" s="3">
        <v>39.052999999999997</v>
      </c>
      <c r="AC24" s="3">
        <v>0</v>
      </c>
      <c r="AD24" s="3" t="s">
        <v>81</v>
      </c>
      <c r="AE24" s="3" t="s">
        <v>81</v>
      </c>
      <c r="AF24" s="3" t="s">
        <v>81</v>
      </c>
      <c r="AG24" s="3" t="s">
        <v>81</v>
      </c>
      <c r="AH24" s="3" t="s">
        <v>81</v>
      </c>
      <c r="AI24" s="3" t="s">
        <v>81</v>
      </c>
      <c r="AJ24" s="3" t="s">
        <v>81</v>
      </c>
      <c r="AK24" s="3" t="s">
        <v>81</v>
      </c>
      <c r="AL24" s="3" t="s">
        <v>81</v>
      </c>
      <c r="AM24" s="3">
        <v>39.692</v>
      </c>
      <c r="AN24" s="3">
        <v>0</v>
      </c>
      <c r="AO24" s="3" t="s">
        <v>81</v>
      </c>
      <c r="AP24" s="3" t="s">
        <v>81</v>
      </c>
      <c r="AQ24" s="3" t="s">
        <v>81</v>
      </c>
      <c r="AR24" s="3" t="s">
        <v>81</v>
      </c>
      <c r="AS24" s="3" t="s">
        <v>81</v>
      </c>
      <c r="AT24" s="3" t="s">
        <v>81</v>
      </c>
      <c r="AU24" s="3" t="s">
        <v>81</v>
      </c>
      <c r="AV24" s="3" t="s">
        <v>81</v>
      </c>
      <c r="AW24" s="3" t="s">
        <v>81</v>
      </c>
      <c r="AX24" s="3" t="s">
        <v>81</v>
      </c>
      <c r="AY24" s="3">
        <v>0</v>
      </c>
      <c r="AZ24" s="3" t="s">
        <v>81</v>
      </c>
      <c r="BA24" s="3" t="s">
        <v>81</v>
      </c>
      <c r="BB24" s="3" t="s">
        <v>81</v>
      </c>
      <c r="BC24" s="3" t="s">
        <v>81</v>
      </c>
      <c r="BD24" s="3" t="s">
        <v>81</v>
      </c>
      <c r="BE24" s="3" t="s">
        <v>81</v>
      </c>
      <c r="BF24" s="3" t="s">
        <v>81</v>
      </c>
      <c r="BG24" s="3" t="s">
        <v>81</v>
      </c>
      <c r="BH24" s="3" t="s">
        <v>81</v>
      </c>
      <c r="BI24" s="3" t="s">
        <v>84</v>
      </c>
      <c r="BJ24" s="3" t="s">
        <v>84</v>
      </c>
      <c r="BK24" s="3" t="s">
        <v>82</v>
      </c>
      <c r="BL24" s="3" t="s">
        <v>84</v>
      </c>
      <c r="BM24" s="3" t="s">
        <v>84</v>
      </c>
      <c r="BN24" s="3" t="s">
        <v>84</v>
      </c>
      <c r="BO24" s="3" t="s">
        <v>82</v>
      </c>
      <c r="BP24" s="3" t="s">
        <v>87</v>
      </c>
      <c r="BQ24" s="3" t="s">
        <v>87</v>
      </c>
      <c r="BR24" s="3" t="s">
        <v>85</v>
      </c>
      <c r="BS24" s="3" t="s">
        <v>85</v>
      </c>
      <c r="BT24" s="3" t="s">
        <v>87</v>
      </c>
      <c r="BU24" s="3" t="s">
        <v>85</v>
      </c>
      <c r="BV24" s="3" t="s">
        <v>84</v>
      </c>
      <c r="BW24" s="3" t="s">
        <v>83</v>
      </c>
      <c r="BX24" s="3" t="s">
        <v>82</v>
      </c>
      <c r="BY24" s="3" t="s">
        <v>161</v>
      </c>
      <c r="BZ24" s="3" t="s">
        <v>86</v>
      </c>
      <c r="CB24" s="3" t="s">
        <v>84</v>
      </c>
      <c r="CD24" s="9">
        <v>5</v>
      </c>
      <c r="CF24" s="18"/>
      <c r="CG24" s="18"/>
      <c r="CH24" s="18"/>
      <c r="CI24" s="18"/>
    </row>
    <row r="25" spans="1:87" ht="15.75" customHeight="1" x14ac:dyDescent="0.15">
      <c r="A25" s="3">
        <v>2235957891</v>
      </c>
      <c r="B25" s="3" t="s">
        <v>158</v>
      </c>
      <c r="C25" s="3" t="s">
        <v>158</v>
      </c>
      <c r="D25" s="3">
        <v>6</v>
      </c>
      <c r="E25" s="3">
        <v>8</v>
      </c>
      <c r="F25" s="3">
        <v>37.027999999999999</v>
      </c>
      <c r="G25" s="3">
        <v>0</v>
      </c>
      <c r="H25" s="3" t="s">
        <v>81</v>
      </c>
      <c r="I25" s="3" t="s">
        <v>81</v>
      </c>
      <c r="J25" s="3" t="s">
        <v>81</v>
      </c>
      <c r="K25" s="3" t="s">
        <v>81</v>
      </c>
      <c r="L25" s="3" t="s">
        <v>81</v>
      </c>
      <c r="M25" s="3" t="s">
        <v>81</v>
      </c>
      <c r="N25" s="3" t="s">
        <v>81</v>
      </c>
      <c r="O25" s="3" t="s">
        <v>81</v>
      </c>
      <c r="P25" s="3" t="s">
        <v>81</v>
      </c>
      <c r="Q25" s="3">
        <v>44.152999999999999</v>
      </c>
      <c r="R25" s="3">
        <v>0</v>
      </c>
      <c r="S25" s="3" t="s">
        <v>81</v>
      </c>
      <c r="T25" s="3" t="s">
        <v>81</v>
      </c>
      <c r="U25" s="3" t="s">
        <v>81</v>
      </c>
      <c r="V25" s="3" t="s">
        <v>81</v>
      </c>
      <c r="W25" s="3" t="s">
        <v>81</v>
      </c>
      <c r="X25" s="3" t="s">
        <v>81</v>
      </c>
      <c r="Y25" s="3" t="s">
        <v>81</v>
      </c>
      <c r="Z25" s="3" t="s">
        <v>81</v>
      </c>
      <c r="AA25" s="3" t="s">
        <v>81</v>
      </c>
      <c r="AB25" s="3">
        <v>35.209000000000003</v>
      </c>
      <c r="AC25" s="3">
        <v>0</v>
      </c>
      <c r="AD25" s="3" t="s">
        <v>81</v>
      </c>
      <c r="AE25" s="3" t="s">
        <v>81</v>
      </c>
      <c r="AF25" s="3" t="s">
        <v>81</v>
      </c>
      <c r="AG25" s="3" t="s">
        <v>81</v>
      </c>
      <c r="AH25" s="3" t="s">
        <v>81</v>
      </c>
      <c r="AI25" s="3" t="s">
        <v>81</v>
      </c>
      <c r="AJ25" s="3" t="s">
        <v>81</v>
      </c>
      <c r="AK25" s="3" t="s">
        <v>81</v>
      </c>
      <c r="AL25" s="3" t="s">
        <v>81</v>
      </c>
      <c r="AM25" s="3">
        <v>32.383000000000003</v>
      </c>
      <c r="AN25" s="3">
        <v>0</v>
      </c>
      <c r="AO25" s="3" t="s">
        <v>81</v>
      </c>
      <c r="AP25" s="3" t="s">
        <v>81</v>
      </c>
      <c r="AQ25" s="3" t="s">
        <v>81</v>
      </c>
      <c r="AR25" s="3" t="s">
        <v>81</v>
      </c>
      <c r="AS25" s="3" t="s">
        <v>81</v>
      </c>
      <c r="AT25" s="3" t="s">
        <v>81</v>
      </c>
      <c r="AU25" s="3" t="s">
        <v>81</v>
      </c>
      <c r="AV25" s="3" t="s">
        <v>81</v>
      </c>
      <c r="AW25" s="3" t="s">
        <v>81</v>
      </c>
      <c r="AX25" s="3">
        <v>47.293999999999997</v>
      </c>
      <c r="AY25" s="3">
        <v>0</v>
      </c>
      <c r="AZ25" s="3" t="s">
        <v>81</v>
      </c>
      <c r="BA25" s="3" t="s">
        <v>81</v>
      </c>
      <c r="BB25" s="3" t="s">
        <v>81</v>
      </c>
      <c r="BC25" s="3" t="s">
        <v>81</v>
      </c>
      <c r="BD25" s="3" t="s">
        <v>81</v>
      </c>
      <c r="BE25" s="3" t="s">
        <v>81</v>
      </c>
      <c r="BF25" s="3" t="s">
        <v>81</v>
      </c>
      <c r="BG25" s="3" t="s">
        <v>81</v>
      </c>
      <c r="BH25" s="3" t="s">
        <v>81</v>
      </c>
      <c r="BI25" s="3" t="s">
        <v>84</v>
      </c>
      <c r="BJ25" s="3" t="s">
        <v>82</v>
      </c>
      <c r="BK25" s="3" t="s">
        <v>83</v>
      </c>
      <c r="BL25" s="3" t="s">
        <v>84</v>
      </c>
      <c r="BM25" s="3" t="s">
        <v>84</v>
      </c>
      <c r="BN25" s="3" t="s">
        <v>84</v>
      </c>
      <c r="BO25" s="3" t="s">
        <v>82</v>
      </c>
      <c r="BP25" s="3" t="s">
        <v>85</v>
      </c>
      <c r="BQ25" s="3" t="s">
        <v>85</v>
      </c>
      <c r="BR25" s="3" t="s">
        <v>85</v>
      </c>
      <c r="BS25" s="3" t="s">
        <v>85</v>
      </c>
      <c r="BT25" s="3" t="s">
        <v>85</v>
      </c>
      <c r="BU25" s="3" t="s">
        <v>81</v>
      </c>
      <c r="BV25" s="3" t="s">
        <v>84</v>
      </c>
      <c r="BW25" s="3" t="s">
        <v>83</v>
      </c>
      <c r="BX25" s="3" t="s">
        <v>82</v>
      </c>
      <c r="BZ25" s="3" t="s">
        <v>86</v>
      </c>
      <c r="CB25" s="3" t="s">
        <v>84</v>
      </c>
      <c r="CD25" s="9">
        <v>8</v>
      </c>
      <c r="CF25" s="18"/>
      <c r="CG25" s="18"/>
      <c r="CH25" s="18"/>
      <c r="CI25" s="18"/>
    </row>
    <row r="26" spans="1:87" ht="15.75" customHeight="1" x14ac:dyDescent="0.15">
      <c r="A26" s="3">
        <v>2625896904</v>
      </c>
      <c r="B26" s="3" t="s">
        <v>158</v>
      </c>
      <c r="C26" s="3" t="s">
        <v>158</v>
      </c>
      <c r="D26" s="3">
        <v>6</v>
      </c>
      <c r="E26" s="3">
        <v>7</v>
      </c>
      <c r="F26" s="3">
        <v>25.962</v>
      </c>
      <c r="G26" s="3">
        <v>0</v>
      </c>
      <c r="H26" s="3" t="s">
        <v>81</v>
      </c>
      <c r="I26" s="3" t="s">
        <v>81</v>
      </c>
      <c r="J26" s="3" t="s">
        <v>81</v>
      </c>
      <c r="K26" s="3" t="s">
        <v>81</v>
      </c>
      <c r="L26" s="3" t="s">
        <v>81</v>
      </c>
      <c r="M26" s="3" t="s">
        <v>81</v>
      </c>
      <c r="N26" s="3" t="s">
        <v>81</v>
      </c>
      <c r="O26" s="3" t="s">
        <v>81</v>
      </c>
      <c r="P26" s="3" t="s">
        <v>81</v>
      </c>
      <c r="Q26" s="3">
        <v>23.928000000000001</v>
      </c>
      <c r="R26" s="3">
        <v>0</v>
      </c>
      <c r="S26" s="3" t="s">
        <v>81</v>
      </c>
      <c r="T26" s="3" t="s">
        <v>81</v>
      </c>
      <c r="U26" s="3" t="s">
        <v>81</v>
      </c>
      <c r="V26" s="3" t="s">
        <v>81</v>
      </c>
      <c r="W26" s="3" t="s">
        <v>81</v>
      </c>
      <c r="X26" s="3" t="s">
        <v>81</v>
      </c>
      <c r="Y26" s="3" t="s">
        <v>81</v>
      </c>
      <c r="Z26" s="3" t="s">
        <v>81</v>
      </c>
      <c r="AA26" s="3" t="s">
        <v>81</v>
      </c>
      <c r="AB26" s="3">
        <v>23.033999999999999</v>
      </c>
      <c r="AC26" s="3">
        <v>0</v>
      </c>
      <c r="AD26" s="3" t="s">
        <v>81</v>
      </c>
      <c r="AE26" s="3" t="s">
        <v>81</v>
      </c>
      <c r="AF26" s="3" t="s">
        <v>81</v>
      </c>
      <c r="AG26" s="3" t="s">
        <v>81</v>
      </c>
      <c r="AH26" s="3" t="s">
        <v>81</v>
      </c>
      <c r="AI26" s="3" t="s">
        <v>81</v>
      </c>
      <c r="AJ26" s="3" t="s">
        <v>81</v>
      </c>
      <c r="AK26" s="3" t="s">
        <v>81</v>
      </c>
      <c r="AL26" s="3" t="s">
        <v>81</v>
      </c>
      <c r="AM26" s="3">
        <v>22.204999999999998</v>
      </c>
      <c r="AN26" s="3">
        <v>0</v>
      </c>
      <c r="AO26" s="3" t="s">
        <v>81</v>
      </c>
      <c r="AP26" s="3" t="s">
        <v>81</v>
      </c>
      <c r="AQ26" s="3" t="s">
        <v>81</v>
      </c>
      <c r="AR26" s="3" t="s">
        <v>81</v>
      </c>
      <c r="AS26" s="3" t="s">
        <v>81</v>
      </c>
      <c r="AT26" s="3" t="s">
        <v>81</v>
      </c>
      <c r="AU26" s="3" t="s">
        <v>81</v>
      </c>
      <c r="AV26" s="3" t="s">
        <v>81</v>
      </c>
      <c r="AW26" s="3" t="s">
        <v>81</v>
      </c>
      <c r="AX26" s="3">
        <v>21.494</v>
      </c>
      <c r="AY26" s="3">
        <v>0</v>
      </c>
      <c r="AZ26" s="3" t="s">
        <v>81</v>
      </c>
      <c r="BA26" s="3" t="s">
        <v>81</v>
      </c>
      <c r="BB26" s="3" t="s">
        <v>81</v>
      </c>
      <c r="BC26" s="3" t="s">
        <v>81</v>
      </c>
      <c r="BD26" s="3" t="s">
        <v>81</v>
      </c>
      <c r="BE26" s="3" t="s">
        <v>81</v>
      </c>
      <c r="BF26" s="3" t="s">
        <v>81</v>
      </c>
      <c r="BG26" s="3" t="s">
        <v>81</v>
      </c>
      <c r="BH26" s="3" t="s">
        <v>81</v>
      </c>
      <c r="BI26" s="3" t="s">
        <v>84</v>
      </c>
      <c r="BJ26" s="3" t="s">
        <v>82</v>
      </c>
      <c r="BK26" s="3" t="s">
        <v>83</v>
      </c>
      <c r="BL26" s="3" t="s">
        <v>84</v>
      </c>
      <c r="BM26" s="3" t="s">
        <v>84</v>
      </c>
      <c r="BN26" s="3" t="s">
        <v>84</v>
      </c>
      <c r="BO26" s="3" t="s">
        <v>82</v>
      </c>
      <c r="BP26" s="3" t="s">
        <v>162</v>
      </c>
      <c r="BQ26" s="3" t="s">
        <v>162</v>
      </c>
      <c r="BR26" s="3" t="s">
        <v>98</v>
      </c>
      <c r="BS26" s="3" t="s">
        <v>98</v>
      </c>
      <c r="BT26" s="3" t="s">
        <v>85</v>
      </c>
      <c r="BU26" s="3" t="s">
        <v>98</v>
      </c>
      <c r="BV26" s="3" t="s">
        <v>84</v>
      </c>
      <c r="BW26" s="3" t="s">
        <v>83</v>
      </c>
      <c r="BX26" s="3" t="s">
        <v>82</v>
      </c>
      <c r="BZ26" s="3" t="s">
        <v>86</v>
      </c>
      <c r="CB26" s="3" t="s">
        <v>84</v>
      </c>
      <c r="CD26" s="9">
        <v>7</v>
      </c>
      <c r="CF26" s="18"/>
      <c r="CG26" s="18"/>
      <c r="CH26" s="18"/>
      <c r="CI26" s="18"/>
    </row>
    <row r="27" spans="1:87" ht="15.75" customHeight="1" x14ac:dyDescent="0.15">
      <c r="A27" s="3">
        <v>2643368801</v>
      </c>
      <c r="B27" s="3" t="s">
        <v>163</v>
      </c>
      <c r="C27" s="3" t="s">
        <v>163</v>
      </c>
      <c r="D27" s="3">
        <v>4</v>
      </c>
      <c r="E27" s="3">
        <v>7</v>
      </c>
      <c r="F27" s="3">
        <v>26.91</v>
      </c>
      <c r="G27" s="3">
        <v>1</v>
      </c>
      <c r="H27" s="3">
        <v>14.677</v>
      </c>
      <c r="I27" s="3">
        <v>7.8559999999999999</v>
      </c>
      <c r="J27" s="3">
        <v>11.83</v>
      </c>
      <c r="K27" s="3" t="s">
        <v>81</v>
      </c>
      <c r="L27" s="3" t="s">
        <v>81</v>
      </c>
      <c r="M27" s="3" t="s">
        <v>81</v>
      </c>
      <c r="N27" s="3" t="s">
        <v>81</v>
      </c>
      <c r="O27" s="3" t="s">
        <v>81</v>
      </c>
      <c r="P27" s="3" t="s">
        <v>81</v>
      </c>
      <c r="Q27" s="3">
        <v>29.204999999999998</v>
      </c>
      <c r="R27" s="3">
        <v>1</v>
      </c>
      <c r="S27" s="3">
        <v>12.641</v>
      </c>
      <c r="T27" s="3">
        <v>9.8190000000000008</v>
      </c>
      <c r="U27" s="3">
        <v>16.315999999999999</v>
      </c>
      <c r="V27" s="3" t="s">
        <v>81</v>
      </c>
      <c r="W27" s="3" t="s">
        <v>81</v>
      </c>
      <c r="X27" s="3" t="s">
        <v>81</v>
      </c>
      <c r="Y27" s="3" t="s">
        <v>81</v>
      </c>
      <c r="Z27" s="3" t="s">
        <v>81</v>
      </c>
      <c r="AA27" s="3" t="s">
        <v>81</v>
      </c>
      <c r="AB27" s="3">
        <v>28.292000000000002</v>
      </c>
      <c r="AC27" s="3">
        <v>1</v>
      </c>
      <c r="AD27" s="3">
        <v>12.978</v>
      </c>
      <c r="AE27" s="3">
        <v>10.593999999999999</v>
      </c>
      <c r="AF27" s="3">
        <v>15.571</v>
      </c>
      <c r="AG27" s="3" t="s">
        <v>81</v>
      </c>
      <c r="AH27" s="3" t="s">
        <v>81</v>
      </c>
      <c r="AI27" s="3" t="s">
        <v>81</v>
      </c>
      <c r="AJ27" s="3" t="s">
        <v>81</v>
      </c>
      <c r="AK27" s="3" t="s">
        <v>81</v>
      </c>
      <c r="AL27" s="3" t="s">
        <v>81</v>
      </c>
      <c r="AM27" s="3">
        <v>28.283999999999999</v>
      </c>
      <c r="AN27" s="3">
        <v>1</v>
      </c>
      <c r="AO27" s="3">
        <v>12.324999999999999</v>
      </c>
      <c r="AP27" s="3">
        <v>11.49</v>
      </c>
      <c r="AQ27" s="3">
        <v>15.36</v>
      </c>
      <c r="AR27" s="3" t="s">
        <v>81</v>
      </c>
      <c r="AS27" s="3" t="s">
        <v>81</v>
      </c>
      <c r="AT27" s="3" t="s">
        <v>81</v>
      </c>
      <c r="AU27" s="3" t="s">
        <v>81</v>
      </c>
      <c r="AV27" s="3" t="s">
        <v>81</v>
      </c>
      <c r="AW27" s="3" t="s">
        <v>81</v>
      </c>
      <c r="AX27" s="3">
        <v>27.523</v>
      </c>
      <c r="AY27" s="3">
        <v>1</v>
      </c>
      <c r="AZ27" s="3">
        <v>13.334</v>
      </c>
      <c r="BA27" s="3">
        <v>11.348000000000001</v>
      </c>
      <c r="BB27" s="3">
        <v>14.555999999999999</v>
      </c>
      <c r="BC27" s="3" t="s">
        <v>81</v>
      </c>
      <c r="BD27" s="3" t="s">
        <v>81</v>
      </c>
      <c r="BE27" s="3" t="s">
        <v>81</v>
      </c>
      <c r="BF27" s="3" t="s">
        <v>81</v>
      </c>
      <c r="BG27" s="3" t="s">
        <v>81</v>
      </c>
      <c r="BH27" s="3" t="s">
        <v>81</v>
      </c>
      <c r="BI27" s="3" t="s">
        <v>84</v>
      </c>
      <c r="BJ27" s="3" t="s">
        <v>84</v>
      </c>
      <c r="BK27" s="3" t="s">
        <v>84</v>
      </c>
      <c r="BL27" s="3" t="s">
        <v>84</v>
      </c>
      <c r="BM27" s="3" t="s">
        <v>84</v>
      </c>
      <c r="BN27" s="3" t="s">
        <v>82</v>
      </c>
      <c r="BO27" s="3" t="s">
        <v>83</v>
      </c>
      <c r="BP27" s="3" t="s">
        <v>81</v>
      </c>
      <c r="BQ27" s="3" t="s">
        <v>81</v>
      </c>
      <c r="BR27" s="3" t="s">
        <v>81</v>
      </c>
      <c r="BS27" s="3" t="s">
        <v>81</v>
      </c>
      <c r="BT27" s="3" t="s">
        <v>81</v>
      </c>
      <c r="BU27" s="3" t="s">
        <v>81</v>
      </c>
      <c r="BV27" s="3" t="s">
        <v>84</v>
      </c>
      <c r="BW27" s="3" t="s">
        <v>83</v>
      </c>
      <c r="BX27" s="3" t="s">
        <v>82</v>
      </c>
      <c r="BZ27" s="3" t="s">
        <v>86</v>
      </c>
      <c r="CD27" s="9">
        <v>14</v>
      </c>
      <c r="CE27" s="9">
        <v>14</v>
      </c>
      <c r="CF27" s="18"/>
      <c r="CG27" s="18"/>
      <c r="CH27" s="18"/>
      <c r="CI27" s="18"/>
    </row>
    <row r="28" spans="1:87" ht="15.75" customHeight="1" x14ac:dyDescent="0.15">
      <c r="A28" s="3">
        <v>1228559756</v>
      </c>
      <c r="B28" s="3" t="s">
        <v>166</v>
      </c>
      <c r="C28" s="3" t="s">
        <v>166</v>
      </c>
      <c r="D28" s="3">
        <v>2</v>
      </c>
      <c r="E28" s="3">
        <v>2</v>
      </c>
      <c r="F28" s="3">
        <v>71.048000000000002</v>
      </c>
      <c r="G28" s="3">
        <v>0</v>
      </c>
      <c r="H28" s="3" t="s">
        <v>81</v>
      </c>
      <c r="I28" s="3" t="s">
        <v>81</v>
      </c>
      <c r="J28" s="3" t="s">
        <v>81</v>
      </c>
      <c r="K28" s="3" t="s">
        <v>81</v>
      </c>
      <c r="L28" s="3" t="s">
        <v>81</v>
      </c>
      <c r="M28" s="3" t="s">
        <v>81</v>
      </c>
      <c r="N28" s="3" t="s">
        <v>81</v>
      </c>
      <c r="O28" s="3" t="s">
        <v>81</v>
      </c>
      <c r="P28" s="3" t="s">
        <v>81</v>
      </c>
      <c r="Q28" s="3">
        <v>78.486000000000004</v>
      </c>
      <c r="R28" s="3">
        <v>0</v>
      </c>
      <c r="S28" s="3" t="s">
        <v>81</v>
      </c>
      <c r="T28" s="3" t="s">
        <v>81</v>
      </c>
      <c r="U28" s="3" t="s">
        <v>81</v>
      </c>
      <c r="V28" s="3" t="s">
        <v>81</v>
      </c>
      <c r="W28" s="3" t="s">
        <v>81</v>
      </c>
      <c r="X28" s="3" t="s">
        <v>81</v>
      </c>
      <c r="Y28" s="3" t="s">
        <v>81</v>
      </c>
      <c r="Z28" s="3" t="s">
        <v>81</v>
      </c>
      <c r="AA28" s="3" t="s">
        <v>81</v>
      </c>
      <c r="AB28" s="3" t="s">
        <v>81</v>
      </c>
      <c r="AC28" s="3" t="s">
        <v>81</v>
      </c>
      <c r="AD28" s="3" t="s">
        <v>81</v>
      </c>
      <c r="AE28" s="3" t="s">
        <v>81</v>
      </c>
      <c r="AF28" s="3" t="s">
        <v>81</v>
      </c>
      <c r="AG28" s="3" t="s">
        <v>81</v>
      </c>
      <c r="AH28" s="3" t="s">
        <v>81</v>
      </c>
      <c r="AI28" s="3" t="s">
        <v>81</v>
      </c>
      <c r="AJ28" s="3" t="s">
        <v>81</v>
      </c>
      <c r="AK28" s="3" t="s">
        <v>81</v>
      </c>
      <c r="AL28" s="3" t="s">
        <v>81</v>
      </c>
      <c r="AM28" s="3" t="s">
        <v>81</v>
      </c>
      <c r="AN28" s="3" t="s">
        <v>81</v>
      </c>
      <c r="AO28" s="3" t="s">
        <v>81</v>
      </c>
      <c r="AP28" s="3" t="s">
        <v>81</v>
      </c>
      <c r="AQ28" s="3" t="s">
        <v>81</v>
      </c>
      <c r="AR28" s="3" t="s">
        <v>81</v>
      </c>
      <c r="AS28" s="3" t="s">
        <v>81</v>
      </c>
      <c r="AT28" s="3" t="s">
        <v>81</v>
      </c>
      <c r="AU28" s="3" t="s">
        <v>81</v>
      </c>
      <c r="AV28" s="3" t="s">
        <v>81</v>
      </c>
      <c r="AW28" s="3" t="s">
        <v>81</v>
      </c>
      <c r="AX28" s="3" t="s">
        <v>81</v>
      </c>
      <c r="AY28" s="3" t="s">
        <v>81</v>
      </c>
      <c r="AZ28" s="3" t="s">
        <v>81</v>
      </c>
      <c r="BA28" s="3" t="s">
        <v>81</v>
      </c>
      <c r="BB28" s="3" t="s">
        <v>81</v>
      </c>
      <c r="BC28" s="3" t="s">
        <v>81</v>
      </c>
      <c r="BD28" s="3" t="s">
        <v>81</v>
      </c>
      <c r="BE28" s="3" t="s">
        <v>81</v>
      </c>
      <c r="BF28" s="3" t="s">
        <v>81</v>
      </c>
      <c r="BG28" s="3" t="s">
        <v>81</v>
      </c>
      <c r="BH28" s="3" t="s">
        <v>81</v>
      </c>
      <c r="BI28" s="3" t="s">
        <v>84</v>
      </c>
      <c r="BJ28" s="3" t="s">
        <v>82</v>
      </c>
      <c r="BK28" s="3" t="s">
        <v>83</v>
      </c>
      <c r="BL28" s="3" t="s">
        <v>84</v>
      </c>
      <c r="BM28" s="3" t="s">
        <v>84</v>
      </c>
      <c r="BN28" s="3" t="s">
        <v>84</v>
      </c>
      <c r="BO28" s="3" t="s">
        <v>82</v>
      </c>
      <c r="BP28" s="3" t="s">
        <v>167</v>
      </c>
      <c r="BQ28" s="3" t="s">
        <v>167</v>
      </c>
      <c r="BR28" s="3" t="s">
        <v>168</v>
      </c>
      <c r="BS28" s="3" t="s">
        <v>168</v>
      </c>
      <c r="BT28" s="3" t="s">
        <v>87</v>
      </c>
      <c r="BU28" s="3" t="s">
        <v>169</v>
      </c>
      <c r="BV28" s="3" t="s">
        <v>82</v>
      </c>
      <c r="BW28" s="3" t="s">
        <v>91</v>
      </c>
      <c r="BX28" s="3" t="s">
        <v>82</v>
      </c>
      <c r="BZ28" s="3" t="s">
        <v>93</v>
      </c>
      <c r="CB28" s="3" t="s">
        <v>84</v>
      </c>
      <c r="CD28" s="9">
        <v>2</v>
      </c>
      <c r="CE28" s="9"/>
      <c r="CF28" s="18"/>
      <c r="CG28" s="18"/>
      <c r="CH28" s="18"/>
      <c r="CI28" s="18"/>
    </row>
    <row r="29" spans="1:87" ht="15.75" customHeight="1" x14ac:dyDescent="0.15">
      <c r="A29" s="3">
        <v>1319223883</v>
      </c>
      <c r="B29" s="3" t="s">
        <v>166</v>
      </c>
      <c r="C29" s="3" t="s">
        <v>166</v>
      </c>
      <c r="D29" s="3">
        <v>4</v>
      </c>
      <c r="E29" s="3">
        <v>3</v>
      </c>
      <c r="F29" s="3">
        <v>133.369</v>
      </c>
      <c r="G29" s="3">
        <v>2</v>
      </c>
      <c r="H29" s="3">
        <v>78.084999999999994</v>
      </c>
      <c r="I29" s="3">
        <v>24.474</v>
      </c>
      <c r="J29" s="3">
        <v>40.271000000000001</v>
      </c>
      <c r="K29" s="3">
        <v>15.670999999999999</v>
      </c>
      <c r="L29" s="3">
        <v>13.904</v>
      </c>
      <c r="M29" s="3" t="s">
        <v>81</v>
      </c>
      <c r="N29" s="3" t="s">
        <v>81</v>
      </c>
      <c r="O29" s="3" t="s">
        <v>81</v>
      </c>
      <c r="P29" s="3" t="s">
        <v>81</v>
      </c>
      <c r="Q29" s="3" t="s">
        <v>81</v>
      </c>
      <c r="R29" s="3">
        <v>2</v>
      </c>
      <c r="S29" s="3">
        <v>72.549000000000007</v>
      </c>
      <c r="T29" s="3">
        <v>22.481999999999999</v>
      </c>
      <c r="U29" s="3">
        <v>45.463999999999999</v>
      </c>
      <c r="V29" s="3">
        <v>16.574000000000002</v>
      </c>
      <c r="W29" s="3" t="s">
        <v>81</v>
      </c>
      <c r="X29" s="3" t="s">
        <v>81</v>
      </c>
      <c r="Y29" s="3" t="s">
        <v>81</v>
      </c>
      <c r="Z29" s="3" t="s">
        <v>81</v>
      </c>
      <c r="AA29" s="3" t="s">
        <v>81</v>
      </c>
      <c r="AB29" s="3">
        <v>143.44</v>
      </c>
      <c r="AC29" s="3">
        <v>2</v>
      </c>
      <c r="AD29" s="3">
        <v>82.686000000000007</v>
      </c>
      <c r="AE29" s="3">
        <v>29.204999999999998</v>
      </c>
      <c r="AF29" s="3">
        <v>56.6</v>
      </c>
      <c r="AG29" s="3">
        <v>18.43</v>
      </c>
      <c r="AH29" s="3">
        <v>4.96</v>
      </c>
      <c r="AI29" s="3" t="s">
        <v>81</v>
      </c>
      <c r="AJ29" s="3" t="s">
        <v>81</v>
      </c>
      <c r="AK29" s="3" t="s">
        <v>81</v>
      </c>
      <c r="AL29" s="3" t="s">
        <v>81</v>
      </c>
      <c r="AM29" s="3" t="s">
        <v>81</v>
      </c>
      <c r="AN29" s="3" t="s">
        <v>81</v>
      </c>
      <c r="AO29" s="3" t="s">
        <v>81</v>
      </c>
      <c r="AP29" s="3" t="s">
        <v>81</v>
      </c>
      <c r="AQ29" s="3" t="s">
        <v>81</v>
      </c>
      <c r="AR29" s="3" t="s">
        <v>81</v>
      </c>
      <c r="AS29" s="3" t="s">
        <v>81</v>
      </c>
      <c r="AT29" s="3" t="s">
        <v>81</v>
      </c>
      <c r="AU29" s="3" t="s">
        <v>81</v>
      </c>
      <c r="AV29" s="3" t="s">
        <v>81</v>
      </c>
      <c r="AW29" s="3" t="s">
        <v>81</v>
      </c>
      <c r="AX29" s="3" t="s">
        <v>81</v>
      </c>
      <c r="AY29" s="3" t="s">
        <v>81</v>
      </c>
      <c r="AZ29" s="3" t="s">
        <v>81</v>
      </c>
      <c r="BA29" s="3" t="s">
        <v>81</v>
      </c>
      <c r="BB29" s="3" t="s">
        <v>81</v>
      </c>
      <c r="BC29" s="3" t="s">
        <v>81</v>
      </c>
      <c r="BD29" s="3" t="s">
        <v>81</v>
      </c>
      <c r="BE29" s="3" t="s">
        <v>81</v>
      </c>
      <c r="BF29" s="3" t="s">
        <v>81</v>
      </c>
      <c r="BG29" s="3" t="s">
        <v>81</v>
      </c>
      <c r="BH29" s="3" t="s">
        <v>81</v>
      </c>
      <c r="BI29" s="3" t="s">
        <v>84</v>
      </c>
      <c r="BJ29" s="3" t="s">
        <v>82</v>
      </c>
      <c r="BK29" s="3" t="s">
        <v>83</v>
      </c>
      <c r="BL29" s="3" t="s">
        <v>84</v>
      </c>
      <c r="BM29" s="3" t="s">
        <v>84</v>
      </c>
      <c r="BN29" s="3" t="s">
        <v>82</v>
      </c>
      <c r="BO29" s="3" t="s">
        <v>82</v>
      </c>
      <c r="BP29" s="3" t="s">
        <v>87</v>
      </c>
      <c r="BQ29" s="3" t="s">
        <v>87</v>
      </c>
      <c r="BR29" s="3" t="s">
        <v>171</v>
      </c>
      <c r="BS29" s="3" t="s">
        <v>171</v>
      </c>
      <c r="BT29" s="3" t="s">
        <v>87</v>
      </c>
      <c r="BU29" s="3" t="s">
        <v>172</v>
      </c>
      <c r="BV29" s="3" t="s">
        <v>82</v>
      </c>
      <c r="BW29" s="3" t="s">
        <v>91</v>
      </c>
      <c r="BX29" s="3" t="s">
        <v>84</v>
      </c>
      <c r="BZ29" s="3" t="s">
        <v>86</v>
      </c>
      <c r="CB29" s="3" t="s">
        <v>84</v>
      </c>
      <c r="CD29" s="9">
        <v>8</v>
      </c>
      <c r="CE29" s="9">
        <v>2</v>
      </c>
      <c r="CF29" s="18"/>
      <c r="CG29" s="18"/>
      <c r="CH29" s="18"/>
      <c r="CI29" s="18"/>
    </row>
    <row r="30" spans="1:87" ht="15.75" customHeight="1" x14ac:dyDescent="0.15">
      <c r="A30" s="3">
        <v>2625836575</v>
      </c>
      <c r="B30" s="3" t="s">
        <v>166</v>
      </c>
      <c r="C30" s="3" t="s">
        <v>166</v>
      </c>
      <c r="D30" s="3">
        <v>3</v>
      </c>
      <c r="E30" s="3">
        <v>3</v>
      </c>
      <c r="F30" s="3">
        <v>64.575999999999993</v>
      </c>
      <c r="G30" s="3">
        <v>2</v>
      </c>
      <c r="H30" s="3">
        <v>35.145000000000003</v>
      </c>
      <c r="I30" s="3">
        <v>14.433999999999999</v>
      </c>
      <c r="J30" s="3">
        <v>12.9</v>
      </c>
      <c r="K30" s="3">
        <v>14.209</v>
      </c>
      <c r="L30" s="3">
        <v>15.766999999999999</v>
      </c>
      <c r="M30" s="3" t="s">
        <v>81</v>
      </c>
      <c r="N30" s="3" t="s">
        <v>81</v>
      </c>
      <c r="O30" s="3" t="s">
        <v>81</v>
      </c>
      <c r="P30" s="3" t="s">
        <v>81</v>
      </c>
      <c r="Q30" s="3">
        <v>61.223999999999997</v>
      </c>
      <c r="R30" s="3">
        <v>1</v>
      </c>
      <c r="S30" s="3">
        <v>35.271000000000001</v>
      </c>
      <c r="T30" s="3">
        <v>16.919</v>
      </c>
      <c r="U30" s="3">
        <v>25.646999999999998</v>
      </c>
      <c r="V30" s="3" t="s">
        <v>81</v>
      </c>
      <c r="W30" s="3" t="s">
        <v>81</v>
      </c>
      <c r="X30" s="3" t="s">
        <v>81</v>
      </c>
      <c r="Y30" s="3" t="s">
        <v>81</v>
      </c>
      <c r="Z30" s="3" t="s">
        <v>81</v>
      </c>
      <c r="AA30" s="3" t="s">
        <v>81</v>
      </c>
      <c r="AB30" s="3" t="s">
        <v>81</v>
      </c>
      <c r="AC30" s="3">
        <v>1</v>
      </c>
      <c r="AD30" s="3">
        <v>38.405000000000001</v>
      </c>
      <c r="AE30" s="3">
        <v>15.805999999999999</v>
      </c>
      <c r="AF30" s="3" t="s">
        <v>81</v>
      </c>
      <c r="AG30" s="3" t="s">
        <v>81</v>
      </c>
      <c r="AH30" s="3" t="s">
        <v>81</v>
      </c>
      <c r="AI30" s="3" t="s">
        <v>81</v>
      </c>
      <c r="AJ30" s="3" t="s">
        <v>81</v>
      </c>
      <c r="AK30" s="3" t="s">
        <v>81</v>
      </c>
      <c r="AL30" s="3" t="s">
        <v>81</v>
      </c>
      <c r="AM30" s="3" t="s">
        <v>81</v>
      </c>
      <c r="AN30" s="3" t="s">
        <v>81</v>
      </c>
      <c r="AO30" s="3" t="s">
        <v>81</v>
      </c>
      <c r="AP30" s="3" t="s">
        <v>81</v>
      </c>
      <c r="AQ30" s="3" t="s">
        <v>81</v>
      </c>
      <c r="AR30" s="3" t="s">
        <v>81</v>
      </c>
      <c r="AS30" s="3" t="s">
        <v>81</v>
      </c>
      <c r="AT30" s="3" t="s">
        <v>81</v>
      </c>
      <c r="AU30" s="3" t="s">
        <v>81</v>
      </c>
      <c r="AV30" s="3" t="s">
        <v>81</v>
      </c>
      <c r="AW30" s="3" t="s">
        <v>81</v>
      </c>
      <c r="AX30" s="3" t="s">
        <v>81</v>
      </c>
      <c r="AY30" s="3" t="s">
        <v>81</v>
      </c>
      <c r="AZ30" s="3" t="s">
        <v>81</v>
      </c>
      <c r="BA30" s="3" t="s">
        <v>81</v>
      </c>
      <c r="BB30" s="3" t="s">
        <v>81</v>
      </c>
      <c r="BC30" s="3" t="s">
        <v>81</v>
      </c>
      <c r="BD30" s="3" t="s">
        <v>81</v>
      </c>
      <c r="BE30" s="3" t="s">
        <v>81</v>
      </c>
      <c r="BF30" s="3" t="s">
        <v>81</v>
      </c>
      <c r="BG30" s="3" t="s">
        <v>81</v>
      </c>
      <c r="BH30" s="3" t="s">
        <v>81</v>
      </c>
      <c r="BI30" s="3" t="s">
        <v>84</v>
      </c>
      <c r="BJ30" s="3" t="s">
        <v>82</v>
      </c>
      <c r="BK30" s="3" t="s">
        <v>83</v>
      </c>
      <c r="BL30" s="3" t="s">
        <v>84</v>
      </c>
      <c r="BM30" s="3" t="s">
        <v>84</v>
      </c>
      <c r="BN30" s="3" t="s">
        <v>84</v>
      </c>
      <c r="BO30" s="3" t="s">
        <v>83</v>
      </c>
      <c r="BP30" s="3" t="s">
        <v>81</v>
      </c>
      <c r="BQ30" s="3" t="s">
        <v>81</v>
      </c>
      <c r="BR30" s="3" t="s">
        <v>81</v>
      </c>
      <c r="BS30" s="3" t="s">
        <v>81</v>
      </c>
      <c r="BT30" s="3" t="s">
        <v>81</v>
      </c>
      <c r="BU30" s="3" t="s">
        <v>81</v>
      </c>
      <c r="BV30" s="3" t="s">
        <v>82</v>
      </c>
      <c r="BW30" s="3" t="s">
        <v>91</v>
      </c>
      <c r="BX30" s="3" t="s">
        <v>84</v>
      </c>
      <c r="BY30" s="3" t="s">
        <v>173</v>
      </c>
      <c r="BZ30" s="3" t="s">
        <v>86</v>
      </c>
      <c r="CB30" s="3" t="s">
        <v>84</v>
      </c>
      <c r="CD30" s="9"/>
      <c r="CE30" s="9">
        <v>2</v>
      </c>
      <c r="CF30" s="18"/>
      <c r="CG30" s="18"/>
      <c r="CH30" s="18"/>
      <c r="CI30" s="18"/>
    </row>
    <row r="31" spans="1:87" ht="15.75" customHeight="1" x14ac:dyDescent="0.15">
      <c r="A31" s="3">
        <v>2643318708</v>
      </c>
      <c r="B31" s="3" t="s">
        <v>166</v>
      </c>
      <c r="C31" s="3" t="s">
        <v>166</v>
      </c>
      <c r="D31" s="3">
        <v>2</v>
      </c>
      <c r="E31" s="3">
        <v>2</v>
      </c>
      <c r="F31" s="3">
        <v>47.975999999999999</v>
      </c>
      <c r="G31" s="3">
        <v>1</v>
      </c>
      <c r="H31" s="3">
        <v>22.51</v>
      </c>
      <c r="I31" s="3">
        <v>14.978</v>
      </c>
      <c r="J31" s="3">
        <v>25.004999999999999</v>
      </c>
      <c r="K31" s="3" t="s">
        <v>81</v>
      </c>
      <c r="L31" s="3" t="s">
        <v>81</v>
      </c>
      <c r="M31" s="3" t="s">
        <v>81</v>
      </c>
      <c r="N31" s="3" t="s">
        <v>81</v>
      </c>
      <c r="O31" s="3" t="s">
        <v>81</v>
      </c>
      <c r="P31" s="3" t="s">
        <v>81</v>
      </c>
      <c r="Q31" s="3">
        <v>39.503999999999998</v>
      </c>
      <c r="R31" s="3">
        <v>2</v>
      </c>
      <c r="S31" s="3">
        <v>23.155000000000001</v>
      </c>
      <c r="T31" s="3">
        <v>14.073</v>
      </c>
      <c r="U31" s="3">
        <v>14.641999999999999</v>
      </c>
      <c r="V31" s="3">
        <v>7.7809999999999997</v>
      </c>
      <c r="W31" s="3">
        <v>0.68799999999999994</v>
      </c>
      <c r="X31" s="3" t="s">
        <v>81</v>
      </c>
      <c r="Y31" s="3" t="s">
        <v>81</v>
      </c>
      <c r="Z31" s="3" t="s">
        <v>81</v>
      </c>
      <c r="AA31" s="3" t="s">
        <v>81</v>
      </c>
      <c r="AB31" s="3" t="s">
        <v>81</v>
      </c>
      <c r="AC31" s="3" t="s">
        <v>81</v>
      </c>
      <c r="AD31" s="3" t="s">
        <v>81</v>
      </c>
      <c r="AE31" s="3" t="s">
        <v>81</v>
      </c>
      <c r="AF31" s="3" t="s">
        <v>81</v>
      </c>
      <c r="AG31" s="3" t="s">
        <v>81</v>
      </c>
      <c r="AH31" s="3" t="s">
        <v>81</v>
      </c>
      <c r="AI31" s="3" t="s">
        <v>81</v>
      </c>
      <c r="AJ31" s="3" t="s">
        <v>81</v>
      </c>
      <c r="AK31" s="3" t="s">
        <v>81</v>
      </c>
      <c r="AL31" s="3" t="s">
        <v>81</v>
      </c>
      <c r="AM31" s="3" t="s">
        <v>81</v>
      </c>
      <c r="AN31" s="3" t="s">
        <v>81</v>
      </c>
      <c r="AO31" s="3" t="s">
        <v>81</v>
      </c>
      <c r="AP31" s="3" t="s">
        <v>81</v>
      </c>
      <c r="AQ31" s="3" t="s">
        <v>81</v>
      </c>
      <c r="AR31" s="3" t="s">
        <v>81</v>
      </c>
      <c r="AS31" s="3" t="s">
        <v>81</v>
      </c>
      <c r="AT31" s="3" t="s">
        <v>81</v>
      </c>
      <c r="AU31" s="3" t="s">
        <v>81</v>
      </c>
      <c r="AV31" s="3" t="s">
        <v>81</v>
      </c>
      <c r="AW31" s="3" t="s">
        <v>81</v>
      </c>
      <c r="AX31" s="3" t="s">
        <v>81</v>
      </c>
      <c r="AY31" s="3" t="s">
        <v>81</v>
      </c>
      <c r="AZ31" s="3" t="s">
        <v>81</v>
      </c>
      <c r="BA31" s="3" t="s">
        <v>81</v>
      </c>
      <c r="BB31" s="3" t="s">
        <v>81</v>
      </c>
      <c r="BC31" s="3" t="s">
        <v>81</v>
      </c>
      <c r="BD31" s="3" t="s">
        <v>81</v>
      </c>
      <c r="BE31" s="3" t="s">
        <v>81</v>
      </c>
      <c r="BF31" s="3" t="s">
        <v>81</v>
      </c>
      <c r="BG31" s="3" t="s">
        <v>81</v>
      </c>
      <c r="BH31" s="3" t="s">
        <v>81</v>
      </c>
      <c r="BI31" s="3" t="s">
        <v>84</v>
      </c>
      <c r="BJ31" s="3" t="s">
        <v>82</v>
      </c>
      <c r="BK31" s="3" t="s">
        <v>83</v>
      </c>
      <c r="BL31" s="3" t="s">
        <v>84</v>
      </c>
      <c r="BM31" s="3" t="s">
        <v>84</v>
      </c>
      <c r="BN31" s="3" t="s">
        <v>82</v>
      </c>
      <c r="BO31" s="3" t="s">
        <v>82</v>
      </c>
      <c r="BP31" s="3" t="s">
        <v>133</v>
      </c>
      <c r="BQ31" s="3" t="s">
        <v>174</v>
      </c>
      <c r="BR31" s="3" t="s">
        <v>175</v>
      </c>
      <c r="BS31" s="3" t="s">
        <v>175</v>
      </c>
      <c r="BT31" s="3" t="s">
        <v>87</v>
      </c>
      <c r="BU31" s="3" t="s">
        <v>176</v>
      </c>
      <c r="BV31" s="3" t="s">
        <v>82</v>
      </c>
      <c r="BW31" s="3" t="s">
        <v>91</v>
      </c>
      <c r="BX31" s="3" t="s">
        <v>82</v>
      </c>
      <c r="BZ31" s="3" t="s">
        <v>86</v>
      </c>
      <c r="CB31" s="3" t="s">
        <v>84</v>
      </c>
      <c r="CD31" s="9">
        <v>3</v>
      </c>
      <c r="CE31" s="9"/>
      <c r="CF31" s="18"/>
      <c r="CG31" s="18"/>
      <c r="CH31" s="18"/>
      <c r="CI31" s="18"/>
    </row>
    <row r="32" spans="1:87" ht="15.75" customHeight="1" x14ac:dyDescent="0.15">
      <c r="A32" s="3">
        <v>2236057117</v>
      </c>
      <c r="B32" s="3" t="s">
        <v>166</v>
      </c>
      <c r="C32" s="3" t="s">
        <v>166</v>
      </c>
      <c r="D32" s="3">
        <v>3</v>
      </c>
      <c r="E32" s="3">
        <v>3</v>
      </c>
      <c r="F32" s="3">
        <v>88.906000000000006</v>
      </c>
      <c r="G32" s="3">
        <v>2</v>
      </c>
      <c r="H32" s="3">
        <v>53.734999999999999</v>
      </c>
      <c r="I32" s="3">
        <v>22.96</v>
      </c>
      <c r="J32" s="3">
        <v>28.248999999999999</v>
      </c>
      <c r="K32" s="3">
        <v>10.19</v>
      </c>
      <c r="L32" s="3">
        <v>6.38</v>
      </c>
      <c r="M32" s="3" t="s">
        <v>81</v>
      </c>
      <c r="N32" s="3" t="s">
        <v>81</v>
      </c>
      <c r="O32" s="3" t="s">
        <v>81</v>
      </c>
      <c r="P32" s="3" t="s">
        <v>81</v>
      </c>
      <c r="Q32" s="3">
        <v>90.677999999999997</v>
      </c>
      <c r="R32" s="3">
        <v>2</v>
      </c>
      <c r="S32" s="3">
        <v>53.872</v>
      </c>
      <c r="T32" s="3">
        <v>22.053000000000001</v>
      </c>
      <c r="U32" s="3">
        <v>29.26</v>
      </c>
      <c r="V32" s="3">
        <v>9.0429999999999993</v>
      </c>
      <c r="W32" s="3">
        <v>6.6139999999999999</v>
      </c>
      <c r="X32" s="3" t="s">
        <v>81</v>
      </c>
      <c r="Y32" s="3" t="s">
        <v>81</v>
      </c>
      <c r="Z32" s="3" t="s">
        <v>81</v>
      </c>
      <c r="AA32" s="3" t="s">
        <v>81</v>
      </c>
      <c r="AB32" s="3">
        <v>83.114000000000004</v>
      </c>
      <c r="AC32" s="3">
        <v>2</v>
      </c>
      <c r="AD32" s="3">
        <v>56.758000000000003</v>
      </c>
      <c r="AE32" s="3">
        <v>5.5209999999999999</v>
      </c>
      <c r="AF32" s="3">
        <v>22.356999999999999</v>
      </c>
      <c r="AG32" s="3">
        <v>8.9260000000000002</v>
      </c>
      <c r="AH32" s="3">
        <v>3.0289999999999999</v>
      </c>
      <c r="AI32" s="3" t="s">
        <v>81</v>
      </c>
      <c r="AJ32" s="3" t="s">
        <v>81</v>
      </c>
      <c r="AK32" s="3" t="s">
        <v>81</v>
      </c>
      <c r="AL32" s="3" t="s">
        <v>81</v>
      </c>
      <c r="AM32" s="3" t="s">
        <v>81</v>
      </c>
      <c r="AN32" s="3" t="s">
        <v>81</v>
      </c>
      <c r="AO32" s="3" t="s">
        <v>81</v>
      </c>
      <c r="AP32" s="3" t="s">
        <v>81</v>
      </c>
      <c r="AQ32" s="3" t="s">
        <v>81</v>
      </c>
      <c r="AR32" s="3" t="s">
        <v>81</v>
      </c>
      <c r="AS32" s="3" t="s">
        <v>81</v>
      </c>
      <c r="AT32" s="3" t="s">
        <v>81</v>
      </c>
      <c r="AU32" s="3" t="s">
        <v>81</v>
      </c>
      <c r="AV32" s="3" t="s">
        <v>81</v>
      </c>
      <c r="AW32" s="3" t="s">
        <v>81</v>
      </c>
      <c r="AX32" s="3" t="s">
        <v>81</v>
      </c>
      <c r="AY32" s="3" t="s">
        <v>81</v>
      </c>
      <c r="AZ32" s="3" t="s">
        <v>81</v>
      </c>
      <c r="BA32" s="3" t="s">
        <v>81</v>
      </c>
      <c r="BB32" s="3" t="s">
        <v>81</v>
      </c>
      <c r="BC32" s="3" t="s">
        <v>81</v>
      </c>
      <c r="BD32" s="3" t="s">
        <v>81</v>
      </c>
      <c r="BE32" s="3" t="s">
        <v>81</v>
      </c>
      <c r="BF32" s="3" t="s">
        <v>81</v>
      </c>
      <c r="BG32" s="3" t="s">
        <v>81</v>
      </c>
      <c r="BH32" s="3" t="s">
        <v>81</v>
      </c>
      <c r="BI32" s="3" t="s">
        <v>84</v>
      </c>
      <c r="BJ32" s="3" t="s">
        <v>82</v>
      </c>
      <c r="BK32" s="3" t="s">
        <v>83</v>
      </c>
      <c r="BL32" s="3" t="s">
        <v>84</v>
      </c>
      <c r="BM32" s="3" t="s">
        <v>84</v>
      </c>
      <c r="BN32" s="3" t="s">
        <v>82</v>
      </c>
      <c r="BO32" s="3" t="s">
        <v>84</v>
      </c>
      <c r="BP32" s="3" t="s">
        <v>170</v>
      </c>
      <c r="BQ32" s="3" t="s">
        <v>170</v>
      </c>
      <c r="BR32" s="3" t="s">
        <v>170</v>
      </c>
      <c r="BS32" s="3" t="s">
        <v>170</v>
      </c>
      <c r="BT32" s="3" t="s">
        <v>98</v>
      </c>
      <c r="BU32" s="3" t="s">
        <v>85</v>
      </c>
      <c r="BV32" s="3" t="s">
        <v>84</v>
      </c>
      <c r="BW32" s="3" t="s">
        <v>83</v>
      </c>
      <c r="BX32" s="3" t="s">
        <v>82</v>
      </c>
      <c r="BZ32" s="3" t="s">
        <v>86</v>
      </c>
      <c r="CB32" s="3" t="s">
        <v>84</v>
      </c>
      <c r="CF32" s="18"/>
      <c r="CG32" s="18"/>
      <c r="CH32" s="18"/>
      <c r="CI32" s="18"/>
    </row>
    <row r="33" spans="1:87 16384:16384" ht="15.75" customHeight="1" x14ac:dyDescent="0.15">
      <c r="A33" s="3" t="s">
        <v>567</v>
      </c>
      <c r="B33" s="3" t="s">
        <v>566</v>
      </c>
      <c r="C33" s="3" t="s">
        <v>566</v>
      </c>
      <c r="D33" s="3">
        <v>11</v>
      </c>
      <c r="E33" s="3">
        <v>13</v>
      </c>
      <c r="F33" s="3">
        <v>10.86</v>
      </c>
      <c r="G33" s="3">
        <v>0</v>
      </c>
      <c r="H33" s="3" t="s">
        <v>81</v>
      </c>
      <c r="I33" s="3" t="s">
        <v>81</v>
      </c>
      <c r="J33" s="3" t="s">
        <v>81</v>
      </c>
      <c r="K33" s="3" t="s">
        <v>81</v>
      </c>
      <c r="L33" s="3" t="s">
        <v>81</v>
      </c>
      <c r="M33" s="3" t="s">
        <v>81</v>
      </c>
      <c r="N33" s="3" t="s">
        <v>81</v>
      </c>
      <c r="O33" s="3" t="s">
        <v>81</v>
      </c>
      <c r="P33" s="3" t="s">
        <v>81</v>
      </c>
      <c r="Q33" s="3">
        <v>12.6</v>
      </c>
      <c r="R33" s="3">
        <v>0</v>
      </c>
      <c r="S33" s="9" t="s">
        <v>81</v>
      </c>
      <c r="T33" s="9" t="s">
        <v>81</v>
      </c>
      <c r="U33" s="9" t="s">
        <v>81</v>
      </c>
      <c r="V33" s="9" t="s">
        <v>81</v>
      </c>
      <c r="W33" s="9" t="s">
        <v>81</v>
      </c>
      <c r="X33" s="9" t="s">
        <v>81</v>
      </c>
      <c r="Y33" s="9" t="s">
        <v>81</v>
      </c>
      <c r="Z33" s="9" t="s">
        <v>81</v>
      </c>
      <c r="AA33" s="9" t="s">
        <v>81</v>
      </c>
      <c r="AB33">
        <v>13.33</v>
      </c>
      <c r="AC33" s="9">
        <v>0</v>
      </c>
      <c r="AD33" s="9" t="s">
        <v>81</v>
      </c>
      <c r="AE33" s="9" t="s">
        <v>81</v>
      </c>
      <c r="AF33" s="9" t="s">
        <v>81</v>
      </c>
      <c r="AG33" s="9" t="s">
        <v>81</v>
      </c>
      <c r="AH33" s="9" t="s">
        <v>81</v>
      </c>
      <c r="AI33" s="9" t="s">
        <v>81</v>
      </c>
      <c r="AJ33" s="9" t="s">
        <v>81</v>
      </c>
      <c r="AK33" s="9" t="s">
        <v>81</v>
      </c>
      <c r="AL33" s="9" t="s">
        <v>81</v>
      </c>
      <c r="AM33" s="9">
        <v>20.65</v>
      </c>
      <c r="AN33" s="9">
        <v>0</v>
      </c>
      <c r="AO33" s="9" t="s">
        <v>81</v>
      </c>
      <c r="AP33" s="9" t="s">
        <v>81</v>
      </c>
      <c r="AQ33" s="9" t="s">
        <v>81</v>
      </c>
      <c r="AR33" s="9" t="s">
        <v>81</v>
      </c>
      <c r="AS33" s="9" t="s">
        <v>81</v>
      </c>
      <c r="AT33" s="9" t="s">
        <v>81</v>
      </c>
      <c r="AU33" s="9" t="s">
        <v>81</v>
      </c>
      <c r="AV33" s="9" t="s">
        <v>81</v>
      </c>
      <c r="AW33" s="9" t="s">
        <v>81</v>
      </c>
      <c r="AX33">
        <v>23.95</v>
      </c>
      <c r="AY33" s="9">
        <v>0</v>
      </c>
      <c r="AZ33" s="9" t="s">
        <v>81</v>
      </c>
      <c r="BA33" s="9" t="s">
        <v>81</v>
      </c>
      <c r="BB33" s="9" t="s">
        <v>81</v>
      </c>
      <c r="BC33" s="9" t="s">
        <v>81</v>
      </c>
      <c r="BD33" s="9" t="s">
        <v>81</v>
      </c>
      <c r="BE33" s="9" t="s">
        <v>81</v>
      </c>
      <c r="BF33" s="9" t="s">
        <v>81</v>
      </c>
      <c r="BG33" s="9" t="s">
        <v>81</v>
      </c>
      <c r="BH33" s="9" t="s">
        <v>81</v>
      </c>
      <c r="BI33" s="3" t="s">
        <v>84</v>
      </c>
      <c r="BJ33" s="3" t="s">
        <v>82</v>
      </c>
      <c r="BK33" s="3" t="s">
        <v>83</v>
      </c>
      <c r="BL33" s="3" t="s">
        <v>84</v>
      </c>
      <c r="BM33" s="3" t="s">
        <v>84</v>
      </c>
      <c r="BN33" s="3" t="s">
        <v>84</v>
      </c>
      <c r="BO33" s="3" t="s">
        <v>83</v>
      </c>
      <c r="BZ33" s="3" t="s">
        <v>577</v>
      </c>
      <c r="CB33" s="3" t="s">
        <v>84</v>
      </c>
      <c r="CD33">
        <v>13</v>
      </c>
      <c r="CF33" s="18"/>
      <c r="CG33" s="18"/>
      <c r="CH33" s="18"/>
      <c r="CI33" s="18"/>
    </row>
    <row r="34" spans="1:87 16384:16384" ht="15.75" customHeight="1" x14ac:dyDescent="0.15">
      <c r="A34" s="3" t="s">
        <v>569</v>
      </c>
      <c r="B34" s="3" t="s">
        <v>566</v>
      </c>
      <c r="C34" s="3" t="s">
        <v>566</v>
      </c>
      <c r="D34" s="3">
        <v>5</v>
      </c>
      <c r="E34" s="3">
        <v>8</v>
      </c>
      <c r="F34" s="3">
        <v>16.98</v>
      </c>
      <c r="G34" s="3">
        <v>0</v>
      </c>
      <c r="H34" s="9" t="s">
        <v>81</v>
      </c>
      <c r="I34" s="9" t="s">
        <v>81</v>
      </c>
      <c r="J34" s="9" t="s">
        <v>81</v>
      </c>
      <c r="K34" s="9" t="s">
        <v>81</v>
      </c>
      <c r="L34" s="9" t="s">
        <v>81</v>
      </c>
      <c r="M34" s="9" t="s">
        <v>81</v>
      </c>
      <c r="N34" s="9" t="s">
        <v>81</v>
      </c>
      <c r="O34" s="9" t="s">
        <v>81</v>
      </c>
      <c r="P34" s="9" t="s">
        <v>81</v>
      </c>
      <c r="Q34" s="3">
        <v>15.38</v>
      </c>
      <c r="R34" s="3">
        <v>0</v>
      </c>
      <c r="S34" s="9" t="s">
        <v>81</v>
      </c>
      <c r="T34" s="9" t="s">
        <v>81</v>
      </c>
      <c r="U34" s="9" t="s">
        <v>81</v>
      </c>
      <c r="V34" s="9" t="s">
        <v>81</v>
      </c>
      <c r="W34" s="9" t="s">
        <v>81</v>
      </c>
      <c r="X34" s="9" t="s">
        <v>81</v>
      </c>
      <c r="Y34" s="9" t="s">
        <v>81</v>
      </c>
      <c r="Z34" s="9" t="s">
        <v>81</v>
      </c>
      <c r="AA34" s="9" t="s">
        <v>81</v>
      </c>
      <c r="AB34" s="3">
        <v>18.309999999999999</v>
      </c>
      <c r="AC34" s="3">
        <v>0</v>
      </c>
      <c r="AD34" s="9" t="s">
        <v>81</v>
      </c>
      <c r="AE34" s="9" t="s">
        <v>81</v>
      </c>
      <c r="AF34" s="9" t="s">
        <v>81</v>
      </c>
      <c r="AG34" s="9" t="s">
        <v>81</v>
      </c>
      <c r="AH34" s="9" t="s">
        <v>81</v>
      </c>
      <c r="AI34" s="9" t="s">
        <v>81</v>
      </c>
      <c r="AJ34" s="9" t="s">
        <v>81</v>
      </c>
      <c r="AK34" s="9" t="s">
        <v>81</v>
      </c>
      <c r="AL34" s="9" t="s">
        <v>81</v>
      </c>
      <c r="AM34">
        <v>20.67</v>
      </c>
      <c r="AN34">
        <v>0</v>
      </c>
      <c r="AO34" s="9" t="s">
        <v>81</v>
      </c>
      <c r="AP34" s="9" t="s">
        <v>81</v>
      </c>
      <c r="AQ34" s="9" t="s">
        <v>81</v>
      </c>
      <c r="AR34" s="9" t="s">
        <v>81</v>
      </c>
      <c r="AS34" s="9" t="s">
        <v>81</v>
      </c>
      <c r="AT34" s="9" t="s">
        <v>81</v>
      </c>
      <c r="AU34" s="9" t="s">
        <v>81</v>
      </c>
      <c r="AV34" s="9" t="s">
        <v>81</v>
      </c>
      <c r="AW34" s="9" t="s">
        <v>81</v>
      </c>
      <c r="AX34">
        <v>18.170000000000002</v>
      </c>
      <c r="AY34" s="9">
        <v>0</v>
      </c>
      <c r="AZ34" s="9" t="s">
        <v>81</v>
      </c>
      <c r="BA34" s="9" t="s">
        <v>81</v>
      </c>
      <c r="BB34" s="9" t="s">
        <v>81</v>
      </c>
      <c r="BC34" s="9" t="s">
        <v>81</v>
      </c>
      <c r="BD34" s="9" t="s">
        <v>81</v>
      </c>
      <c r="BE34" s="9" t="s">
        <v>81</v>
      </c>
      <c r="BF34" s="9" t="s">
        <v>81</v>
      </c>
      <c r="BG34" s="9" t="s">
        <v>81</v>
      </c>
      <c r="BH34" s="9" t="s">
        <v>81</v>
      </c>
      <c r="BI34" s="3" t="s">
        <v>84</v>
      </c>
      <c r="BJ34" s="3" t="s">
        <v>82</v>
      </c>
      <c r="BK34" s="3" t="s">
        <v>83</v>
      </c>
      <c r="BL34" s="3" t="s">
        <v>84</v>
      </c>
      <c r="BM34" s="3" t="s">
        <v>84</v>
      </c>
      <c r="BN34" s="3" t="s">
        <v>84</v>
      </c>
      <c r="BO34" s="3" t="s">
        <v>83</v>
      </c>
      <c r="BZ34" s="3" t="s">
        <v>577</v>
      </c>
      <c r="CB34" s="3" t="s">
        <v>84</v>
      </c>
      <c r="CD34">
        <v>8</v>
      </c>
      <c r="CF34" s="18"/>
      <c r="CG34" s="18"/>
      <c r="CH34" s="18"/>
      <c r="CI34" s="18"/>
    </row>
    <row r="35" spans="1:87 16384:16384" ht="15.75" customHeight="1" x14ac:dyDescent="0.15">
      <c r="A35" s="3" t="s">
        <v>570</v>
      </c>
      <c r="B35" s="3" t="s">
        <v>566</v>
      </c>
      <c r="C35" s="3" t="s">
        <v>566</v>
      </c>
      <c r="D35" s="3">
        <v>7</v>
      </c>
      <c r="E35" s="3">
        <v>12</v>
      </c>
      <c r="F35" s="3">
        <v>22.95</v>
      </c>
      <c r="G35" s="3">
        <v>0</v>
      </c>
      <c r="H35" s="9" t="s">
        <v>81</v>
      </c>
      <c r="I35" s="9" t="s">
        <v>81</v>
      </c>
      <c r="J35" s="9" t="s">
        <v>81</v>
      </c>
      <c r="K35" s="9" t="s">
        <v>81</v>
      </c>
      <c r="L35" s="9" t="s">
        <v>81</v>
      </c>
      <c r="M35" s="9" t="s">
        <v>81</v>
      </c>
      <c r="N35" s="9" t="s">
        <v>81</v>
      </c>
      <c r="O35" s="9" t="s">
        <v>81</v>
      </c>
      <c r="P35" s="9" t="s">
        <v>81</v>
      </c>
      <c r="Q35" s="3">
        <v>23.42</v>
      </c>
      <c r="R35" s="3">
        <v>0</v>
      </c>
      <c r="S35" s="9" t="s">
        <v>81</v>
      </c>
      <c r="T35" s="9" t="s">
        <v>81</v>
      </c>
      <c r="U35" s="9" t="s">
        <v>81</v>
      </c>
      <c r="V35" s="9" t="s">
        <v>81</v>
      </c>
      <c r="W35" s="9" t="s">
        <v>81</v>
      </c>
      <c r="X35" s="9" t="s">
        <v>81</v>
      </c>
      <c r="Y35" s="9" t="s">
        <v>81</v>
      </c>
      <c r="Z35" s="9" t="s">
        <v>81</v>
      </c>
      <c r="AA35" s="9" t="s">
        <v>81</v>
      </c>
      <c r="AB35" s="3">
        <v>23.36</v>
      </c>
      <c r="AC35" s="3">
        <v>0</v>
      </c>
      <c r="AD35" s="9" t="s">
        <v>81</v>
      </c>
      <c r="AE35" s="9" t="s">
        <v>81</v>
      </c>
      <c r="AF35" s="9" t="s">
        <v>81</v>
      </c>
      <c r="AG35" s="9" t="s">
        <v>81</v>
      </c>
      <c r="AH35" s="9" t="s">
        <v>81</v>
      </c>
      <c r="AI35" s="9" t="s">
        <v>81</v>
      </c>
      <c r="AJ35" s="9" t="s">
        <v>81</v>
      </c>
      <c r="AK35" s="9" t="s">
        <v>81</v>
      </c>
      <c r="AL35" s="9" t="s">
        <v>81</v>
      </c>
      <c r="AM35">
        <v>16.54</v>
      </c>
      <c r="AN35">
        <v>0</v>
      </c>
      <c r="AO35" s="9" t="s">
        <v>81</v>
      </c>
      <c r="AP35" s="9" t="s">
        <v>81</v>
      </c>
      <c r="AQ35" s="9" t="s">
        <v>81</v>
      </c>
      <c r="AR35" s="9" t="s">
        <v>81</v>
      </c>
      <c r="AS35" s="9" t="s">
        <v>81</v>
      </c>
      <c r="AT35" s="9" t="s">
        <v>81</v>
      </c>
      <c r="AU35" s="9" t="s">
        <v>81</v>
      </c>
      <c r="AV35" s="9" t="s">
        <v>81</v>
      </c>
      <c r="AW35" s="9" t="s">
        <v>81</v>
      </c>
      <c r="AX35">
        <v>23.17</v>
      </c>
      <c r="AY35">
        <v>0</v>
      </c>
      <c r="AZ35" s="9" t="s">
        <v>81</v>
      </c>
      <c r="BA35" s="9" t="s">
        <v>81</v>
      </c>
      <c r="BB35" s="9" t="s">
        <v>81</v>
      </c>
      <c r="BC35" s="9" t="s">
        <v>81</v>
      </c>
      <c r="BD35" s="9" t="s">
        <v>81</v>
      </c>
      <c r="BE35" s="9" t="s">
        <v>81</v>
      </c>
      <c r="BF35" s="9" t="s">
        <v>81</v>
      </c>
      <c r="BG35" s="9" t="s">
        <v>81</v>
      </c>
      <c r="BH35" s="9" t="s">
        <v>81</v>
      </c>
      <c r="BI35" s="3" t="s">
        <v>84</v>
      </c>
      <c r="BJ35" s="3" t="s">
        <v>82</v>
      </c>
      <c r="BK35" s="3" t="s">
        <v>83</v>
      </c>
      <c r="BL35" s="3" t="s">
        <v>84</v>
      </c>
      <c r="BM35" s="3" t="s">
        <v>84</v>
      </c>
      <c r="BN35" s="3" t="s">
        <v>84</v>
      </c>
      <c r="BO35" s="3" t="s">
        <v>83</v>
      </c>
      <c r="BZ35" s="3" t="s">
        <v>577</v>
      </c>
      <c r="CB35" s="3" t="s">
        <v>84</v>
      </c>
      <c r="CD35">
        <v>12</v>
      </c>
      <c r="CF35" s="18"/>
      <c r="CG35" s="18"/>
      <c r="CH35" s="18"/>
      <c r="CI35" s="17"/>
    </row>
    <row r="36" spans="1:87 16384:16384" ht="15.75" customHeight="1" x14ac:dyDescent="0.15">
      <c r="A36" s="3" t="s">
        <v>571</v>
      </c>
      <c r="B36" s="3" t="s">
        <v>566</v>
      </c>
      <c r="C36" s="3" t="s">
        <v>566</v>
      </c>
      <c r="D36" s="3">
        <v>9</v>
      </c>
      <c r="E36" s="3">
        <v>16</v>
      </c>
      <c r="F36" s="3">
        <v>17.37</v>
      </c>
      <c r="G36" s="3">
        <v>0</v>
      </c>
      <c r="H36" s="9" t="s">
        <v>81</v>
      </c>
      <c r="I36" s="9" t="s">
        <v>81</v>
      </c>
      <c r="J36" s="9" t="s">
        <v>81</v>
      </c>
      <c r="K36" s="9" t="s">
        <v>81</v>
      </c>
      <c r="L36" s="9" t="s">
        <v>81</v>
      </c>
      <c r="M36" s="9" t="s">
        <v>81</v>
      </c>
      <c r="N36" s="9" t="s">
        <v>81</v>
      </c>
      <c r="O36" s="9" t="s">
        <v>81</v>
      </c>
      <c r="P36" s="9" t="s">
        <v>81</v>
      </c>
      <c r="Q36" s="3">
        <v>15.07</v>
      </c>
      <c r="R36" s="3">
        <v>0</v>
      </c>
      <c r="S36" s="9" t="s">
        <v>81</v>
      </c>
      <c r="T36" s="9" t="s">
        <v>81</v>
      </c>
      <c r="U36" s="9" t="s">
        <v>81</v>
      </c>
      <c r="V36" s="9" t="s">
        <v>81</v>
      </c>
      <c r="W36" s="9" t="s">
        <v>81</v>
      </c>
      <c r="X36" s="9" t="s">
        <v>81</v>
      </c>
      <c r="Y36" s="9" t="s">
        <v>81</v>
      </c>
      <c r="Z36" s="9" t="s">
        <v>81</v>
      </c>
      <c r="AA36" s="9" t="s">
        <v>81</v>
      </c>
      <c r="AB36" s="3">
        <v>19.89</v>
      </c>
      <c r="AC36" s="3">
        <v>0</v>
      </c>
      <c r="AD36" s="9" t="s">
        <v>81</v>
      </c>
      <c r="AE36" s="9" t="s">
        <v>81</v>
      </c>
      <c r="AF36" s="9" t="s">
        <v>81</v>
      </c>
      <c r="AG36" s="9" t="s">
        <v>81</v>
      </c>
      <c r="AH36" s="9" t="s">
        <v>81</v>
      </c>
      <c r="AI36" s="9" t="s">
        <v>81</v>
      </c>
      <c r="AJ36" s="9" t="s">
        <v>81</v>
      </c>
      <c r="AK36" s="9" t="s">
        <v>81</v>
      </c>
      <c r="AL36" s="9" t="s">
        <v>81</v>
      </c>
      <c r="AM36">
        <v>19.11</v>
      </c>
      <c r="AN36">
        <v>0</v>
      </c>
      <c r="AO36" s="9" t="s">
        <v>81</v>
      </c>
      <c r="AP36" s="9" t="s">
        <v>81</v>
      </c>
      <c r="AQ36" s="9" t="s">
        <v>81</v>
      </c>
      <c r="AR36" s="9" t="s">
        <v>81</v>
      </c>
      <c r="AS36" s="9" t="s">
        <v>81</v>
      </c>
      <c r="AT36" s="9" t="s">
        <v>81</v>
      </c>
      <c r="AU36" s="9" t="s">
        <v>81</v>
      </c>
      <c r="AV36" s="9" t="s">
        <v>81</v>
      </c>
      <c r="AW36" s="9" t="s">
        <v>81</v>
      </c>
      <c r="AX36">
        <v>18.55</v>
      </c>
      <c r="AY36">
        <v>0</v>
      </c>
      <c r="AZ36" s="9" t="s">
        <v>81</v>
      </c>
      <c r="BA36" s="9" t="s">
        <v>81</v>
      </c>
      <c r="BB36" s="9" t="s">
        <v>81</v>
      </c>
      <c r="BC36" s="9" t="s">
        <v>81</v>
      </c>
      <c r="BD36" s="9" t="s">
        <v>81</v>
      </c>
      <c r="BE36" s="9" t="s">
        <v>81</v>
      </c>
      <c r="BF36" s="9" t="s">
        <v>81</v>
      </c>
      <c r="BG36" s="9" t="s">
        <v>81</v>
      </c>
      <c r="BH36" s="9" t="s">
        <v>81</v>
      </c>
      <c r="BI36" s="3" t="s">
        <v>84</v>
      </c>
      <c r="BJ36" s="3" t="s">
        <v>82</v>
      </c>
      <c r="BK36" s="3" t="s">
        <v>83</v>
      </c>
      <c r="BL36" s="3" t="s">
        <v>84</v>
      </c>
      <c r="BM36" s="3" t="s">
        <v>84</v>
      </c>
      <c r="BN36" s="3" t="s">
        <v>84</v>
      </c>
      <c r="BO36" s="3" t="s">
        <v>83</v>
      </c>
      <c r="BZ36" s="3" t="s">
        <v>577</v>
      </c>
      <c r="CB36" s="3" t="s">
        <v>84</v>
      </c>
      <c r="CD36">
        <v>16</v>
      </c>
      <c r="CF36" s="18"/>
      <c r="CG36" s="18"/>
      <c r="CH36" s="18"/>
      <c r="CI36" s="18"/>
    </row>
    <row r="37" spans="1:87 16384:16384" ht="15.75" customHeight="1" x14ac:dyDescent="0.15">
      <c r="A37" s="3" t="s">
        <v>572</v>
      </c>
      <c r="B37" s="3" t="s">
        <v>566</v>
      </c>
      <c r="C37" s="3" t="s">
        <v>566</v>
      </c>
      <c r="D37" s="3">
        <v>4</v>
      </c>
      <c r="E37" s="3">
        <v>13</v>
      </c>
      <c r="F37" s="3">
        <v>19.46</v>
      </c>
      <c r="G37" s="3">
        <v>0</v>
      </c>
      <c r="H37" s="9" t="s">
        <v>81</v>
      </c>
      <c r="I37" s="9" t="s">
        <v>81</v>
      </c>
      <c r="J37" s="9" t="s">
        <v>81</v>
      </c>
      <c r="K37" s="9" t="s">
        <v>81</v>
      </c>
      <c r="L37" s="9" t="s">
        <v>81</v>
      </c>
      <c r="M37" s="9" t="s">
        <v>81</v>
      </c>
      <c r="N37" s="9" t="s">
        <v>81</v>
      </c>
      <c r="O37" s="9" t="s">
        <v>81</v>
      </c>
      <c r="P37" s="9" t="s">
        <v>81</v>
      </c>
      <c r="Q37" s="3">
        <v>22.13</v>
      </c>
      <c r="R37" s="3">
        <v>0</v>
      </c>
      <c r="S37" s="9" t="s">
        <v>81</v>
      </c>
      <c r="T37" s="9" t="s">
        <v>81</v>
      </c>
      <c r="U37" s="9" t="s">
        <v>81</v>
      </c>
      <c r="V37" s="9" t="s">
        <v>81</v>
      </c>
      <c r="W37" s="9" t="s">
        <v>81</v>
      </c>
      <c r="X37" s="9" t="s">
        <v>81</v>
      </c>
      <c r="Y37" s="9" t="s">
        <v>81</v>
      </c>
      <c r="Z37" s="9" t="s">
        <v>81</v>
      </c>
      <c r="AA37" s="9" t="s">
        <v>81</v>
      </c>
      <c r="AB37" s="3">
        <v>21.37</v>
      </c>
      <c r="AC37" s="3">
        <v>0</v>
      </c>
      <c r="AD37" s="9" t="s">
        <v>81</v>
      </c>
      <c r="AE37" s="9" t="s">
        <v>81</v>
      </c>
      <c r="AF37" s="9" t="s">
        <v>81</v>
      </c>
      <c r="AG37" s="9" t="s">
        <v>81</v>
      </c>
      <c r="AH37" s="9" t="s">
        <v>81</v>
      </c>
      <c r="AI37" s="9" t="s">
        <v>81</v>
      </c>
      <c r="AJ37" s="9" t="s">
        <v>81</v>
      </c>
      <c r="AK37" s="9" t="s">
        <v>81</v>
      </c>
      <c r="AL37" s="9" t="s">
        <v>81</v>
      </c>
      <c r="AM37">
        <v>18.72</v>
      </c>
      <c r="AN37">
        <v>0</v>
      </c>
      <c r="AO37" s="9" t="s">
        <v>81</v>
      </c>
      <c r="AP37" s="9" t="s">
        <v>81</v>
      </c>
      <c r="AQ37" s="9" t="s">
        <v>81</v>
      </c>
      <c r="AR37" s="9" t="s">
        <v>81</v>
      </c>
      <c r="AS37" s="9" t="s">
        <v>81</v>
      </c>
      <c r="AT37" s="9" t="s">
        <v>81</v>
      </c>
      <c r="AU37" s="9" t="s">
        <v>81</v>
      </c>
      <c r="AV37" s="9" t="s">
        <v>81</v>
      </c>
      <c r="AW37" s="9" t="s">
        <v>81</v>
      </c>
      <c r="AX37">
        <v>15.85</v>
      </c>
      <c r="AY37">
        <v>0</v>
      </c>
      <c r="AZ37" s="9" t="s">
        <v>81</v>
      </c>
      <c r="BA37" s="9" t="s">
        <v>81</v>
      </c>
      <c r="BB37" s="9" t="s">
        <v>81</v>
      </c>
      <c r="BC37" s="9" t="s">
        <v>81</v>
      </c>
      <c r="BD37" s="9" t="s">
        <v>81</v>
      </c>
      <c r="BE37" s="9" t="s">
        <v>81</v>
      </c>
      <c r="BF37" s="9" t="s">
        <v>81</v>
      </c>
      <c r="BG37" s="9" t="s">
        <v>81</v>
      </c>
      <c r="BH37" s="9" t="s">
        <v>81</v>
      </c>
      <c r="BI37" s="3" t="s">
        <v>84</v>
      </c>
      <c r="BJ37" s="3" t="s">
        <v>84</v>
      </c>
      <c r="BK37" s="3" t="s">
        <v>84</v>
      </c>
      <c r="BL37" s="3" t="s">
        <v>82</v>
      </c>
      <c r="BM37" s="3" t="s">
        <v>83</v>
      </c>
      <c r="BN37" s="3" t="s">
        <v>83</v>
      </c>
      <c r="BO37" s="3" t="s">
        <v>83</v>
      </c>
      <c r="BZ37" s="3" t="s">
        <v>577</v>
      </c>
      <c r="CB37" s="3" t="s">
        <v>84</v>
      </c>
      <c r="CD37">
        <v>13</v>
      </c>
      <c r="CF37" s="18"/>
      <c r="CG37" s="18"/>
      <c r="CH37" s="18"/>
      <c r="CI37" s="18"/>
    </row>
    <row r="38" spans="1:87 16384:16384" ht="15.75" customHeight="1" x14ac:dyDescent="0.15">
      <c r="A38" s="3" t="s">
        <v>573</v>
      </c>
      <c r="B38" s="3" t="s">
        <v>566</v>
      </c>
      <c r="C38" s="3" t="s">
        <v>566</v>
      </c>
      <c r="D38" s="3">
        <v>9</v>
      </c>
      <c r="E38" s="3">
        <v>18</v>
      </c>
      <c r="F38" s="3">
        <v>25.44</v>
      </c>
      <c r="G38" s="3">
        <v>0</v>
      </c>
      <c r="H38" s="9" t="s">
        <v>81</v>
      </c>
      <c r="I38" s="9" t="s">
        <v>81</v>
      </c>
      <c r="J38" s="9" t="s">
        <v>81</v>
      </c>
      <c r="K38" s="9" t="s">
        <v>81</v>
      </c>
      <c r="L38" s="9" t="s">
        <v>81</v>
      </c>
      <c r="M38" s="9" t="s">
        <v>81</v>
      </c>
      <c r="N38" s="9" t="s">
        <v>81</v>
      </c>
      <c r="O38" s="9" t="s">
        <v>81</v>
      </c>
      <c r="P38" s="9" t="s">
        <v>81</v>
      </c>
      <c r="Q38" s="3">
        <v>28.95</v>
      </c>
      <c r="R38" s="3">
        <v>0</v>
      </c>
      <c r="S38" s="9" t="s">
        <v>81</v>
      </c>
      <c r="T38" s="9" t="s">
        <v>81</v>
      </c>
      <c r="U38" s="9" t="s">
        <v>81</v>
      </c>
      <c r="V38" s="9" t="s">
        <v>81</v>
      </c>
      <c r="W38" s="9" t="s">
        <v>81</v>
      </c>
      <c r="X38" s="9" t="s">
        <v>81</v>
      </c>
      <c r="Y38" s="9" t="s">
        <v>81</v>
      </c>
      <c r="Z38" s="9" t="s">
        <v>81</v>
      </c>
      <c r="AA38" s="9" t="s">
        <v>81</v>
      </c>
      <c r="AB38" s="3">
        <v>30.37</v>
      </c>
      <c r="AC38" s="3">
        <v>0</v>
      </c>
      <c r="AD38" s="9" t="s">
        <v>81</v>
      </c>
      <c r="AE38" s="9" t="s">
        <v>81</v>
      </c>
      <c r="AF38" s="9" t="s">
        <v>81</v>
      </c>
      <c r="AG38" s="9" t="s">
        <v>81</v>
      </c>
      <c r="AH38" s="9" t="s">
        <v>81</v>
      </c>
      <c r="AI38" s="9" t="s">
        <v>81</v>
      </c>
      <c r="AJ38" s="9" t="s">
        <v>81</v>
      </c>
      <c r="AK38" s="9" t="s">
        <v>81</v>
      </c>
      <c r="AL38" s="9" t="s">
        <v>81</v>
      </c>
      <c r="AM38">
        <v>25.7</v>
      </c>
      <c r="AN38">
        <v>0</v>
      </c>
      <c r="AO38" s="9" t="s">
        <v>81</v>
      </c>
      <c r="AP38" s="9" t="s">
        <v>81</v>
      </c>
      <c r="AQ38" s="9" t="s">
        <v>81</v>
      </c>
      <c r="AR38" s="9" t="s">
        <v>81</v>
      </c>
      <c r="AS38" s="9" t="s">
        <v>81</v>
      </c>
      <c r="AT38" s="9" t="s">
        <v>81</v>
      </c>
      <c r="AU38" s="9" t="s">
        <v>81</v>
      </c>
      <c r="AV38" s="9" t="s">
        <v>81</v>
      </c>
      <c r="AW38" s="9" t="s">
        <v>81</v>
      </c>
      <c r="AX38">
        <v>25.53</v>
      </c>
      <c r="AY38">
        <v>0</v>
      </c>
      <c r="AZ38" s="9" t="s">
        <v>81</v>
      </c>
      <c r="BA38" s="9" t="s">
        <v>81</v>
      </c>
      <c r="BB38" s="9" t="s">
        <v>81</v>
      </c>
      <c r="BC38" s="9" t="s">
        <v>81</v>
      </c>
      <c r="BD38" s="9" t="s">
        <v>81</v>
      </c>
      <c r="BE38" s="9" t="s">
        <v>81</v>
      </c>
      <c r="BF38" s="9" t="s">
        <v>81</v>
      </c>
      <c r="BG38" s="9" t="s">
        <v>81</v>
      </c>
      <c r="BH38" s="9" t="s">
        <v>81</v>
      </c>
      <c r="BI38" s="3" t="s">
        <v>84</v>
      </c>
      <c r="BJ38" s="3" t="s">
        <v>84</v>
      </c>
      <c r="BK38" s="3" t="s">
        <v>82</v>
      </c>
      <c r="BL38" s="3" t="s">
        <v>82</v>
      </c>
      <c r="BM38" s="3" t="s">
        <v>83</v>
      </c>
      <c r="BN38" s="3" t="s">
        <v>83</v>
      </c>
      <c r="BO38" s="3" t="s">
        <v>83</v>
      </c>
      <c r="BZ38" s="3" t="s">
        <v>577</v>
      </c>
      <c r="CB38" s="3" t="s">
        <v>84</v>
      </c>
      <c r="CF38" s="18"/>
      <c r="CG38" s="18"/>
      <c r="CH38" s="18"/>
      <c r="CI38" s="17"/>
      <c r="XFD38" s="9"/>
    </row>
    <row r="39" spans="1:87 16384:16384" x14ac:dyDescent="0.15">
      <c r="A39" s="3" t="s">
        <v>575</v>
      </c>
      <c r="B39" s="3" t="s">
        <v>566</v>
      </c>
      <c r="C39" s="3" t="s">
        <v>566</v>
      </c>
      <c r="D39" s="3">
        <v>8</v>
      </c>
      <c r="E39" s="3">
        <v>11</v>
      </c>
      <c r="F39" s="3">
        <v>14.1</v>
      </c>
      <c r="G39" s="3">
        <v>0</v>
      </c>
      <c r="H39" s="9" t="s">
        <v>81</v>
      </c>
      <c r="I39" s="9" t="s">
        <v>81</v>
      </c>
      <c r="J39" s="9" t="s">
        <v>81</v>
      </c>
      <c r="K39" s="9" t="s">
        <v>81</v>
      </c>
      <c r="L39" s="9" t="s">
        <v>81</v>
      </c>
      <c r="M39" s="9" t="s">
        <v>81</v>
      </c>
      <c r="N39" s="9" t="s">
        <v>81</v>
      </c>
      <c r="O39" s="9" t="s">
        <v>81</v>
      </c>
      <c r="P39" s="9" t="s">
        <v>81</v>
      </c>
      <c r="Q39" s="3">
        <v>13.95</v>
      </c>
      <c r="R39" s="3">
        <v>0</v>
      </c>
      <c r="S39" s="9" t="s">
        <v>81</v>
      </c>
      <c r="T39" s="9" t="s">
        <v>81</v>
      </c>
      <c r="U39" s="9" t="s">
        <v>81</v>
      </c>
      <c r="V39" s="9" t="s">
        <v>81</v>
      </c>
      <c r="W39" s="9" t="s">
        <v>81</v>
      </c>
      <c r="X39" s="9" t="s">
        <v>81</v>
      </c>
      <c r="Y39" s="9" t="s">
        <v>81</v>
      </c>
      <c r="Z39" s="9" t="s">
        <v>81</v>
      </c>
      <c r="AA39" s="9" t="s">
        <v>81</v>
      </c>
      <c r="AB39" s="9">
        <v>13.9</v>
      </c>
      <c r="AC39" s="3">
        <v>0</v>
      </c>
      <c r="AD39" s="9" t="s">
        <v>81</v>
      </c>
      <c r="AE39" s="9" t="s">
        <v>81</v>
      </c>
      <c r="AF39" s="9" t="s">
        <v>81</v>
      </c>
      <c r="AG39" s="9" t="s">
        <v>81</v>
      </c>
      <c r="AH39" s="9" t="s">
        <v>81</v>
      </c>
      <c r="AI39" s="9" t="s">
        <v>81</v>
      </c>
      <c r="AJ39" s="9" t="s">
        <v>81</v>
      </c>
      <c r="AK39" s="9" t="s">
        <v>81</v>
      </c>
      <c r="AL39" s="9" t="s">
        <v>81</v>
      </c>
      <c r="AM39">
        <v>10.18</v>
      </c>
      <c r="AN39">
        <v>0</v>
      </c>
      <c r="AO39" s="9" t="s">
        <v>81</v>
      </c>
      <c r="AP39" s="9" t="s">
        <v>81</v>
      </c>
      <c r="AQ39" s="9" t="s">
        <v>81</v>
      </c>
      <c r="AR39" s="9" t="s">
        <v>81</v>
      </c>
      <c r="AS39" s="9" t="s">
        <v>81</v>
      </c>
      <c r="AT39" s="9" t="s">
        <v>81</v>
      </c>
      <c r="AU39" s="9" t="s">
        <v>81</v>
      </c>
      <c r="AV39" s="9" t="s">
        <v>81</v>
      </c>
      <c r="AW39" s="9" t="s">
        <v>81</v>
      </c>
      <c r="AX39">
        <v>15.77</v>
      </c>
      <c r="AY39">
        <v>0</v>
      </c>
      <c r="AZ39" s="9" t="s">
        <v>81</v>
      </c>
      <c r="BA39" s="9" t="s">
        <v>81</v>
      </c>
      <c r="BB39" s="9" t="s">
        <v>81</v>
      </c>
      <c r="BC39" s="9" t="s">
        <v>81</v>
      </c>
      <c r="BD39" s="9" t="s">
        <v>81</v>
      </c>
      <c r="BE39" s="9" t="s">
        <v>81</v>
      </c>
      <c r="BF39" s="9" t="s">
        <v>81</v>
      </c>
      <c r="BG39" s="9" t="s">
        <v>81</v>
      </c>
      <c r="BH39" s="9" t="s">
        <v>81</v>
      </c>
      <c r="BI39" s="3" t="s">
        <v>84</v>
      </c>
      <c r="BJ39" s="3" t="s">
        <v>82</v>
      </c>
      <c r="BK39" s="3" t="s">
        <v>83</v>
      </c>
      <c r="BL39" s="3" t="s">
        <v>84</v>
      </c>
      <c r="BM39" s="3" t="s">
        <v>84</v>
      </c>
      <c r="BN39" s="3" t="s">
        <v>84</v>
      </c>
      <c r="BO39" s="3" t="s">
        <v>83</v>
      </c>
      <c r="BZ39" s="3" t="s">
        <v>577</v>
      </c>
      <c r="CB39" s="3" t="s">
        <v>84</v>
      </c>
      <c r="CD39">
        <v>11</v>
      </c>
      <c r="CF39" s="18"/>
      <c r="CG39" s="18"/>
      <c r="CH39" s="18"/>
      <c r="CI39" s="18"/>
    </row>
    <row r="40" spans="1:87 16384:16384" x14ac:dyDescent="0.15">
      <c r="A40" s="3">
        <v>1847942164</v>
      </c>
      <c r="B40" s="3" t="s">
        <v>177</v>
      </c>
      <c r="C40" s="3" t="s">
        <v>177</v>
      </c>
      <c r="D40" s="3">
        <v>9</v>
      </c>
      <c r="E40" s="3">
        <v>12</v>
      </c>
      <c r="F40" s="3">
        <v>21.585000000000001</v>
      </c>
      <c r="G40" s="3">
        <v>0</v>
      </c>
      <c r="H40" s="3" t="s">
        <v>81</v>
      </c>
      <c r="I40" s="3" t="s">
        <v>81</v>
      </c>
      <c r="J40" s="3" t="s">
        <v>81</v>
      </c>
      <c r="K40" s="3" t="s">
        <v>81</v>
      </c>
      <c r="L40" s="3" t="s">
        <v>81</v>
      </c>
      <c r="M40" s="3" t="s">
        <v>81</v>
      </c>
      <c r="N40" s="3" t="s">
        <v>81</v>
      </c>
      <c r="O40" s="3" t="s">
        <v>81</v>
      </c>
      <c r="P40" s="3" t="s">
        <v>81</v>
      </c>
      <c r="Q40" s="3">
        <v>18.751000000000001</v>
      </c>
      <c r="R40" s="3">
        <v>0</v>
      </c>
      <c r="S40" s="3" t="s">
        <v>81</v>
      </c>
      <c r="T40" s="3" t="s">
        <v>81</v>
      </c>
      <c r="U40" s="3" t="s">
        <v>81</v>
      </c>
      <c r="V40" s="3" t="s">
        <v>81</v>
      </c>
      <c r="W40" s="3" t="s">
        <v>81</v>
      </c>
      <c r="X40" s="3" t="s">
        <v>81</v>
      </c>
      <c r="Y40" s="3" t="s">
        <v>81</v>
      </c>
      <c r="Z40" s="3" t="s">
        <v>81</v>
      </c>
      <c r="AA40" s="3" t="s">
        <v>81</v>
      </c>
      <c r="AB40" s="3">
        <v>21.048999999999999</v>
      </c>
      <c r="AC40" s="3">
        <v>0</v>
      </c>
      <c r="AD40" s="3" t="s">
        <v>81</v>
      </c>
      <c r="AE40" s="3" t="s">
        <v>81</v>
      </c>
      <c r="AF40" s="3" t="s">
        <v>81</v>
      </c>
      <c r="AG40" s="3" t="s">
        <v>81</v>
      </c>
      <c r="AH40" s="3" t="s">
        <v>81</v>
      </c>
      <c r="AI40" s="3" t="s">
        <v>81</v>
      </c>
      <c r="AJ40" s="3" t="s">
        <v>81</v>
      </c>
      <c r="AK40" s="3" t="s">
        <v>81</v>
      </c>
      <c r="AL40" s="3" t="s">
        <v>81</v>
      </c>
      <c r="AM40" s="3">
        <v>20.439</v>
      </c>
      <c r="AN40" s="3">
        <v>0</v>
      </c>
      <c r="AO40" s="3" t="s">
        <v>81</v>
      </c>
      <c r="AP40" s="3" t="s">
        <v>81</v>
      </c>
      <c r="AQ40" s="3" t="s">
        <v>81</v>
      </c>
      <c r="AR40" s="3" t="s">
        <v>81</v>
      </c>
      <c r="AS40" s="3" t="s">
        <v>81</v>
      </c>
      <c r="AT40" s="3" t="s">
        <v>81</v>
      </c>
      <c r="AU40" s="3" t="s">
        <v>81</v>
      </c>
      <c r="AV40" s="3" t="s">
        <v>81</v>
      </c>
      <c r="AW40" s="3" t="s">
        <v>81</v>
      </c>
      <c r="AX40" s="3">
        <v>22.478999999999999</v>
      </c>
      <c r="AY40" s="3">
        <v>0</v>
      </c>
      <c r="AZ40" s="3" t="s">
        <v>81</v>
      </c>
      <c r="BA40" s="3" t="s">
        <v>81</v>
      </c>
      <c r="BB40" s="3" t="s">
        <v>81</v>
      </c>
      <c r="BC40" s="3" t="s">
        <v>81</v>
      </c>
      <c r="BD40" s="3" t="s">
        <v>81</v>
      </c>
      <c r="BE40" s="3" t="s">
        <v>81</v>
      </c>
      <c r="BF40" s="3" t="s">
        <v>81</v>
      </c>
      <c r="BG40" s="3" t="s">
        <v>81</v>
      </c>
      <c r="BH40" s="3" t="s">
        <v>81</v>
      </c>
      <c r="BI40" s="3" t="s">
        <v>84</v>
      </c>
      <c r="BJ40" s="3" t="s">
        <v>84</v>
      </c>
      <c r="BK40" s="3" t="s">
        <v>84</v>
      </c>
      <c r="BL40" s="3" t="s">
        <v>84</v>
      </c>
      <c r="BM40" s="3" t="s">
        <v>84</v>
      </c>
      <c r="BN40" s="3" t="s">
        <v>84</v>
      </c>
      <c r="BO40" s="3" t="s">
        <v>84</v>
      </c>
      <c r="BP40" s="3" t="s">
        <v>87</v>
      </c>
      <c r="BQ40" s="3" t="s">
        <v>98</v>
      </c>
      <c r="BR40" s="3" t="s">
        <v>178</v>
      </c>
      <c r="BS40" s="3" t="s">
        <v>178</v>
      </c>
      <c r="BT40" s="3" t="s">
        <v>87</v>
      </c>
      <c r="BU40" s="3" t="s">
        <v>98</v>
      </c>
      <c r="BV40" s="3" t="s">
        <v>84</v>
      </c>
      <c r="BW40" s="3" t="s">
        <v>83</v>
      </c>
      <c r="BX40" s="3" t="s">
        <v>82</v>
      </c>
      <c r="BY40" s="3" t="s">
        <v>179</v>
      </c>
      <c r="BZ40" s="3" t="s">
        <v>93</v>
      </c>
      <c r="CB40" s="3" t="s">
        <v>84</v>
      </c>
      <c r="CD40" s="9">
        <v>25</v>
      </c>
      <c r="CE40" s="9">
        <v>13</v>
      </c>
      <c r="CF40" s="18"/>
      <c r="CG40" s="18"/>
      <c r="CH40" s="18"/>
      <c r="CI40" s="18"/>
    </row>
    <row r="41" spans="1:87 16384:16384" x14ac:dyDescent="0.15">
      <c r="A41" s="3">
        <v>2643334526</v>
      </c>
      <c r="B41" s="3" t="s">
        <v>177</v>
      </c>
      <c r="C41" s="3" t="s">
        <v>177</v>
      </c>
      <c r="D41" s="3">
        <v>16</v>
      </c>
      <c r="E41" s="3">
        <v>16</v>
      </c>
      <c r="F41" s="3">
        <v>26.163</v>
      </c>
      <c r="G41" s="3">
        <v>0</v>
      </c>
      <c r="H41" s="3" t="s">
        <v>81</v>
      </c>
      <c r="I41" s="3" t="s">
        <v>81</v>
      </c>
      <c r="J41" s="3" t="s">
        <v>81</v>
      </c>
      <c r="K41" s="3" t="s">
        <v>81</v>
      </c>
      <c r="L41" s="3" t="s">
        <v>81</v>
      </c>
      <c r="M41" s="3" t="s">
        <v>81</v>
      </c>
      <c r="N41" s="3" t="s">
        <v>81</v>
      </c>
      <c r="O41" s="3" t="s">
        <v>81</v>
      </c>
      <c r="P41" s="3" t="s">
        <v>81</v>
      </c>
      <c r="Q41" s="3">
        <v>30.201000000000001</v>
      </c>
      <c r="R41" s="3">
        <v>0</v>
      </c>
      <c r="S41" s="3" t="s">
        <v>81</v>
      </c>
      <c r="T41" s="3" t="s">
        <v>81</v>
      </c>
      <c r="U41" s="3" t="s">
        <v>81</v>
      </c>
      <c r="V41" s="3" t="s">
        <v>81</v>
      </c>
      <c r="W41" s="3" t="s">
        <v>81</v>
      </c>
      <c r="X41" s="3" t="s">
        <v>81</v>
      </c>
      <c r="Y41" s="3" t="s">
        <v>81</v>
      </c>
      <c r="Z41" s="3" t="s">
        <v>81</v>
      </c>
      <c r="AA41" s="3" t="s">
        <v>81</v>
      </c>
      <c r="AB41" s="3">
        <v>41.250999999999998</v>
      </c>
      <c r="AC41" s="3">
        <v>0</v>
      </c>
      <c r="AD41" s="3" t="s">
        <v>81</v>
      </c>
      <c r="AE41" s="3" t="s">
        <v>81</v>
      </c>
      <c r="AF41" s="3" t="s">
        <v>81</v>
      </c>
      <c r="AG41" s="3" t="s">
        <v>81</v>
      </c>
      <c r="AH41" s="3" t="s">
        <v>81</v>
      </c>
      <c r="AI41" s="3" t="s">
        <v>81</v>
      </c>
      <c r="AJ41" s="3" t="s">
        <v>81</v>
      </c>
      <c r="AK41" s="3" t="s">
        <v>81</v>
      </c>
      <c r="AL41" s="3" t="s">
        <v>81</v>
      </c>
      <c r="AM41" s="3">
        <v>35.783999999999999</v>
      </c>
      <c r="AN41" s="3">
        <v>0</v>
      </c>
      <c r="AO41" s="3" t="s">
        <v>81</v>
      </c>
      <c r="AP41" s="3" t="s">
        <v>81</v>
      </c>
      <c r="AQ41" s="3" t="s">
        <v>81</v>
      </c>
      <c r="AR41" s="3" t="s">
        <v>81</v>
      </c>
      <c r="AS41" s="3" t="s">
        <v>81</v>
      </c>
      <c r="AT41" s="3" t="s">
        <v>81</v>
      </c>
      <c r="AU41" s="3" t="s">
        <v>81</v>
      </c>
      <c r="AV41" s="3" t="s">
        <v>81</v>
      </c>
      <c r="AW41" s="3" t="s">
        <v>81</v>
      </c>
      <c r="AX41" s="3">
        <v>30.067</v>
      </c>
      <c r="AY41" s="3">
        <v>0</v>
      </c>
      <c r="AZ41" s="3" t="s">
        <v>81</v>
      </c>
      <c r="BA41" s="3" t="s">
        <v>81</v>
      </c>
      <c r="BB41" s="3" t="s">
        <v>81</v>
      </c>
      <c r="BC41" s="3" t="s">
        <v>81</v>
      </c>
      <c r="BD41" s="3" t="s">
        <v>81</v>
      </c>
      <c r="BE41" s="3" t="s">
        <v>81</v>
      </c>
      <c r="BF41" s="3" t="s">
        <v>81</v>
      </c>
      <c r="BG41" s="3" t="s">
        <v>81</v>
      </c>
      <c r="BH41" s="3" t="s">
        <v>81</v>
      </c>
      <c r="BI41" s="3" t="s">
        <v>84</v>
      </c>
      <c r="BJ41" s="3" t="s">
        <v>82</v>
      </c>
      <c r="BK41" s="3" t="s">
        <v>83</v>
      </c>
      <c r="BL41" s="3" t="s">
        <v>84</v>
      </c>
      <c r="BM41" s="3" t="s">
        <v>84</v>
      </c>
      <c r="BN41" s="3" t="s">
        <v>84</v>
      </c>
      <c r="BO41" s="3" t="s">
        <v>84</v>
      </c>
      <c r="BP41" s="3" t="s">
        <v>87</v>
      </c>
      <c r="BQ41" s="3" t="s">
        <v>87</v>
      </c>
      <c r="BR41" s="3" t="s">
        <v>180</v>
      </c>
      <c r="BS41" s="3" t="s">
        <v>180</v>
      </c>
      <c r="BT41" s="3" t="s">
        <v>87</v>
      </c>
      <c r="BU41" s="3" t="s">
        <v>98</v>
      </c>
      <c r="BV41" s="3" t="s">
        <v>84</v>
      </c>
      <c r="BW41" s="3" t="s">
        <v>83</v>
      </c>
      <c r="BX41" s="3" t="s">
        <v>82</v>
      </c>
      <c r="BY41" s="3" t="s">
        <v>181</v>
      </c>
      <c r="BZ41" s="3" t="s">
        <v>86</v>
      </c>
      <c r="CB41" s="3" t="s">
        <v>84</v>
      </c>
      <c r="CD41" s="9">
        <v>16</v>
      </c>
      <c r="CE41" s="9"/>
      <c r="CF41" s="18"/>
      <c r="CG41" s="18"/>
      <c r="CH41" s="18"/>
      <c r="CI41" s="18"/>
    </row>
    <row r="42" spans="1:87 16384:16384" s="18" customFormat="1" x14ac:dyDescent="0.15">
      <c r="A42" s="17">
        <v>2625837530</v>
      </c>
      <c r="B42" s="17" t="s">
        <v>177</v>
      </c>
      <c r="C42" s="17" t="s">
        <v>177</v>
      </c>
      <c r="D42" s="17">
        <v>12</v>
      </c>
      <c r="E42" s="17">
        <v>12</v>
      </c>
      <c r="F42" s="17">
        <v>30.768999999999998</v>
      </c>
      <c r="G42" s="17">
        <v>0</v>
      </c>
      <c r="H42" s="17" t="s">
        <v>81</v>
      </c>
      <c r="I42" s="17" t="s">
        <v>81</v>
      </c>
      <c r="J42" s="17" t="s">
        <v>81</v>
      </c>
      <c r="K42" s="17" t="s">
        <v>81</v>
      </c>
      <c r="L42" s="17" t="s">
        <v>81</v>
      </c>
      <c r="M42" s="17" t="s">
        <v>81</v>
      </c>
      <c r="N42" s="17" t="s">
        <v>81</v>
      </c>
      <c r="O42" s="17" t="s">
        <v>81</v>
      </c>
      <c r="P42" s="17" t="s">
        <v>81</v>
      </c>
      <c r="Q42" s="17">
        <v>36.945</v>
      </c>
      <c r="R42" s="17">
        <v>0</v>
      </c>
      <c r="S42" s="17" t="s">
        <v>81</v>
      </c>
      <c r="T42" s="17" t="s">
        <v>81</v>
      </c>
      <c r="U42" s="17" t="s">
        <v>81</v>
      </c>
      <c r="V42" s="17" t="s">
        <v>81</v>
      </c>
      <c r="W42" s="17" t="s">
        <v>81</v>
      </c>
      <c r="X42" s="17" t="s">
        <v>81</v>
      </c>
      <c r="Y42" s="17" t="s">
        <v>81</v>
      </c>
      <c r="Z42" s="17" t="s">
        <v>81</v>
      </c>
      <c r="AA42" s="17" t="s">
        <v>81</v>
      </c>
      <c r="AB42" s="17">
        <v>28.004999999999999</v>
      </c>
      <c r="AC42" s="17">
        <v>0</v>
      </c>
      <c r="AD42" s="17" t="s">
        <v>81</v>
      </c>
      <c r="AE42" s="17" t="s">
        <v>81</v>
      </c>
      <c r="AF42" s="17" t="s">
        <v>81</v>
      </c>
      <c r="AG42" s="17" t="s">
        <v>81</v>
      </c>
      <c r="AH42" s="17" t="s">
        <v>81</v>
      </c>
      <c r="AI42" s="17" t="s">
        <v>81</v>
      </c>
      <c r="AJ42" s="17" t="s">
        <v>81</v>
      </c>
      <c r="AK42" s="17" t="s">
        <v>81</v>
      </c>
      <c r="AL42" s="17" t="s">
        <v>81</v>
      </c>
      <c r="AM42" s="17">
        <v>25.434000000000001</v>
      </c>
      <c r="AN42" s="17">
        <v>0</v>
      </c>
      <c r="AO42" s="17" t="s">
        <v>81</v>
      </c>
      <c r="AP42" s="17" t="s">
        <v>81</v>
      </c>
      <c r="AQ42" s="17" t="s">
        <v>81</v>
      </c>
      <c r="AR42" s="17" t="s">
        <v>81</v>
      </c>
      <c r="AS42" s="17" t="s">
        <v>81</v>
      </c>
      <c r="AT42" s="17" t="s">
        <v>81</v>
      </c>
      <c r="AU42" s="17" t="s">
        <v>81</v>
      </c>
      <c r="AV42" s="17" t="s">
        <v>81</v>
      </c>
      <c r="AW42" s="17" t="s">
        <v>81</v>
      </c>
      <c r="AX42" s="17">
        <v>36.033999999999999</v>
      </c>
      <c r="AY42" s="17">
        <v>0</v>
      </c>
      <c r="AZ42" s="17" t="s">
        <v>81</v>
      </c>
      <c r="BA42" s="17" t="s">
        <v>81</v>
      </c>
      <c r="BB42" s="17" t="s">
        <v>81</v>
      </c>
      <c r="BC42" s="17" t="s">
        <v>81</v>
      </c>
      <c r="BD42" s="17" t="s">
        <v>81</v>
      </c>
      <c r="BE42" s="17" t="s">
        <v>81</v>
      </c>
      <c r="BF42" s="17" t="s">
        <v>81</v>
      </c>
      <c r="BG42" s="17" t="s">
        <v>81</v>
      </c>
      <c r="BH42" s="17" t="s">
        <v>81</v>
      </c>
      <c r="BI42" s="17" t="s">
        <v>84</v>
      </c>
      <c r="BJ42" s="17" t="s">
        <v>82</v>
      </c>
      <c r="BK42" s="17" t="s">
        <v>83</v>
      </c>
      <c r="BL42" s="17" t="s">
        <v>84</v>
      </c>
      <c r="BM42" s="17" t="s">
        <v>84</v>
      </c>
      <c r="BN42" s="17" t="s">
        <v>84</v>
      </c>
      <c r="BO42" s="17" t="s">
        <v>84</v>
      </c>
      <c r="BP42" s="17" t="s">
        <v>87</v>
      </c>
      <c r="BQ42" s="17" t="s">
        <v>87</v>
      </c>
      <c r="BR42" s="17" t="s">
        <v>180</v>
      </c>
      <c r="BS42" s="17" t="s">
        <v>180</v>
      </c>
      <c r="BT42" s="17" t="s">
        <v>87</v>
      </c>
      <c r="BU42" s="17" t="s">
        <v>98</v>
      </c>
      <c r="BV42" s="17" t="s">
        <v>84</v>
      </c>
      <c r="BW42" s="17" t="s">
        <v>83</v>
      </c>
      <c r="BX42" s="17" t="s">
        <v>82</v>
      </c>
      <c r="BY42" s="17" t="s">
        <v>181</v>
      </c>
      <c r="BZ42" s="17" t="s">
        <v>86</v>
      </c>
      <c r="CB42" s="17" t="s">
        <v>84</v>
      </c>
      <c r="CD42" s="19">
        <v>11</v>
      </c>
      <c r="CE42" s="19"/>
      <c r="CI42" s="17"/>
    </row>
    <row r="43" spans="1:87 16384:16384" x14ac:dyDescent="0.15">
      <c r="A43" s="3">
        <v>2625897010</v>
      </c>
      <c r="B43" s="3" t="s">
        <v>177</v>
      </c>
      <c r="C43" s="3" t="s">
        <v>177</v>
      </c>
      <c r="D43" s="3">
        <v>9</v>
      </c>
      <c r="E43" s="3">
        <v>12</v>
      </c>
      <c r="F43" s="3">
        <v>19.222999999999999</v>
      </c>
      <c r="G43" s="3">
        <v>0</v>
      </c>
      <c r="H43" s="3" t="s">
        <v>81</v>
      </c>
      <c r="I43" s="3" t="s">
        <v>81</v>
      </c>
      <c r="J43" s="3" t="s">
        <v>81</v>
      </c>
      <c r="K43" s="3" t="s">
        <v>81</v>
      </c>
      <c r="L43" s="3" t="s">
        <v>81</v>
      </c>
      <c r="M43" s="3" t="s">
        <v>81</v>
      </c>
      <c r="N43" s="3" t="s">
        <v>81</v>
      </c>
      <c r="O43" s="3" t="s">
        <v>81</v>
      </c>
      <c r="P43" s="3" t="s">
        <v>81</v>
      </c>
      <c r="Q43" s="3">
        <v>16.917000000000002</v>
      </c>
      <c r="R43" s="3">
        <v>0</v>
      </c>
      <c r="S43" s="3" t="s">
        <v>81</v>
      </c>
      <c r="T43" s="3" t="s">
        <v>81</v>
      </c>
      <c r="U43" s="3" t="s">
        <v>81</v>
      </c>
      <c r="V43" s="3" t="s">
        <v>81</v>
      </c>
      <c r="W43" s="3" t="s">
        <v>81</v>
      </c>
      <c r="X43" s="3" t="s">
        <v>81</v>
      </c>
      <c r="Y43" s="3" t="s">
        <v>81</v>
      </c>
      <c r="Z43" s="3" t="s">
        <v>81</v>
      </c>
      <c r="AA43" s="3" t="s">
        <v>81</v>
      </c>
      <c r="AB43" s="3">
        <v>15.785</v>
      </c>
      <c r="AC43" s="3">
        <v>0</v>
      </c>
      <c r="AD43" s="3" t="s">
        <v>81</v>
      </c>
      <c r="AE43" s="3" t="s">
        <v>81</v>
      </c>
      <c r="AF43" s="3" t="s">
        <v>81</v>
      </c>
      <c r="AG43" s="3" t="s">
        <v>81</v>
      </c>
      <c r="AH43" s="3" t="s">
        <v>81</v>
      </c>
      <c r="AI43" s="3" t="s">
        <v>81</v>
      </c>
      <c r="AJ43" s="3" t="s">
        <v>81</v>
      </c>
      <c r="AK43" s="3" t="s">
        <v>81</v>
      </c>
      <c r="AL43" s="3" t="s">
        <v>81</v>
      </c>
      <c r="AM43" s="3">
        <v>16.111000000000001</v>
      </c>
      <c r="AN43" s="3">
        <v>0</v>
      </c>
      <c r="AO43" s="3" t="s">
        <v>81</v>
      </c>
      <c r="AP43" s="3" t="s">
        <v>81</v>
      </c>
      <c r="AQ43" s="3" t="s">
        <v>81</v>
      </c>
      <c r="AR43" s="3" t="s">
        <v>81</v>
      </c>
      <c r="AS43" s="3" t="s">
        <v>81</v>
      </c>
      <c r="AT43" s="3" t="s">
        <v>81</v>
      </c>
      <c r="AU43" s="3" t="s">
        <v>81</v>
      </c>
      <c r="AV43" s="3" t="s">
        <v>81</v>
      </c>
      <c r="AW43" s="3" t="s">
        <v>81</v>
      </c>
      <c r="AX43" s="3">
        <v>17.419</v>
      </c>
      <c r="AY43" s="3">
        <v>0</v>
      </c>
      <c r="AZ43" s="3" t="s">
        <v>81</v>
      </c>
      <c r="BA43" s="3" t="s">
        <v>81</v>
      </c>
      <c r="BB43" s="3" t="s">
        <v>81</v>
      </c>
      <c r="BC43" s="3" t="s">
        <v>81</v>
      </c>
      <c r="BD43" s="3" t="s">
        <v>81</v>
      </c>
      <c r="BE43" s="3" t="s">
        <v>81</v>
      </c>
      <c r="BF43" s="3" t="s">
        <v>81</v>
      </c>
      <c r="BG43" s="3" t="s">
        <v>81</v>
      </c>
      <c r="BH43" s="3" t="s">
        <v>81</v>
      </c>
      <c r="BI43" s="3" t="s">
        <v>84</v>
      </c>
      <c r="BJ43" s="3" t="s">
        <v>82</v>
      </c>
      <c r="BK43" s="3" t="s">
        <v>83</v>
      </c>
      <c r="BL43" s="3" t="s">
        <v>84</v>
      </c>
      <c r="BM43" s="3" t="s">
        <v>84</v>
      </c>
      <c r="BN43" s="3" t="s">
        <v>84</v>
      </c>
      <c r="BO43" s="3" t="s">
        <v>84</v>
      </c>
      <c r="BP43" s="3" t="s">
        <v>87</v>
      </c>
      <c r="BQ43" s="3" t="s">
        <v>182</v>
      </c>
      <c r="BR43" s="3" t="s">
        <v>183</v>
      </c>
      <c r="BS43" s="3" t="s">
        <v>184</v>
      </c>
      <c r="BT43" s="3" t="s">
        <v>87</v>
      </c>
      <c r="BU43" s="3" t="s">
        <v>98</v>
      </c>
      <c r="BV43" s="3" t="s">
        <v>82</v>
      </c>
      <c r="BW43" s="3" t="s">
        <v>91</v>
      </c>
      <c r="BX43" s="3" t="s">
        <v>82</v>
      </c>
      <c r="BY43" s="3" t="s">
        <v>185</v>
      </c>
      <c r="BZ43" s="3" t="s">
        <v>86</v>
      </c>
      <c r="CB43" s="3" t="s">
        <v>84</v>
      </c>
      <c r="CD43" s="9">
        <v>12</v>
      </c>
      <c r="CE43" s="9"/>
      <c r="CF43" s="18"/>
      <c r="CG43" s="18"/>
      <c r="CH43" s="18"/>
      <c r="CI43" s="18"/>
    </row>
    <row r="44" spans="1:87 16384:16384" x14ac:dyDescent="0.15">
      <c r="A44" s="3">
        <v>2625856481</v>
      </c>
      <c r="B44" s="3" t="s">
        <v>177</v>
      </c>
      <c r="C44" s="3" t="s">
        <v>177</v>
      </c>
      <c r="D44" s="3">
        <v>9</v>
      </c>
      <c r="E44" s="3">
        <v>10</v>
      </c>
      <c r="F44" s="3">
        <v>12.689</v>
      </c>
      <c r="G44" s="3">
        <v>0</v>
      </c>
      <c r="H44" s="3" t="s">
        <v>81</v>
      </c>
      <c r="I44" s="3" t="s">
        <v>81</v>
      </c>
      <c r="J44" s="3" t="s">
        <v>81</v>
      </c>
      <c r="K44" s="3" t="s">
        <v>81</v>
      </c>
      <c r="L44" s="3" t="s">
        <v>81</v>
      </c>
      <c r="M44" s="3" t="s">
        <v>81</v>
      </c>
      <c r="N44" s="3" t="s">
        <v>81</v>
      </c>
      <c r="O44" s="3" t="s">
        <v>81</v>
      </c>
      <c r="P44" s="3" t="s">
        <v>81</v>
      </c>
      <c r="Q44" s="3">
        <v>15.881</v>
      </c>
      <c r="R44" s="3">
        <v>0</v>
      </c>
      <c r="S44" s="3" t="s">
        <v>81</v>
      </c>
      <c r="T44" s="3" t="s">
        <v>81</v>
      </c>
      <c r="U44" s="3" t="s">
        <v>81</v>
      </c>
      <c r="V44" s="3" t="s">
        <v>81</v>
      </c>
      <c r="W44" s="3" t="s">
        <v>81</v>
      </c>
      <c r="X44" s="3" t="s">
        <v>81</v>
      </c>
      <c r="Y44" s="3" t="s">
        <v>81</v>
      </c>
      <c r="Z44" s="3" t="s">
        <v>81</v>
      </c>
      <c r="AA44" s="3" t="s">
        <v>81</v>
      </c>
      <c r="AB44" s="3">
        <v>12.096</v>
      </c>
      <c r="AC44" s="3">
        <v>0</v>
      </c>
      <c r="AD44" s="3" t="s">
        <v>81</v>
      </c>
      <c r="AE44" s="3" t="s">
        <v>81</v>
      </c>
      <c r="AF44" s="3" t="s">
        <v>81</v>
      </c>
      <c r="AG44" s="3" t="s">
        <v>81</v>
      </c>
      <c r="AH44" s="3" t="s">
        <v>81</v>
      </c>
      <c r="AI44" s="3" t="s">
        <v>81</v>
      </c>
      <c r="AJ44" s="3" t="s">
        <v>81</v>
      </c>
      <c r="AK44" s="3" t="s">
        <v>81</v>
      </c>
      <c r="AL44" s="3" t="s">
        <v>81</v>
      </c>
      <c r="AM44" s="3">
        <v>12.537000000000001</v>
      </c>
      <c r="AN44" s="3">
        <v>0</v>
      </c>
      <c r="AO44" s="3" t="s">
        <v>81</v>
      </c>
      <c r="AP44" s="3" t="s">
        <v>81</v>
      </c>
      <c r="AQ44" s="3" t="s">
        <v>81</v>
      </c>
      <c r="AR44" s="3" t="s">
        <v>81</v>
      </c>
      <c r="AS44" s="3" t="s">
        <v>81</v>
      </c>
      <c r="AT44" s="3" t="s">
        <v>81</v>
      </c>
      <c r="AU44" s="3" t="s">
        <v>81</v>
      </c>
      <c r="AV44" s="3" t="s">
        <v>81</v>
      </c>
      <c r="AW44" s="3" t="s">
        <v>81</v>
      </c>
      <c r="AX44" s="3">
        <v>10.943</v>
      </c>
      <c r="AY44" s="3">
        <v>0</v>
      </c>
      <c r="AZ44" s="3" t="s">
        <v>81</v>
      </c>
      <c r="BA44" s="3" t="s">
        <v>81</v>
      </c>
      <c r="BB44" s="3" t="s">
        <v>81</v>
      </c>
      <c r="BC44" s="3" t="s">
        <v>81</v>
      </c>
      <c r="BD44" s="3" t="s">
        <v>81</v>
      </c>
      <c r="BE44" s="3" t="s">
        <v>81</v>
      </c>
      <c r="BF44" s="3" t="s">
        <v>81</v>
      </c>
      <c r="BG44" s="3" t="s">
        <v>81</v>
      </c>
      <c r="BH44" s="3" t="s">
        <v>81</v>
      </c>
      <c r="BI44" s="3" t="s">
        <v>84</v>
      </c>
      <c r="BJ44" s="3" t="s">
        <v>82</v>
      </c>
      <c r="BK44" s="3" t="s">
        <v>83</v>
      </c>
      <c r="BL44" s="3" t="s">
        <v>84</v>
      </c>
      <c r="BM44" s="3" t="s">
        <v>84</v>
      </c>
      <c r="BN44" s="3" t="s">
        <v>84</v>
      </c>
      <c r="BO44" s="3" t="s">
        <v>84</v>
      </c>
      <c r="BP44" s="3" t="s">
        <v>87</v>
      </c>
      <c r="BQ44" s="3" t="s">
        <v>87</v>
      </c>
      <c r="BR44" s="3" t="s">
        <v>87</v>
      </c>
      <c r="BS44" s="3" t="s">
        <v>87</v>
      </c>
      <c r="BT44" s="3" t="s">
        <v>87</v>
      </c>
      <c r="BU44" s="3" t="s">
        <v>81</v>
      </c>
      <c r="BV44" s="3" t="s">
        <v>82</v>
      </c>
      <c r="BW44" s="3" t="s">
        <v>91</v>
      </c>
      <c r="BX44" s="3" t="s">
        <v>82</v>
      </c>
      <c r="BY44" s="3" t="s">
        <v>185</v>
      </c>
      <c r="BZ44" s="3" t="s">
        <v>86</v>
      </c>
      <c r="CB44" s="3" t="s">
        <v>84</v>
      </c>
      <c r="CD44" s="9">
        <v>11</v>
      </c>
      <c r="CE44" s="9"/>
      <c r="CF44" s="18"/>
      <c r="CG44" s="18"/>
      <c r="CH44" s="18"/>
      <c r="CI44" s="18"/>
    </row>
    <row r="45" spans="1:87 16384:16384" x14ac:dyDescent="0.15">
      <c r="A45" s="3">
        <v>1228157243</v>
      </c>
      <c r="B45" s="3" t="s">
        <v>186</v>
      </c>
      <c r="C45" s="3" t="s">
        <v>186</v>
      </c>
      <c r="D45" s="3">
        <v>2</v>
      </c>
      <c r="E45" s="3">
        <v>2</v>
      </c>
      <c r="F45" s="3">
        <v>13.834</v>
      </c>
      <c r="G45" s="3">
        <v>0</v>
      </c>
      <c r="H45" s="3" t="s">
        <v>81</v>
      </c>
      <c r="I45" s="3" t="s">
        <v>81</v>
      </c>
      <c r="J45" s="3" t="s">
        <v>81</v>
      </c>
      <c r="K45" s="3" t="s">
        <v>81</v>
      </c>
      <c r="L45" s="3" t="s">
        <v>81</v>
      </c>
      <c r="M45" s="3" t="s">
        <v>81</v>
      </c>
      <c r="N45" s="3" t="s">
        <v>81</v>
      </c>
      <c r="O45" s="3" t="s">
        <v>81</v>
      </c>
      <c r="P45" s="3" t="s">
        <v>81</v>
      </c>
      <c r="Q45" s="3">
        <v>14.73</v>
      </c>
      <c r="R45" s="3">
        <v>0</v>
      </c>
      <c r="S45" s="3" t="s">
        <v>81</v>
      </c>
      <c r="T45" s="3" t="s">
        <v>81</v>
      </c>
      <c r="U45" s="3" t="s">
        <v>81</v>
      </c>
      <c r="V45" s="3" t="s">
        <v>81</v>
      </c>
      <c r="W45" s="3" t="s">
        <v>81</v>
      </c>
      <c r="X45" s="3" t="s">
        <v>81</v>
      </c>
      <c r="Y45" s="3" t="s">
        <v>81</v>
      </c>
      <c r="Z45" s="3" t="s">
        <v>81</v>
      </c>
      <c r="AA45" s="3" t="s">
        <v>81</v>
      </c>
      <c r="AB45" s="3" t="s">
        <v>81</v>
      </c>
      <c r="AC45" s="3" t="s">
        <v>81</v>
      </c>
      <c r="AD45" s="3" t="s">
        <v>81</v>
      </c>
      <c r="AE45" s="3" t="s">
        <v>81</v>
      </c>
      <c r="AF45" s="3" t="s">
        <v>81</v>
      </c>
      <c r="AG45" s="3" t="s">
        <v>81</v>
      </c>
      <c r="AH45" s="3" t="s">
        <v>81</v>
      </c>
      <c r="AI45" s="3" t="s">
        <v>81</v>
      </c>
      <c r="AJ45" s="3" t="s">
        <v>81</v>
      </c>
      <c r="AK45" s="3" t="s">
        <v>81</v>
      </c>
      <c r="AL45" s="3" t="s">
        <v>81</v>
      </c>
      <c r="AM45" s="3" t="s">
        <v>81</v>
      </c>
      <c r="AN45" s="3" t="s">
        <v>81</v>
      </c>
      <c r="AO45" s="3" t="s">
        <v>81</v>
      </c>
      <c r="AP45" s="3" t="s">
        <v>81</v>
      </c>
      <c r="AQ45" s="3" t="s">
        <v>81</v>
      </c>
      <c r="AR45" s="3" t="s">
        <v>81</v>
      </c>
      <c r="AS45" s="3" t="s">
        <v>81</v>
      </c>
      <c r="AT45" s="3" t="s">
        <v>81</v>
      </c>
      <c r="AU45" s="3" t="s">
        <v>81</v>
      </c>
      <c r="AV45" s="3" t="s">
        <v>81</v>
      </c>
      <c r="AW45" s="3" t="s">
        <v>81</v>
      </c>
      <c r="AX45" s="3" t="s">
        <v>81</v>
      </c>
      <c r="AY45" s="3" t="s">
        <v>81</v>
      </c>
      <c r="AZ45" s="3" t="s">
        <v>81</v>
      </c>
      <c r="BA45" s="3" t="s">
        <v>81</v>
      </c>
      <c r="BB45" s="3" t="s">
        <v>81</v>
      </c>
      <c r="BC45" s="3" t="s">
        <v>81</v>
      </c>
      <c r="BD45" s="3" t="s">
        <v>81</v>
      </c>
      <c r="BE45" s="3" t="s">
        <v>81</v>
      </c>
      <c r="BF45" s="3" t="s">
        <v>81</v>
      </c>
      <c r="BG45" s="3" t="s">
        <v>81</v>
      </c>
      <c r="BH45" s="3" t="s">
        <v>81</v>
      </c>
      <c r="BI45" s="3" t="s">
        <v>82</v>
      </c>
      <c r="BJ45" s="3" t="s">
        <v>82</v>
      </c>
      <c r="BK45" s="3" t="s">
        <v>83</v>
      </c>
      <c r="BL45" s="3" t="s">
        <v>84</v>
      </c>
      <c r="BM45" s="3" t="s">
        <v>82</v>
      </c>
      <c r="BN45" s="3" t="s">
        <v>84</v>
      </c>
      <c r="BO45" s="3" t="s">
        <v>82</v>
      </c>
      <c r="BP45" s="3" t="s">
        <v>87</v>
      </c>
      <c r="BQ45" s="3" t="s">
        <v>87</v>
      </c>
      <c r="BR45" s="3" t="s">
        <v>85</v>
      </c>
      <c r="BS45" s="3" t="s">
        <v>85</v>
      </c>
      <c r="BT45" s="3" t="s">
        <v>87</v>
      </c>
      <c r="BU45" s="3" t="s">
        <v>85</v>
      </c>
      <c r="BV45" s="3" t="s">
        <v>84</v>
      </c>
      <c r="BW45" s="3" t="s">
        <v>83</v>
      </c>
      <c r="BX45" s="3" t="s">
        <v>82</v>
      </c>
      <c r="BZ45" s="3" t="s">
        <v>93</v>
      </c>
      <c r="CB45" s="3" t="s">
        <v>84</v>
      </c>
      <c r="CD45" s="9">
        <v>2</v>
      </c>
      <c r="CE45" s="9"/>
      <c r="CF45" s="18"/>
      <c r="CG45" s="18"/>
      <c r="CH45" s="18"/>
      <c r="CI45" s="18"/>
    </row>
    <row r="46" spans="1:87 16384:16384" x14ac:dyDescent="0.15">
      <c r="A46" s="3">
        <v>1847943110</v>
      </c>
      <c r="B46" s="3" t="s">
        <v>186</v>
      </c>
      <c r="C46" s="3" t="s">
        <v>186</v>
      </c>
      <c r="D46" s="3">
        <v>3</v>
      </c>
      <c r="E46" s="3">
        <v>3</v>
      </c>
      <c r="F46" s="3">
        <v>28.835000000000001</v>
      </c>
      <c r="G46" s="3">
        <v>0</v>
      </c>
      <c r="H46" s="3" t="s">
        <v>81</v>
      </c>
      <c r="I46" s="3" t="s">
        <v>81</v>
      </c>
      <c r="J46" s="3" t="s">
        <v>81</v>
      </c>
      <c r="K46" s="3" t="s">
        <v>81</v>
      </c>
      <c r="L46" s="3" t="s">
        <v>81</v>
      </c>
      <c r="M46" s="3" t="s">
        <v>81</v>
      </c>
      <c r="N46" s="3" t="s">
        <v>81</v>
      </c>
      <c r="O46" s="3" t="s">
        <v>81</v>
      </c>
      <c r="P46" s="3" t="s">
        <v>81</v>
      </c>
      <c r="Q46" s="3">
        <v>25.498999999999999</v>
      </c>
      <c r="R46" s="3">
        <v>0</v>
      </c>
      <c r="S46" s="3" t="s">
        <v>81</v>
      </c>
      <c r="T46" s="3" t="s">
        <v>81</v>
      </c>
      <c r="U46" s="3" t="s">
        <v>81</v>
      </c>
      <c r="V46" s="3" t="s">
        <v>81</v>
      </c>
      <c r="W46" s="3" t="s">
        <v>81</v>
      </c>
      <c r="X46" s="3" t="s">
        <v>81</v>
      </c>
      <c r="Y46" s="3" t="s">
        <v>81</v>
      </c>
      <c r="Z46" s="3" t="s">
        <v>81</v>
      </c>
      <c r="AA46" s="3" t="s">
        <v>81</v>
      </c>
      <c r="AB46" s="3" t="s">
        <v>81</v>
      </c>
      <c r="AC46" s="3" t="s">
        <v>81</v>
      </c>
      <c r="AD46" s="3" t="s">
        <v>81</v>
      </c>
      <c r="AE46" s="3" t="s">
        <v>81</v>
      </c>
      <c r="AF46" s="3" t="s">
        <v>81</v>
      </c>
      <c r="AG46" s="3" t="s">
        <v>81</v>
      </c>
      <c r="AH46" s="3" t="s">
        <v>81</v>
      </c>
      <c r="AI46" s="3" t="s">
        <v>81</v>
      </c>
      <c r="AJ46" s="3" t="s">
        <v>81</v>
      </c>
      <c r="AK46" s="3" t="s">
        <v>81</v>
      </c>
      <c r="AL46" s="3" t="s">
        <v>81</v>
      </c>
      <c r="AM46" s="3" t="s">
        <v>81</v>
      </c>
      <c r="AN46" s="3" t="s">
        <v>81</v>
      </c>
      <c r="AO46" s="3" t="s">
        <v>81</v>
      </c>
      <c r="AP46" s="3" t="s">
        <v>81</v>
      </c>
      <c r="AQ46" s="3" t="s">
        <v>81</v>
      </c>
      <c r="AR46" s="3" t="s">
        <v>81</v>
      </c>
      <c r="AS46" s="3" t="s">
        <v>81</v>
      </c>
      <c r="AT46" s="3" t="s">
        <v>81</v>
      </c>
      <c r="AU46" s="3" t="s">
        <v>81</v>
      </c>
      <c r="AV46" s="3" t="s">
        <v>81</v>
      </c>
      <c r="AW46" s="3" t="s">
        <v>81</v>
      </c>
      <c r="AX46" s="3" t="s">
        <v>81</v>
      </c>
      <c r="AY46" s="3" t="s">
        <v>81</v>
      </c>
      <c r="AZ46" s="3" t="s">
        <v>81</v>
      </c>
      <c r="BA46" s="3" t="s">
        <v>81</v>
      </c>
      <c r="BB46" s="3" t="s">
        <v>81</v>
      </c>
      <c r="BC46" s="3" t="s">
        <v>81</v>
      </c>
      <c r="BD46" s="3" t="s">
        <v>81</v>
      </c>
      <c r="BE46" s="3" t="s">
        <v>81</v>
      </c>
      <c r="BF46" s="3" t="s">
        <v>81</v>
      </c>
      <c r="BG46" s="3" t="s">
        <v>81</v>
      </c>
      <c r="BH46" s="3" t="s">
        <v>81</v>
      </c>
      <c r="BI46" s="3" t="s">
        <v>82</v>
      </c>
      <c r="BJ46" s="3" t="s">
        <v>84</v>
      </c>
      <c r="BK46" s="3" t="s">
        <v>84</v>
      </c>
      <c r="BL46" s="3" t="s">
        <v>82</v>
      </c>
      <c r="BM46" s="3" t="s">
        <v>83</v>
      </c>
      <c r="BN46" s="3" t="s">
        <v>83</v>
      </c>
      <c r="BO46" s="3" t="s">
        <v>83</v>
      </c>
      <c r="BP46" s="3" t="s">
        <v>81</v>
      </c>
      <c r="BQ46" s="3" t="s">
        <v>81</v>
      </c>
      <c r="BR46" s="3" t="s">
        <v>81</v>
      </c>
      <c r="BS46" s="3" t="s">
        <v>81</v>
      </c>
      <c r="BT46" s="3" t="s">
        <v>81</v>
      </c>
      <c r="BU46" s="3" t="s">
        <v>81</v>
      </c>
      <c r="BV46" s="3" t="s">
        <v>83</v>
      </c>
      <c r="BW46" s="3"/>
      <c r="BX46" s="3" t="s">
        <v>83</v>
      </c>
      <c r="BY46" s="3" t="s">
        <v>187</v>
      </c>
      <c r="BZ46" s="3" t="s">
        <v>93</v>
      </c>
      <c r="CB46" s="3" t="s">
        <v>84</v>
      </c>
      <c r="CD46" s="9">
        <v>3</v>
      </c>
      <c r="CE46" s="9"/>
      <c r="CF46" s="18"/>
      <c r="CG46" s="18"/>
      <c r="CH46" s="18"/>
      <c r="CI46" s="18"/>
    </row>
    <row r="47" spans="1:87 16384:16384" x14ac:dyDescent="0.15">
      <c r="A47" s="3">
        <v>1847944639</v>
      </c>
      <c r="B47" s="3" t="s">
        <v>186</v>
      </c>
      <c r="C47" s="3" t="s">
        <v>186</v>
      </c>
      <c r="D47" s="3" t="s">
        <v>81</v>
      </c>
      <c r="E47" s="3">
        <v>2</v>
      </c>
      <c r="F47" s="3">
        <v>46.459000000000003</v>
      </c>
      <c r="G47" s="3">
        <v>0</v>
      </c>
      <c r="H47" s="3" t="s">
        <v>81</v>
      </c>
      <c r="I47" s="3" t="s">
        <v>81</v>
      </c>
      <c r="J47" s="3" t="s">
        <v>81</v>
      </c>
      <c r="K47" s="3" t="s">
        <v>81</v>
      </c>
      <c r="L47" s="3" t="s">
        <v>81</v>
      </c>
      <c r="M47" s="3" t="s">
        <v>81</v>
      </c>
      <c r="N47" s="3" t="s">
        <v>81</v>
      </c>
      <c r="O47" s="3" t="s">
        <v>81</v>
      </c>
      <c r="P47" s="3" t="s">
        <v>81</v>
      </c>
      <c r="Q47" s="3">
        <v>42.127000000000002</v>
      </c>
      <c r="R47" s="3">
        <v>0</v>
      </c>
      <c r="S47" s="3" t="s">
        <v>81</v>
      </c>
      <c r="T47" s="3" t="s">
        <v>81</v>
      </c>
      <c r="U47" s="3" t="s">
        <v>81</v>
      </c>
      <c r="V47" s="3" t="s">
        <v>81</v>
      </c>
      <c r="W47" s="3" t="s">
        <v>81</v>
      </c>
      <c r="X47" s="3" t="s">
        <v>81</v>
      </c>
      <c r="Y47" s="3" t="s">
        <v>81</v>
      </c>
      <c r="Z47" s="3" t="s">
        <v>81</v>
      </c>
      <c r="AA47" s="3" t="s">
        <v>81</v>
      </c>
      <c r="AB47" s="3" t="s">
        <v>81</v>
      </c>
      <c r="AC47" s="3" t="s">
        <v>81</v>
      </c>
      <c r="AD47" s="3" t="s">
        <v>81</v>
      </c>
      <c r="AE47" s="3" t="s">
        <v>81</v>
      </c>
      <c r="AF47" s="3" t="s">
        <v>81</v>
      </c>
      <c r="AG47" s="3" t="s">
        <v>81</v>
      </c>
      <c r="AH47" s="3" t="s">
        <v>81</v>
      </c>
      <c r="AI47" s="3" t="s">
        <v>81</v>
      </c>
      <c r="AJ47" s="3" t="s">
        <v>81</v>
      </c>
      <c r="AK47" s="3" t="s">
        <v>81</v>
      </c>
      <c r="AL47" s="3" t="s">
        <v>81</v>
      </c>
      <c r="AM47" s="3" t="s">
        <v>81</v>
      </c>
      <c r="AN47" s="3" t="s">
        <v>81</v>
      </c>
      <c r="AO47" s="3" t="s">
        <v>81</v>
      </c>
      <c r="AP47" s="3" t="s">
        <v>81</v>
      </c>
      <c r="AQ47" s="3" t="s">
        <v>81</v>
      </c>
      <c r="AR47" s="3" t="s">
        <v>81</v>
      </c>
      <c r="AS47" s="3" t="s">
        <v>81</v>
      </c>
      <c r="AT47" s="3" t="s">
        <v>81</v>
      </c>
      <c r="AU47" s="3" t="s">
        <v>81</v>
      </c>
      <c r="AV47" s="3" t="s">
        <v>81</v>
      </c>
      <c r="AW47" s="3" t="s">
        <v>81</v>
      </c>
      <c r="AX47" s="3" t="s">
        <v>81</v>
      </c>
      <c r="AY47" s="3" t="s">
        <v>81</v>
      </c>
      <c r="AZ47" s="3" t="s">
        <v>81</v>
      </c>
      <c r="BA47" s="3" t="s">
        <v>81</v>
      </c>
      <c r="BB47" s="3" t="s">
        <v>81</v>
      </c>
      <c r="BC47" s="3" t="s">
        <v>81</v>
      </c>
      <c r="BD47" s="3" t="s">
        <v>81</v>
      </c>
      <c r="BE47" s="3" t="s">
        <v>81</v>
      </c>
      <c r="BF47" s="3" t="s">
        <v>81</v>
      </c>
      <c r="BG47" s="3" t="s">
        <v>81</v>
      </c>
      <c r="BH47" s="3" t="s">
        <v>81</v>
      </c>
      <c r="BI47" s="3" t="s">
        <v>82</v>
      </c>
      <c r="BJ47" s="3" t="s">
        <v>82</v>
      </c>
      <c r="BK47" s="3" t="s">
        <v>83</v>
      </c>
      <c r="BL47" s="3" t="s">
        <v>84</v>
      </c>
      <c r="BM47" s="3" t="s">
        <v>84</v>
      </c>
      <c r="BN47" s="3" t="s">
        <v>84</v>
      </c>
      <c r="BO47" s="3" t="s">
        <v>84</v>
      </c>
      <c r="BP47" s="3" t="s">
        <v>188</v>
      </c>
      <c r="BQ47" s="3" t="s">
        <v>188</v>
      </c>
      <c r="BR47" s="3" t="s">
        <v>189</v>
      </c>
      <c r="BS47" s="3" t="s">
        <v>189</v>
      </c>
      <c r="BT47" s="3" t="s">
        <v>85</v>
      </c>
      <c r="BU47" s="3" t="s">
        <v>81</v>
      </c>
      <c r="BV47" s="3" t="s">
        <v>84</v>
      </c>
      <c r="BW47" s="3" t="s">
        <v>83</v>
      </c>
      <c r="BX47" s="3" t="s">
        <v>82</v>
      </c>
      <c r="BY47" s="3" t="s">
        <v>190</v>
      </c>
      <c r="BZ47" s="3" t="s">
        <v>93</v>
      </c>
      <c r="CB47" s="3" t="s">
        <v>84</v>
      </c>
      <c r="CD47" s="9">
        <v>3</v>
      </c>
      <c r="CE47" s="9">
        <v>2</v>
      </c>
      <c r="CF47" s="18"/>
      <c r="CG47" s="18"/>
      <c r="CH47" s="18"/>
      <c r="CI47" s="18"/>
    </row>
    <row r="48" spans="1:87 16384:16384" x14ac:dyDescent="0.15">
      <c r="A48" s="3">
        <v>2625857413</v>
      </c>
      <c r="B48" s="3" t="s">
        <v>186</v>
      </c>
      <c r="C48" s="3" t="s">
        <v>186</v>
      </c>
      <c r="D48" s="3">
        <v>3</v>
      </c>
      <c r="E48" s="3">
        <v>3</v>
      </c>
      <c r="F48" s="3">
        <v>35.340000000000003</v>
      </c>
      <c r="G48" s="3">
        <v>0</v>
      </c>
      <c r="H48" s="3" t="s">
        <v>81</v>
      </c>
      <c r="I48" s="3" t="s">
        <v>81</v>
      </c>
      <c r="J48" s="3" t="s">
        <v>81</v>
      </c>
      <c r="K48" s="3" t="s">
        <v>81</v>
      </c>
      <c r="L48" s="3" t="s">
        <v>81</v>
      </c>
      <c r="M48" s="3" t="s">
        <v>81</v>
      </c>
      <c r="N48" s="3" t="s">
        <v>81</v>
      </c>
      <c r="O48" s="3" t="s">
        <v>81</v>
      </c>
      <c r="P48" s="3" t="s">
        <v>81</v>
      </c>
      <c r="Q48" s="3">
        <v>38.886000000000003</v>
      </c>
      <c r="R48" s="3">
        <v>0</v>
      </c>
      <c r="S48" s="3" t="s">
        <v>81</v>
      </c>
      <c r="T48" s="3" t="s">
        <v>81</v>
      </c>
      <c r="U48" s="3" t="s">
        <v>81</v>
      </c>
      <c r="V48" s="3" t="s">
        <v>81</v>
      </c>
      <c r="W48" s="3" t="s">
        <v>81</v>
      </c>
      <c r="X48" s="3" t="s">
        <v>81</v>
      </c>
      <c r="Y48" s="3" t="s">
        <v>81</v>
      </c>
      <c r="Z48" s="3" t="s">
        <v>81</v>
      </c>
      <c r="AA48" s="3" t="s">
        <v>81</v>
      </c>
      <c r="AB48" s="3">
        <v>34.564999999999998</v>
      </c>
      <c r="AC48" s="3">
        <v>0</v>
      </c>
      <c r="AD48" s="3" t="s">
        <v>81</v>
      </c>
      <c r="AE48" s="3" t="s">
        <v>81</v>
      </c>
      <c r="AF48" s="3" t="s">
        <v>81</v>
      </c>
      <c r="AG48" s="3" t="s">
        <v>81</v>
      </c>
      <c r="AH48" s="3" t="s">
        <v>81</v>
      </c>
      <c r="AI48" s="3" t="s">
        <v>81</v>
      </c>
      <c r="AJ48" s="3" t="s">
        <v>81</v>
      </c>
      <c r="AK48" s="3" t="s">
        <v>81</v>
      </c>
      <c r="AL48" s="3" t="s">
        <v>81</v>
      </c>
      <c r="AM48" s="3" t="s">
        <v>81</v>
      </c>
      <c r="AN48" s="3" t="s">
        <v>81</v>
      </c>
      <c r="AO48" s="3" t="s">
        <v>81</v>
      </c>
      <c r="AP48" s="3" t="s">
        <v>81</v>
      </c>
      <c r="AQ48" s="3" t="s">
        <v>81</v>
      </c>
      <c r="AR48" s="3" t="s">
        <v>81</v>
      </c>
      <c r="AS48" s="3" t="s">
        <v>81</v>
      </c>
      <c r="AT48" s="3" t="s">
        <v>81</v>
      </c>
      <c r="AU48" s="3" t="s">
        <v>81</v>
      </c>
      <c r="AV48" s="3" t="s">
        <v>81</v>
      </c>
      <c r="AW48" s="3" t="s">
        <v>81</v>
      </c>
      <c r="AX48" s="3" t="s">
        <v>81</v>
      </c>
      <c r="AY48" s="3" t="s">
        <v>81</v>
      </c>
      <c r="AZ48" s="3" t="s">
        <v>81</v>
      </c>
      <c r="BA48" s="3" t="s">
        <v>81</v>
      </c>
      <c r="BB48" s="3" t="s">
        <v>81</v>
      </c>
      <c r="BC48" s="3" t="s">
        <v>81</v>
      </c>
      <c r="BD48" s="3" t="s">
        <v>81</v>
      </c>
      <c r="BE48" s="3" t="s">
        <v>81</v>
      </c>
      <c r="BF48" s="3" t="s">
        <v>81</v>
      </c>
      <c r="BG48" s="3" t="s">
        <v>81</v>
      </c>
      <c r="BH48" s="3" t="s">
        <v>81</v>
      </c>
      <c r="BI48" s="3" t="s">
        <v>82</v>
      </c>
      <c r="BJ48" s="3" t="s">
        <v>82</v>
      </c>
      <c r="BK48" s="3" t="s">
        <v>83</v>
      </c>
      <c r="BL48" s="3" t="s">
        <v>84</v>
      </c>
      <c r="BM48" s="3" t="s">
        <v>84</v>
      </c>
      <c r="BN48" s="3" t="s">
        <v>84</v>
      </c>
      <c r="BO48" s="3" t="s">
        <v>82</v>
      </c>
      <c r="BP48" s="3" t="s">
        <v>87</v>
      </c>
      <c r="BQ48" s="3" t="s">
        <v>87</v>
      </c>
      <c r="BR48" s="3" t="s">
        <v>87</v>
      </c>
      <c r="BS48" s="3" t="s">
        <v>87</v>
      </c>
      <c r="BT48" s="3" t="s">
        <v>87</v>
      </c>
      <c r="BU48" s="3" t="s">
        <v>81</v>
      </c>
      <c r="BV48" s="3" t="s">
        <v>82</v>
      </c>
      <c r="BW48" s="3" t="s">
        <v>111</v>
      </c>
      <c r="BX48" s="3" t="s">
        <v>82</v>
      </c>
      <c r="BZ48" s="3" t="s">
        <v>86</v>
      </c>
      <c r="CB48" s="3" t="s">
        <v>84</v>
      </c>
      <c r="CD48" s="9">
        <v>3</v>
      </c>
      <c r="CE48" s="9"/>
      <c r="CF48" s="18"/>
      <c r="CG48" s="18"/>
      <c r="CH48" s="18"/>
      <c r="CI48" s="18"/>
    </row>
    <row r="49" spans="1:87" x14ac:dyDescent="0.15">
      <c r="A49" s="3">
        <v>2643329730</v>
      </c>
      <c r="B49" s="3" t="s">
        <v>186</v>
      </c>
      <c r="C49" s="3" t="s">
        <v>186</v>
      </c>
      <c r="D49" s="3">
        <v>3</v>
      </c>
      <c r="E49" s="3">
        <v>3</v>
      </c>
      <c r="F49" s="3">
        <v>41.98</v>
      </c>
      <c r="G49" s="3">
        <v>0</v>
      </c>
      <c r="H49" s="3" t="s">
        <v>81</v>
      </c>
      <c r="I49" s="3" t="s">
        <v>81</v>
      </c>
      <c r="J49" s="3" t="s">
        <v>81</v>
      </c>
      <c r="K49" s="3" t="s">
        <v>81</v>
      </c>
      <c r="L49" s="3" t="s">
        <v>81</v>
      </c>
      <c r="M49" s="3" t="s">
        <v>81</v>
      </c>
      <c r="N49" s="3" t="s">
        <v>81</v>
      </c>
      <c r="O49" s="3" t="s">
        <v>81</v>
      </c>
      <c r="P49" s="3" t="s">
        <v>81</v>
      </c>
      <c r="Q49" s="3">
        <v>43.591999999999999</v>
      </c>
      <c r="R49" s="3">
        <v>0</v>
      </c>
      <c r="S49" s="3" t="s">
        <v>81</v>
      </c>
      <c r="T49" s="3" t="s">
        <v>81</v>
      </c>
      <c r="U49" s="3" t="s">
        <v>81</v>
      </c>
      <c r="V49" s="3" t="s">
        <v>81</v>
      </c>
      <c r="W49" s="3" t="s">
        <v>81</v>
      </c>
      <c r="X49" s="3" t="s">
        <v>81</v>
      </c>
      <c r="Y49" s="3" t="s">
        <v>81</v>
      </c>
      <c r="Z49" s="3" t="s">
        <v>81</v>
      </c>
      <c r="AA49" s="3" t="s">
        <v>81</v>
      </c>
      <c r="AB49" s="3">
        <v>42.345999999999997</v>
      </c>
      <c r="AC49" s="3">
        <v>0</v>
      </c>
      <c r="AD49" s="3" t="s">
        <v>81</v>
      </c>
      <c r="AE49" s="3" t="s">
        <v>81</v>
      </c>
      <c r="AF49" s="3" t="s">
        <v>81</v>
      </c>
      <c r="AG49" s="3" t="s">
        <v>81</v>
      </c>
      <c r="AH49" s="3" t="s">
        <v>81</v>
      </c>
      <c r="AI49" s="3" t="s">
        <v>81</v>
      </c>
      <c r="AJ49" s="3" t="s">
        <v>81</v>
      </c>
      <c r="AK49" s="3" t="s">
        <v>81</v>
      </c>
      <c r="AL49" s="3" t="s">
        <v>81</v>
      </c>
      <c r="AM49" s="3" t="s">
        <v>81</v>
      </c>
      <c r="AN49" s="3" t="s">
        <v>81</v>
      </c>
      <c r="AO49" s="3" t="s">
        <v>81</v>
      </c>
      <c r="AP49" s="3" t="s">
        <v>81</v>
      </c>
      <c r="AQ49" s="3" t="s">
        <v>81</v>
      </c>
      <c r="AR49" s="3" t="s">
        <v>81</v>
      </c>
      <c r="AS49" s="3" t="s">
        <v>81</v>
      </c>
      <c r="AT49" s="3" t="s">
        <v>81</v>
      </c>
      <c r="AU49" s="3" t="s">
        <v>81</v>
      </c>
      <c r="AV49" s="3" t="s">
        <v>81</v>
      </c>
      <c r="AW49" s="3" t="s">
        <v>81</v>
      </c>
      <c r="AX49" s="3" t="s">
        <v>81</v>
      </c>
      <c r="AY49" s="3" t="s">
        <v>81</v>
      </c>
      <c r="AZ49" s="3" t="s">
        <v>81</v>
      </c>
      <c r="BA49" s="3" t="s">
        <v>81</v>
      </c>
      <c r="BB49" s="3" t="s">
        <v>81</v>
      </c>
      <c r="BC49" s="3" t="s">
        <v>81</v>
      </c>
      <c r="BD49" s="3" t="s">
        <v>81</v>
      </c>
      <c r="BE49" s="3" t="s">
        <v>81</v>
      </c>
      <c r="BF49" s="3" t="s">
        <v>81</v>
      </c>
      <c r="BG49" s="3" t="s">
        <v>81</v>
      </c>
      <c r="BH49" s="3" t="s">
        <v>81</v>
      </c>
      <c r="BI49" s="3" t="s">
        <v>82</v>
      </c>
      <c r="BJ49" s="3" t="s">
        <v>82</v>
      </c>
      <c r="BK49" s="3" t="s">
        <v>83</v>
      </c>
      <c r="BL49" s="3" t="s">
        <v>84</v>
      </c>
      <c r="BM49" s="3" t="s">
        <v>84</v>
      </c>
      <c r="BN49" s="3" t="s">
        <v>84</v>
      </c>
      <c r="BO49" s="3" t="s">
        <v>82</v>
      </c>
      <c r="BP49" s="3" t="s">
        <v>191</v>
      </c>
      <c r="BQ49" s="3" t="s">
        <v>191</v>
      </c>
      <c r="BR49" s="3" t="s">
        <v>191</v>
      </c>
      <c r="BS49" s="3" t="s">
        <v>191</v>
      </c>
      <c r="BT49" s="3" t="s">
        <v>87</v>
      </c>
      <c r="BU49" s="3" t="s">
        <v>81</v>
      </c>
      <c r="BV49" s="3" t="s">
        <v>82</v>
      </c>
      <c r="BW49" s="3" t="s">
        <v>111</v>
      </c>
      <c r="BX49" s="3" t="s">
        <v>82</v>
      </c>
      <c r="BZ49" s="3" t="s">
        <v>86</v>
      </c>
      <c r="CB49" s="3" t="s">
        <v>84</v>
      </c>
      <c r="CD49" s="9">
        <v>3</v>
      </c>
      <c r="CE49" s="9">
        <v>3</v>
      </c>
      <c r="CF49" s="18"/>
      <c r="CG49" s="18"/>
      <c r="CH49" s="18"/>
      <c r="CI49" s="17"/>
    </row>
    <row r="50" spans="1:87" x14ac:dyDescent="0.15">
      <c r="A50" s="3">
        <v>1228244323</v>
      </c>
      <c r="B50" s="3" t="s">
        <v>192</v>
      </c>
      <c r="C50" s="3" t="s">
        <v>192</v>
      </c>
      <c r="D50" s="3">
        <v>7</v>
      </c>
      <c r="E50" s="3">
        <v>6</v>
      </c>
      <c r="F50" s="3">
        <v>96.95</v>
      </c>
      <c r="G50" s="3">
        <v>1</v>
      </c>
      <c r="H50" s="3" t="s">
        <v>81</v>
      </c>
      <c r="I50" s="3" t="s">
        <v>81</v>
      </c>
      <c r="J50" s="3" t="s">
        <v>81</v>
      </c>
      <c r="K50" s="3" t="s">
        <v>81</v>
      </c>
      <c r="L50" s="3" t="s">
        <v>81</v>
      </c>
      <c r="M50" s="3" t="s">
        <v>81</v>
      </c>
      <c r="N50" s="3" t="s">
        <v>81</v>
      </c>
      <c r="O50" s="3" t="s">
        <v>81</v>
      </c>
      <c r="P50" s="3" t="s">
        <v>81</v>
      </c>
      <c r="Q50" s="3">
        <v>86.350999999999999</v>
      </c>
      <c r="R50" s="3">
        <v>1</v>
      </c>
      <c r="S50" s="3" t="s">
        <v>81</v>
      </c>
      <c r="T50" s="3" t="s">
        <v>81</v>
      </c>
      <c r="U50" s="3" t="s">
        <v>81</v>
      </c>
      <c r="V50" s="3" t="s">
        <v>81</v>
      </c>
      <c r="W50" s="3" t="s">
        <v>81</v>
      </c>
      <c r="X50" s="3" t="s">
        <v>81</v>
      </c>
      <c r="Y50" s="3" t="s">
        <v>81</v>
      </c>
      <c r="Z50" s="3" t="s">
        <v>81</v>
      </c>
      <c r="AA50" s="3" t="s">
        <v>81</v>
      </c>
      <c r="AB50" s="3">
        <v>98.149000000000001</v>
      </c>
      <c r="AC50" s="3">
        <v>1</v>
      </c>
      <c r="AD50" s="3" t="s">
        <v>81</v>
      </c>
      <c r="AE50" s="3" t="s">
        <v>81</v>
      </c>
      <c r="AF50" s="3" t="s">
        <v>81</v>
      </c>
      <c r="AG50" s="3" t="s">
        <v>81</v>
      </c>
      <c r="AH50" s="3" t="s">
        <v>81</v>
      </c>
      <c r="AI50" s="3" t="s">
        <v>81</v>
      </c>
      <c r="AJ50" s="3" t="s">
        <v>81</v>
      </c>
      <c r="AK50" s="3" t="s">
        <v>81</v>
      </c>
      <c r="AL50" s="3" t="s">
        <v>81</v>
      </c>
      <c r="AM50" s="3" t="s">
        <v>81</v>
      </c>
      <c r="AN50" s="3" t="s">
        <v>81</v>
      </c>
      <c r="AO50" s="3" t="s">
        <v>81</v>
      </c>
      <c r="AP50" s="3" t="s">
        <v>81</v>
      </c>
      <c r="AQ50" s="3" t="s">
        <v>81</v>
      </c>
      <c r="AR50" s="3" t="s">
        <v>81</v>
      </c>
      <c r="AS50" s="3" t="s">
        <v>81</v>
      </c>
      <c r="AT50" s="3" t="s">
        <v>81</v>
      </c>
      <c r="AU50" s="3" t="s">
        <v>81</v>
      </c>
      <c r="AV50" s="3" t="s">
        <v>81</v>
      </c>
      <c r="AW50" s="3" t="s">
        <v>81</v>
      </c>
      <c r="AX50" s="3" t="s">
        <v>81</v>
      </c>
      <c r="AY50" s="3" t="s">
        <v>81</v>
      </c>
      <c r="AZ50" s="3" t="s">
        <v>81</v>
      </c>
      <c r="BA50" s="3" t="s">
        <v>81</v>
      </c>
      <c r="BB50" s="3" t="s">
        <v>81</v>
      </c>
      <c r="BC50" s="3" t="s">
        <v>81</v>
      </c>
      <c r="BD50" s="3" t="s">
        <v>81</v>
      </c>
      <c r="BE50" s="3" t="s">
        <v>81</v>
      </c>
      <c r="BF50" s="3" t="s">
        <v>81</v>
      </c>
      <c r="BG50" s="3" t="s">
        <v>81</v>
      </c>
      <c r="BH50" s="3" t="s">
        <v>81</v>
      </c>
      <c r="BI50" s="3" t="s">
        <v>84</v>
      </c>
      <c r="BJ50" s="3" t="s">
        <v>82</v>
      </c>
      <c r="BK50" s="3" t="s">
        <v>83</v>
      </c>
      <c r="BL50" s="3" t="s">
        <v>84</v>
      </c>
      <c r="BM50" s="3" t="s">
        <v>82</v>
      </c>
      <c r="BN50" s="3" t="s">
        <v>84</v>
      </c>
      <c r="BO50" s="3" t="s">
        <v>84</v>
      </c>
      <c r="BP50" s="3" t="s">
        <v>87</v>
      </c>
      <c r="BQ50" s="3" t="s">
        <v>197</v>
      </c>
      <c r="BR50" s="3" t="s">
        <v>198</v>
      </c>
      <c r="BS50" s="3" t="s">
        <v>199</v>
      </c>
      <c r="BT50" s="3" t="s">
        <v>98</v>
      </c>
      <c r="BU50" s="3" t="s">
        <v>129</v>
      </c>
      <c r="BV50" s="3" t="s">
        <v>84</v>
      </c>
      <c r="BW50" s="3" t="s">
        <v>83</v>
      </c>
      <c r="BX50" s="3" t="s">
        <v>82</v>
      </c>
      <c r="BY50" s="3" t="s">
        <v>200</v>
      </c>
      <c r="BZ50" s="3" t="s">
        <v>93</v>
      </c>
      <c r="CB50" s="3" t="s">
        <v>84</v>
      </c>
      <c r="CD50" s="9">
        <v>6</v>
      </c>
      <c r="CF50" s="18"/>
      <c r="CG50" s="18"/>
      <c r="CH50" s="18"/>
      <c r="CI50" s="18"/>
    </row>
    <row r="51" spans="1:87" x14ac:dyDescent="0.15">
      <c r="A51" s="3">
        <v>1322471582</v>
      </c>
      <c r="B51" s="3" t="s">
        <v>192</v>
      </c>
      <c r="C51" s="3" t="s">
        <v>192</v>
      </c>
      <c r="D51" s="3">
        <v>5</v>
      </c>
      <c r="E51" s="3">
        <v>5</v>
      </c>
      <c r="F51" s="3">
        <v>135.54400000000001</v>
      </c>
      <c r="G51" s="3">
        <v>2</v>
      </c>
      <c r="H51" s="3">
        <v>92.724999999999994</v>
      </c>
      <c r="I51" s="3" t="s">
        <v>81</v>
      </c>
      <c r="J51" s="3">
        <v>41.35</v>
      </c>
      <c r="K51" s="3">
        <v>7.6150000000000002</v>
      </c>
      <c r="L51" s="3">
        <v>1.121</v>
      </c>
      <c r="M51" s="3" t="s">
        <v>81</v>
      </c>
      <c r="N51" s="3" t="s">
        <v>81</v>
      </c>
      <c r="O51" s="3" t="s">
        <v>81</v>
      </c>
      <c r="P51" s="3" t="s">
        <v>81</v>
      </c>
      <c r="Q51" s="3">
        <v>120.24</v>
      </c>
      <c r="R51" s="3">
        <v>2</v>
      </c>
      <c r="S51" s="3">
        <v>89.350999999999999</v>
      </c>
      <c r="T51" s="3">
        <v>21.882000000000001</v>
      </c>
      <c r="U51" s="3">
        <v>27.742999999999999</v>
      </c>
      <c r="V51" s="3">
        <v>2.113</v>
      </c>
      <c r="W51" s="3">
        <v>1.002</v>
      </c>
      <c r="X51" s="3" t="s">
        <v>81</v>
      </c>
      <c r="Y51" s="3" t="s">
        <v>81</v>
      </c>
      <c r="Z51" s="3" t="s">
        <v>81</v>
      </c>
      <c r="AA51" s="3" t="s">
        <v>81</v>
      </c>
      <c r="AB51" s="3">
        <v>116.548</v>
      </c>
      <c r="AC51" s="3">
        <v>2</v>
      </c>
      <c r="AD51" s="3">
        <v>92.064999999999998</v>
      </c>
      <c r="AE51" s="3">
        <v>26.128</v>
      </c>
      <c r="AF51" s="3">
        <v>24.096</v>
      </c>
      <c r="AG51" s="3" t="s">
        <v>81</v>
      </c>
      <c r="AH51" s="3">
        <v>0.77200000000000002</v>
      </c>
      <c r="AI51" s="3" t="s">
        <v>81</v>
      </c>
      <c r="AJ51" s="3" t="s">
        <v>81</v>
      </c>
      <c r="AK51" s="3" t="s">
        <v>81</v>
      </c>
      <c r="AL51" s="3" t="s">
        <v>81</v>
      </c>
      <c r="AM51" s="3">
        <v>132.136</v>
      </c>
      <c r="AN51" s="3">
        <v>2</v>
      </c>
      <c r="AO51" s="3">
        <v>82.738</v>
      </c>
      <c r="AP51" s="3">
        <v>21.786000000000001</v>
      </c>
      <c r="AQ51" s="3">
        <v>46.322000000000003</v>
      </c>
      <c r="AR51" s="3" t="s">
        <v>81</v>
      </c>
      <c r="AS51" s="3">
        <v>1.22</v>
      </c>
      <c r="AT51" s="3" t="s">
        <v>81</v>
      </c>
      <c r="AU51" s="3" t="s">
        <v>81</v>
      </c>
      <c r="AV51" s="3" t="s">
        <v>81</v>
      </c>
      <c r="AW51" s="3" t="s">
        <v>81</v>
      </c>
      <c r="AX51" s="3">
        <v>127.884</v>
      </c>
      <c r="AY51" s="3">
        <v>1</v>
      </c>
      <c r="AZ51" s="3">
        <v>82.617999999999995</v>
      </c>
      <c r="BA51" s="3">
        <v>17.038</v>
      </c>
      <c r="BB51" s="3">
        <v>47.201000000000001</v>
      </c>
      <c r="BC51" s="3" t="s">
        <v>81</v>
      </c>
      <c r="BD51" s="3" t="s">
        <v>81</v>
      </c>
      <c r="BE51" s="3" t="s">
        <v>81</v>
      </c>
      <c r="BF51" s="3" t="s">
        <v>81</v>
      </c>
      <c r="BG51" s="3" t="s">
        <v>81</v>
      </c>
      <c r="BH51" s="3" t="s">
        <v>81</v>
      </c>
      <c r="BI51" s="3" t="s">
        <v>84</v>
      </c>
      <c r="BJ51" s="3" t="s">
        <v>84</v>
      </c>
      <c r="BK51" s="3" t="s">
        <v>84</v>
      </c>
      <c r="BL51" s="3" t="s">
        <v>84</v>
      </c>
      <c r="BM51" s="3" t="s">
        <v>84</v>
      </c>
      <c r="BN51" s="3" t="s">
        <v>82</v>
      </c>
      <c r="BO51" s="3" t="s">
        <v>82</v>
      </c>
      <c r="BP51" s="3" t="s">
        <v>87</v>
      </c>
      <c r="BQ51" s="3" t="s">
        <v>87</v>
      </c>
      <c r="BR51" s="3" t="s">
        <v>98</v>
      </c>
      <c r="BS51" s="3" t="s">
        <v>98</v>
      </c>
      <c r="BT51" s="3" t="s">
        <v>87</v>
      </c>
      <c r="BU51" s="3" t="s">
        <v>98</v>
      </c>
      <c r="BV51" s="3" t="s">
        <v>84</v>
      </c>
      <c r="BW51" s="3" t="s">
        <v>83</v>
      </c>
      <c r="BX51" s="3" t="s">
        <v>82</v>
      </c>
      <c r="BY51" s="3" t="s">
        <v>201</v>
      </c>
      <c r="BZ51" s="3" t="s">
        <v>86</v>
      </c>
      <c r="CB51" s="3" t="s">
        <v>84</v>
      </c>
      <c r="CD51" s="9">
        <v>10</v>
      </c>
      <c r="CF51" s="18"/>
      <c r="CG51" s="18"/>
      <c r="CH51" s="18"/>
      <c r="CI51" s="17"/>
    </row>
    <row r="52" spans="1:87" x14ac:dyDescent="0.15">
      <c r="A52" s="3" t="s">
        <v>578</v>
      </c>
      <c r="B52" s="3" t="s">
        <v>213</v>
      </c>
      <c r="C52" s="3" t="s">
        <v>213</v>
      </c>
      <c r="D52" s="3">
        <v>6</v>
      </c>
      <c r="E52" s="3">
        <v>7</v>
      </c>
      <c r="F52" s="3">
        <v>68.83</v>
      </c>
      <c r="G52" s="3">
        <v>0</v>
      </c>
      <c r="H52" s="9" t="s">
        <v>81</v>
      </c>
      <c r="I52" s="9" t="s">
        <v>81</v>
      </c>
      <c r="J52" s="9" t="s">
        <v>81</v>
      </c>
      <c r="K52" s="9" t="s">
        <v>81</v>
      </c>
      <c r="L52" s="9" t="s">
        <v>81</v>
      </c>
      <c r="M52" s="9" t="s">
        <v>81</v>
      </c>
      <c r="N52" s="9" t="s">
        <v>81</v>
      </c>
      <c r="O52" s="9" t="s">
        <v>81</v>
      </c>
      <c r="P52" s="9" t="s">
        <v>81</v>
      </c>
      <c r="Q52" s="3">
        <v>62.13</v>
      </c>
      <c r="R52" s="3">
        <v>0</v>
      </c>
      <c r="S52" s="9" t="s">
        <v>81</v>
      </c>
      <c r="T52" s="9" t="s">
        <v>81</v>
      </c>
      <c r="U52" s="9" t="s">
        <v>81</v>
      </c>
      <c r="V52" s="9" t="s">
        <v>81</v>
      </c>
      <c r="W52" s="9" t="s">
        <v>81</v>
      </c>
      <c r="X52" s="9" t="s">
        <v>81</v>
      </c>
      <c r="Y52" s="9" t="s">
        <v>81</v>
      </c>
      <c r="Z52" s="9" t="s">
        <v>81</v>
      </c>
      <c r="AA52" s="9" t="s">
        <v>81</v>
      </c>
      <c r="AB52" s="3">
        <v>66.12</v>
      </c>
      <c r="AC52" s="3">
        <v>0</v>
      </c>
      <c r="AD52" s="9" t="s">
        <v>81</v>
      </c>
      <c r="AE52" s="9" t="s">
        <v>81</v>
      </c>
      <c r="AF52" s="9" t="s">
        <v>81</v>
      </c>
      <c r="AG52" s="9" t="s">
        <v>81</v>
      </c>
      <c r="AH52" s="9" t="s">
        <v>81</v>
      </c>
      <c r="AI52" s="9" t="s">
        <v>81</v>
      </c>
      <c r="AJ52" s="9" t="s">
        <v>81</v>
      </c>
      <c r="AK52" s="9" t="s">
        <v>81</v>
      </c>
      <c r="AL52" s="9" t="s">
        <v>81</v>
      </c>
      <c r="AM52" s="9">
        <v>77.89</v>
      </c>
      <c r="AN52" s="3">
        <v>0</v>
      </c>
      <c r="AO52" s="9" t="s">
        <v>81</v>
      </c>
      <c r="AP52" s="9" t="s">
        <v>81</v>
      </c>
      <c r="AQ52" s="9" t="s">
        <v>81</v>
      </c>
      <c r="AR52" s="9" t="s">
        <v>81</v>
      </c>
      <c r="AS52" s="9" t="s">
        <v>81</v>
      </c>
      <c r="AT52" s="9" t="s">
        <v>81</v>
      </c>
      <c r="AU52" s="9" t="s">
        <v>81</v>
      </c>
      <c r="AV52" s="9" t="s">
        <v>81</v>
      </c>
      <c r="AW52" s="9" t="s">
        <v>81</v>
      </c>
      <c r="AX52" s="3">
        <v>60.78</v>
      </c>
      <c r="AY52" s="3">
        <v>0</v>
      </c>
      <c r="AZ52" s="9" t="s">
        <v>81</v>
      </c>
      <c r="BA52" s="9" t="s">
        <v>81</v>
      </c>
      <c r="BB52" s="9" t="s">
        <v>81</v>
      </c>
      <c r="BC52" s="9" t="s">
        <v>81</v>
      </c>
      <c r="BD52" s="9" t="s">
        <v>81</v>
      </c>
      <c r="BE52" s="9" t="s">
        <v>81</v>
      </c>
      <c r="BF52" s="9" t="s">
        <v>81</v>
      </c>
      <c r="BG52" s="9" t="s">
        <v>81</v>
      </c>
      <c r="BH52" s="9" t="s">
        <v>81</v>
      </c>
      <c r="BI52" s="3" t="s">
        <v>84</v>
      </c>
      <c r="BJ52" s="3" t="s">
        <v>82</v>
      </c>
      <c r="BK52" s="3" t="s">
        <v>83</v>
      </c>
      <c r="BL52" s="3" t="s">
        <v>84</v>
      </c>
      <c r="BM52" s="3" t="s">
        <v>84</v>
      </c>
      <c r="BN52" s="3" t="s">
        <v>84</v>
      </c>
      <c r="BO52" s="3" t="s">
        <v>83</v>
      </c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B52" s="3" t="s">
        <v>84</v>
      </c>
      <c r="CD52" s="9">
        <v>7</v>
      </c>
      <c r="CF52" s="18"/>
      <c r="CG52" s="18"/>
      <c r="CH52" s="18"/>
      <c r="CI52" s="17"/>
    </row>
    <row r="53" spans="1:87" x14ac:dyDescent="0.15">
      <c r="A53" s="3" t="s">
        <v>579</v>
      </c>
      <c r="B53" s="3" t="s">
        <v>213</v>
      </c>
      <c r="C53" s="3" t="s">
        <v>213</v>
      </c>
      <c r="D53" s="3">
        <v>3</v>
      </c>
      <c r="E53" s="3">
        <v>12</v>
      </c>
      <c r="F53" s="3">
        <v>50.73</v>
      </c>
      <c r="G53" s="3">
        <v>0</v>
      </c>
      <c r="H53" s="3" t="s">
        <v>81</v>
      </c>
      <c r="I53" s="3" t="s">
        <v>81</v>
      </c>
      <c r="J53" s="3" t="s">
        <v>81</v>
      </c>
      <c r="K53" s="3" t="s">
        <v>81</v>
      </c>
      <c r="L53" s="3" t="s">
        <v>81</v>
      </c>
      <c r="M53" s="3" t="s">
        <v>81</v>
      </c>
      <c r="N53" s="3" t="s">
        <v>81</v>
      </c>
      <c r="O53" s="3" t="s">
        <v>81</v>
      </c>
      <c r="P53" s="3" t="s">
        <v>81</v>
      </c>
      <c r="Q53" s="3">
        <v>51.2</v>
      </c>
      <c r="R53" s="3">
        <v>0</v>
      </c>
      <c r="S53" s="9" t="s">
        <v>81</v>
      </c>
      <c r="T53" s="9" t="s">
        <v>81</v>
      </c>
      <c r="U53" s="9" t="s">
        <v>81</v>
      </c>
      <c r="V53" s="9" t="s">
        <v>81</v>
      </c>
      <c r="W53" s="9" t="s">
        <v>81</v>
      </c>
      <c r="X53" s="9" t="s">
        <v>81</v>
      </c>
      <c r="Y53" s="9" t="s">
        <v>81</v>
      </c>
      <c r="Z53" s="9" t="s">
        <v>81</v>
      </c>
      <c r="AA53" s="9" t="s">
        <v>81</v>
      </c>
      <c r="AB53" s="3">
        <v>46</v>
      </c>
      <c r="AC53" s="3">
        <v>0</v>
      </c>
      <c r="AD53" s="9" t="s">
        <v>81</v>
      </c>
      <c r="AE53" s="9" t="s">
        <v>81</v>
      </c>
      <c r="AF53" s="9" t="s">
        <v>81</v>
      </c>
      <c r="AG53" s="9" t="s">
        <v>81</v>
      </c>
      <c r="AH53" s="9" t="s">
        <v>81</v>
      </c>
      <c r="AI53" s="9" t="s">
        <v>81</v>
      </c>
      <c r="AJ53" s="9" t="s">
        <v>81</v>
      </c>
      <c r="AK53" s="9" t="s">
        <v>81</v>
      </c>
      <c r="AL53" s="9" t="s">
        <v>81</v>
      </c>
      <c r="AM53" s="9">
        <v>47.1</v>
      </c>
      <c r="AN53" s="3">
        <v>0</v>
      </c>
      <c r="AO53" s="9" t="s">
        <v>81</v>
      </c>
      <c r="AP53" s="9" t="s">
        <v>81</v>
      </c>
      <c r="AQ53" s="9" t="s">
        <v>81</v>
      </c>
      <c r="AR53" s="9" t="s">
        <v>81</v>
      </c>
      <c r="AS53" s="9" t="s">
        <v>81</v>
      </c>
      <c r="AT53" s="9" t="s">
        <v>81</v>
      </c>
      <c r="AU53" s="9" t="s">
        <v>81</v>
      </c>
      <c r="AV53" s="9" t="s">
        <v>81</v>
      </c>
      <c r="AW53" s="9" t="s">
        <v>81</v>
      </c>
      <c r="AX53" s="3">
        <v>49.78</v>
      </c>
      <c r="AY53" s="3">
        <v>0</v>
      </c>
      <c r="AZ53" s="9" t="s">
        <v>81</v>
      </c>
      <c r="BA53" s="9" t="s">
        <v>81</v>
      </c>
      <c r="BB53" s="9" t="s">
        <v>81</v>
      </c>
      <c r="BC53" s="9" t="s">
        <v>81</v>
      </c>
      <c r="BD53" s="9" t="s">
        <v>81</v>
      </c>
      <c r="BE53" s="9" t="s">
        <v>81</v>
      </c>
      <c r="BF53" s="9" t="s">
        <v>81</v>
      </c>
      <c r="BG53" s="9" t="s">
        <v>81</v>
      </c>
      <c r="BH53" s="9" t="s">
        <v>81</v>
      </c>
      <c r="BI53" s="3" t="s">
        <v>84</v>
      </c>
      <c r="BJ53" s="3" t="s">
        <v>82</v>
      </c>
      <c r="BK53" s="3" t="s">
        <v>83</v>
      </c>
      <c r="BL53" s="3" t="s">
        <v>84</v>
      </c>
      <c r="BM53" s="3" t="s">
        <v>84</v>
      </c>
      <c r="BN53" s="3" t="s">
        <v>84</v>
      </c>
      <c r="BO53" s="3" t="s">
        <v>83</v>
      </c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B53" s="3" t="s">
        <v>84</v>
      </c>
      <c r="CD53" s="9">
        <v>12</v>
      </c>
      <c r="CF53" s="18"/>
      <c r="CG53" s="18"/>
      <c r="CH53" s="18"/>
      <c r="CI53" s="17"/>
    </row>
    <row r="54" spans="1:87" x14ac:dyDescent="0.15">
      <c r="A54" s="3">
        <v>1228314680</v>
      </c>
      <c r="B54" s="3" t="s">
        <v>215</v>
      </c>
      <c r="C54" s="3" t="s">
        <v>215</v>
      </c>
      <c r="D54" s="3">
        <v>7</v>
      </c>
      <c r="E54" s="3">
        <v>15</v>
      </c>
      <c r="F54" s="3">
        <v>34.283999999999999</v>
      </c>
      <c r="G54" s="3">
        <v>0</v>
      </c>
      <c r="H54" s="3" t="s">
        <v>81</v>
      </c>
      <c r="I54" s="3" t="s">
        <v>81</v>
      </c>
      <c r="J54" s="3" t="s">
        <v>81</v>
      </c>
      <c r="K54" s="3" t="s">
        <v>81</v>
      </c>
      <c r="L54" s="3" t="s">
        <v>81</v>
      </c>
      <c r="M54" s="3" t="s">
        <v>81</v>
      </c>
      <c r="N54" s="3" t="s">
        <v>81</v>
      </c>
      <c r="O54" s="3" t="s">
        <v>81</v>
      </c>
      <c r="P54" s="3" t="s">
        <v>81</v>
      </c>
      <c r="Q54" s="3">
        <v>35.366</v>
      </c>
      <c r="R54" s="3">
        <v>0</v>
      </c>
      <c r="S54" s="3" t="s">
        <v>81</v>
      </c>
      <c r="T54" s="3" t="s">
        <v>81</v>
      </c>
      <c r="U54" s="3" t="s">
        <v>81</v>
      </c>
      <c r="V54" s="3" t="s">
        <v>81</v>
      </c>
      <c r="W54" s="3" t="s">
        <v>81</v>
      </c>
      <c r="X54" s="3" t="s">
        <v>81</v>
      </c>
      <c r="Y54" s="3" t="s">
        <v>81</v>
      </c>
      <c r="Z54" s="3" t="s">
        <v>81</v>
      </c>
      <c r="AA54" s="3" t="s">
        <v>81</v>
      </c>
      <c r="AB54" s="3">
        <v>33.901000000000003</v>
      </c>
      <c r="AC54" s="3">
        <v>0</v>
      </c>
      <c r="AD54" s="3" t="s">
        <v>81</v>
      </c>
      <c r="AE54" s="3" t="s">
        <v>81</v>
      </c>
      <c r="AF54" s="3" t="s">
        <v>81</v>
      </c>
      <c r="AG54" s="3" t="s">
        <v>81</v>
      </c>
      <c r="AH54" s="3" t="s">
        <v>81</v>
      </c>
      <c r="AI54" s="3" t="s">
        <v>81</v>
      </c>
      <c r="AJ54" s="3" t="s">
        <v>81</v>
      </c>
      <c r="AK54" s="3" t="s">
        <v>81</v>
      </c>
      <c r="AL54" s="3" t="s">
        <v>81</v>
      </c>
      <c r="AM54" s="3">
        <v>37.633000000000003</v>
      </c>
      <c r="AN54" s="3">
        <v>0</v>
      </c>
      <c r="AO54" s="3" t="s">
        <v>81</v>
      </c>
      <c r="AP54" s="3" t="s">
        <v>81</v>
      </c>
      <c r="AQ54" s="3" t="s">
        <v>81</v>
      </c>
      <c r="AR54" s="3" t="s">
        <v>81</v>
      </c>
      <c r="AS54" s="3" t="s">
        <v>81</v>
      </c>
      <c r="AT54" s="3" t="s">
        <v>81</v>
      </c>
      <c r="AU54" s="3" t="s">
        <v>81</v>
      </c>
      <c r="AV54" s="3" t="s">
        <v>81</v>
      </c>
      <c r="AW54" s="3" t="s">
        <v>81</v>
      </c>
      <c r="AX54" s="3">
        <v>35.621000000000002</v>
      </c>
      <c r="AY54" s="3">
        <v>0</v>
      </c>
      <c r="AZ54" s="3" t="s">
        <v>81</v>
      </c>
      <c r="BA54" s="3" t="s">
        <v>81</v>
      </c>
      <c r="BB54" s="3" t="s">
        <v>81</v>
      </c>
      <c r="BC54" s="3" t="s">
        <v>81</v>
      </c>
      <c r="BD54" s="3" t="s">
        <v>81</v>
      </c>
      <c r="BE54" s="3" t="s">
        <v>81</v>
      </c>
      <c r="BF54" s="3" t="s">
        <v>81</v>
      </c>
      <c r="BG54" s="3" t="s">
        <v>81</v>
      </c>
      <c r="BH54" s="3" t="s">
        <v>81</v>
      </c>
      <c r="BI54" s="3" t="s">
        <v>84</v>
      </c>
      <c r="BJ54" s="3" t="s">
        <v>82</v>
      </c>
      <c r="BK54" s="3" t="s">
        <v>83</v>
      </c>
      <c r="BL54" s="3" t="s">
        <v>84</v>
      </c>
      <c r="BM54" s="3" t="s">
        <v>84</v>
      </c>
      <c r="BN54" s="3" t="s">
        <v>84</v>
      </c>
      <c r="BO54" s="3" t="s">
        <v>84</v>
      </c>
      <c r="BP54" s="3" t="s">
        <v>188</v>
      </c>
      <c r="BQ54" s="3" t="s">
        <v>188</v>
      </c>
      <c r="BR54" s="3" t="s">
        <v>188</v>
      </c>
      <c r="BS54" s="3" t="s">
        <v>216</v>
      </c>
      <c r="BT54" s="3" t="s">
        <v>85</v>
      </c>
      <c r="BU54" s="3" t="s">
        <v>81</v>
      </c>
      <c r="BV54" s="3" t="s">
        <v>82</v>
      </c>
      <c r="BW54" s="3" t="s">
        <v>91</v>
      </c>
      <c r="BX54" s="3" t="s">
        <v>82</v>
      </c>
      <c r="BZ54" s="3" t="s">
        <v>93</v>
      </c>
      <c r="CB54" s="3" t="s">
        <v>84</v>
      </c>
      <c r="CD54" s="9">
        <v>10</v>
      </c>
      <c r="CE54" s="9">
        <v>16</v>
      </c>
      <c r="CF54" s="18"/>
      <c r="CG54" s="18"/>
      <c r="CH54" s="18"/>
      <c r="CI54" s="18"/>
    </row>
    <row r="55" spans="1:87" x14ac:dyDescent="0.15">
      <c r="A55" s="3">
        <v>1847938480</v>
      </c>
      <c r="B55" s="3" t="s">
        <v>215</v>
      </c>
      <c r="C55" s="3" t="s">
        <v>215</v>
      </c>
      <c r="D55" s="3">
        <v>5</v>
      </c>
      <c r="E55" s="3">
        <v>5</v>
      </c>
      <c r="F55" s="3">
        <v>37.984000000000002</v>
      </c>
      <c r="G55" s="3">
        <v>0</v>
      </c>
      <c r="H55" s="3" t="s">
        <v>81</v>
      </c>
      <c r="I55" s="3" t="s">
        <v>81</v>
      </c>
      <c r="J55" s="3" t="s">
        <v>81</v>
      </c>
      <c r="K55" s="3" t="s">
        <v>81</v>
      </c>
      <c r="L55" s="3" t="s">
        <v>81</v>
      </c>
      <c r="M55" s="3" t="s">
        <v>81</v>
      </c>
      <c r="N55" s="3" t="s">
        <v>81</v>
      </c>
      <c r="O55" s="3" t="s">
        <v>81</v>
      </c>
      <c r="P55" s="3" t="s">
        <v>81</v>
      </c>
      <c r="Q55" s="3">
        <v>37.585000000000001</v>
      </c>
      <c r="R55" s="3">
        <v>0</v>
      </c>
      <c r="S55" s="3" t="s">
        <v>81</v>
      </c>
      <c r="T55" s="3" t="s">
        <v>81</v>
      </c>
      <c r="U55" s="3" t="s">
        <v>81</v>
      </c>
      <c r="V55" s="3" t="s">
        <v>81</v>
      </c>
      <c r="W55" s="3" t="s">
        <v>81</v>
      </c>
      <c r="X55" s="3" t="s">
        <v>81</v>
      </c>
      <c r="Y55" s="3" t="s">
        <v>81</v>
      </c>
      <c r="Z55" s="3" t="s">
        <v>81</v>
      </c>
      <c r="AA55" s="3" t="s">
        <v>81</v>
      </c>
      <c r="AB55" s="3">
        <v>34.369</v>
      </c>
      <c r="AC55" s="3">
        <v>0</v>
      </c>
      <c r="AD55" s="3" t="s">
        <v>81</v>
      </c>
      <c r="AE55" s="3" t="s">
        <v>81</v>
      </c>
      <c r="AF55" s="3" t="s">
        <v>81</v>
      </c>
      <c r="AG55" s="3" t="s">
        <v>81</v>
      </c>
      <c r="AH55" s="3" t="s">
        <v>81</v>
      </c>
      <c r="AI55" s="3" t="s">
        <v>81</v>
      </c>
      <c r="AJ55" s="3" t="s">
        <v>81</v>
      </c>
      <c r="AK55" s="3" t="s">
        <v>81</v>
      </c>
      <c r="AL55" s="3" t="s">
        <v>81</v>
      </c>
      <c r="AM55" s="3">
        <v>42.189</v>
      </c>
      <c r="AN55" s="3">
        <v>0</v>
      </c>
      <c r="AO55" s="3" t="s">
        <v>81</v>
      </c>
      <c r="AP55" s="3" t="s">
        <v>81</v>
      </c>
      <c r="AQ55" s="3" t="s">
        <v>81</v>
      </c>
      <c r="AR55" s="3" t="s">
        <v>81</v>
      </c>
      <c r="AS55" s="3" t="s">
        <v>81</v>
      </c>
      <c r="AT55" s="3" t="s">
        <v>81</v>
      </c>
      <c r="AU55" s="3" t="s">
        <v>81</v>
      </c>
      <c r="AV55" s="3" t="s">
        <v>81</v>
      </c>
      <c r="AW55" s="3" t="s">
        <v>81</v>
      </c>
      <c r="AX55" s="3">
        <v>38.04</v>
      </c>
      <c r="AY55" s="3">
        <v>0</v>
      </c>
      <c r="AZ55" s="3" t="s">
        <v>81</v>
      </c>
      <c r="BA55" s="3" t="s">
        <v>81</v>
      </c>
      <c r="BB55" s="3" t="s">
        <v>81</v>
      </c>
      <c r="BC55" s="3" t="s">
        <v>81</v>
      </c>
      <c r="BD55" s="3" t="s">
        <v>81</v>
      </c>
      <c r="BE55" s="3" t="s">
        <v>81</v>
      </c>
      <c r="BF55" s="3" t="s">
        <v>81</v>
      </c>
      <c r="BG55" s="3" t="s">
        <v>81</v>
      </c>
      <c r="BH55" s="3" t="s">
        <v>81</v>
      </c>
      <c r="BI55" s="3" t="s">
        <v>84</v>
      </c>
      <c r="BJ55" s="3" t="s">
        <v>84</v>
      </c>
      <c r="BK55" s="3" t="s">
        <v>82</v>
      </c>
      <c r="BL55" s="3" t="s">
        <v>84</v>
      </c>
      <c r="BM55" s="3" t="s">
        <v>84</v>
      </c>
      <c r="BN55" s="3" t="s">
        <v>82</v>
      </c>
      <c r="BO55" s="3" t="s">
        <v>82</v>
      </c>
      <c r="BP55" s="3" t="s">
        <v>87</v>
      </c>
      <c r="BQ55" s="3" t="s">
        <v>87</v>
      </c>
      <c r="BR55" s="3" t="s">
        <v>87</v>
      </c>
      <c r="BS55" s="3" t="s">
        <v>87</v>
      </c>
      <c r="BT55" s="3" t="s">
        <v>87</v>
      </c>
      <c r="BU55" s="3" t="s">
        <v>81</v>
      </c>
      <c r="BV55" s="3" t="s">
        <v>83</v>
      </c>
      <c r="BW55" s="3" t="s">
        <v>83</v>
      </c>
      <c r="BX55" s="3" t="s">
        <v>82</v>
      </c>
      <c r="BY55" s="3" t="s">
        <v>217</v>
      </c>
      <c r="BZ55" s="3" t="s">
        <v>93</v>
      </c>
      <c r="CB55" s="3" t="s">
        <v>84</v>
      </c>
      <c r="CD55" s="9">
        <v>6</v>
      </c>
      <c r="CF55" s="18"/>
      <c r="CG55" s="18"/>
      <c r="CH55" s="18"/>
      <c r="CI55" s="18"/>
    </row>
    <row r="56" spans="1:87" x14ac:dyDescent="0.15">
      <c r="A56" s="3">
        <v>1318640458</v>
      </c>
      <c r="B56" s="3" t="s">
        <v>215</v>
      </c>
      <c r="C56" s="3" t="s">
        <v>215</v>
      </c>
      <c r="D56" s="3">
        <v>9</v>
      </c>
      <c r="E56" s="3">
        <v>14</v>
      </c>
      <c r="F56" s="3">
        <v>134.17400000000001</v>
      </c>
      <c r="G56" s="3">
        <v>0</v>
      </c>
      <c r="H56" s="3" t="s">
        <v>81</v>
      </c>
      <c r="I56" s="3" t="s">
        <v>81</v>
      </c>
      <c r="J56" s="3" t="s">
        <v>81</v>
      </c>
      <c r="K56" s="3" t="s">
        <v>81</v>
      </c>
      <c r="L56" s="3" t="s">
        <v>81</v>
      </c>
      <c r="M56" s="3" t="s">
        <v>81</v>
      </c>
      <c r="N56" s="3" t="s">
        <v>81</v>
      </c>
      <c r="O56" s="3" t="s">
        <v>81</v>
      </c>
      <c r="P56" s="3" t="s">
        <v>81</v>
      </c>
      <c r="Q56" s="3">
        <v>129.274</v>
      </c>
      <c r="R56" s="3">
        <v>0</v>
      </c>
      <c r="S56" s="3" t="s">
        <v>81</v>
      </c>
      <c r="T56" s="3" t="s">
        <v>81</v>
      </c>
      <c r="U56" s="3" t="s">
        <v>81</v>
      </c>
      <c r="V56" s="3" t="s">
        <v>81</v>
      </c>
      <c r="W56" s="3" t="s">
        <v>81</v>
      </c>
      <c r="X56" s="3" t="s">
        <v>81</v>
      </c>
      <c r="Y56" s="3" t="s">
        <v>81</v>
      </c>
      <c r="Z56" s="3" t="s">
        <v>81</v>
      </c>
      <c r="AA56" s="3" t="s">
        <v>81</v>
      </c>
      <c r="AB56" s="3">
        <v>125.366</v>
      </c>
      <c r="AC56" s="3">
        <v>0</v>
      </c>
      <c r="AD56" s="3" t="s">
        <v>81</v>
      </c>
      <c r="AE56" s="3" t="s">
        <v>81</v>
      </c>
      <c r="AF56" s="3" t="s">
        <v>81</v>
      </c>
      <c r="AG56" s="3" t="s">
        <v>81</v>
      </c>
      <c r="AH56" s="3" t="s">
        <v>81</v>
      </c>
      <c r="AI56" s="3" t="s">
        <v>81</v>
      </c>
      <c r="AJ56" s="3" t="s">
        <v>81</v>
      </c>
      <c r="AK56" s="3" t="s">
        <v>81</v>
      </c>
      <c r="AL56" s="3" t="s">
        <v>81</v>
      </c>
      <c r="AM56" s="3">
        <v>122.149</v>
      </c>
      <c r="AN56" s="3">
        <v>0</v>
      </c>
      <c r="AO56" s="3" t="s">
        <v>81</v>
      </c>
      <c r="AP56" s="3" t="s">
        <v>81</v>
      </c>
      <c r="AQ56" s="3" t="s">
        <v>81</v>
      </c>
      <c r="AR56" s="3" t="s">
        <v>81</v>
      </c>
      <c r="AS56" s="3" t="s">
        <v>81</v>
      </c>
      <c r="AT56" s="3" t="s">
        <v>81</v>
      </c>
      <c r="AU56" s="3" t="s">
        <v>81</v>
      </c>
      <c r="AV56" s="3" t="s">
        <v>81</v>
      </c>
      <c r="AW56" s="3" t="s">
        <v>81</v>
      </c>
      <c r="AX56" s="3">
        <v>127.10599999999999</v>
      </c>
      <c r="AY56" s="3">
        <v>0</v>
      </c>
      <c r="AZ56" s="3" t="s">
        <v>81</v>
      </c>
      <c r="BA56" s="3" t="s">
        <v>81</v>
      </c>
      <c r="BB56" s="3" t="s">
        <v>81</v>
      </c>
      <c r="BC56" s="3" t="s">
        <v>81</v>
      </c>
      <c r="BD56" s="3" t="s">
        <v>81</v>
      </c>
      <c r="BE56" s="3" t="s">
        <v>81</v>
      </c>
      <c r="BF56" s="3" t="s">
        <v>81</v>
      </c>
      <c r="BG56" s="3" t="s">
        <v>81</v>
      </c>
      <c r="BH56" s="3" t="s">
        <v>81</v>
      </c>
      <c r="BI56" s="3" t="s">
        <v>84</v>
      </c>
      <c r="BJ56" s="3" t="s">
        <v>82</v>
      </c>
      <c r="BK56" s="3" t="s">
        <v>83</v>
      </c>
      <c r="BL56" s="3" t="s">
        <v>84</v>
      </c>
      <c r="BM56" s="3" t="s">
        <v>84</v>
      </c>
      <c r="BN56" s="3" t="s">
        <v>84</v>
      </c>
      <c r="BO56" s="3" t="s">
        <v>84</v>
      </c>
      <c r="BP56" s="3" t="s">
        <v>87</v>
      </c>
      <c r="BQ56" s="3" t="s">
        <v>87</v>
      </c>
      <c r="BR56" s="3" t="s">
        <v>218</v>
      </c>
      <c r="BS56" s="3" t="s">
        <v>219</v>
      </c>
      <c r="BT56" s="3" t="s">
        <v>87</v>
      </c>
      <c r="BU56" s="3" t="s">
        <v>85</v>
      </c>
      <c r="BV56" s="3" t="s">
        <v>82</v>
      </c>
      <c r="BW56" s="3" t="s">
        <v>91</v>
      </c>
      <c r="BX56" s="3" t="s">
        <v>82</v>
      </c>
      <c r="BZ56" s="3" t="s">
        <v>86</v>
      </c>
      <c r="CB56" s="3" t="s">
        <v>84</v>
      </c>
      <c r="CD56" s="9">
        <v>14</v>
      </c>
      <c r="CE56" s="9">
        <v>7</v>
      </c>
      <c r="CF56" s="18"/>
      <c r="CG56" s="18"/>
      <c r="CH56" s="18"/>
      <c r="CI56" s="18"/>
    </row>
    <row r="57" spans="1:87" x14ac:dyDescent="0.15">
      <c r="A57" s="3">
        <v>2625843363</v>
      </c>
      <c r="B57" s="3" t="s">
        <v>215</v>
      </c>
      <c r="C57" s="3" t="s">
        <v>215</v>
      </c>
      <c r="D57" s="3">
        <v>8</v>
      </c>
      <c r="E57" s="3">
        <v>13</v>
      </c>
      <c r="F57" s="3">
        <v>65.944000000000003</v>
      </c>
      <c r="G57" s="3">
        <v>0</v>
      </c>
      <c r="H57" s="3" t="s">
        <v>81</v>
      </c>
      <c r="I57" s="3" t="s">
        <v>81</v>
      </c>
      <c r="J57" s="3" t="s">
        <v>81</v>
      </c>
      <c r="K57" s="3" t="s">
        <v>81</v>
      </c>
      <c r="L57" s="3" t="s">
        <v>81</v>
      </c>
      <c r="M57" s="3" t="s">
        <v>81</v>
      </c>
      <c r="N57" s="3" t="s">
        <v>81</v>
      </c>
      <c r="O57" s="3" t="s">
        <v>81</v>
      </c>
      <c r="P57" s="3" t="s">
        <v>81</v>
      </c>
      <c r="Q57" s="3">
        <v>61.66</v>
      </c>
      <c r="R57" s="3">
        <v>0</v>
      </c>
      <c r="S57" s="3" t="s">
        <v>81</v>
      </c>
      <c r="T57" s="3" t="s">
        <v>81</v>
      </c>
      <c r="U57" s="3" t="s">
        <v>81</v>
      </c>
      <c r="V57" s="3" t="s">
        <v>81</v>
      </c>
      <c r="W57" s="3" t="s">
        <v>81</v>
      </c>
      <c r="X57" s="3" t="s">
        <v>81</v>
      </c>
      <c r="Y57" s="3" t="s">
        <v>81</v>
      </c>
      <c r="Z57" s="3" t="s">
        <v>81</v>
      </c>
      <c r="AA57" s="3" t="s">
        <v>81</v>
      </c>
      <c r="AB57" s="3">
        <v>66.813999999999993</v>
      </c>
      <c r="AC57" s="3">
        <v>0</v>
      </c>
      <c r="AD57" s="3" t="s">
        <v>81</v>
      </c>
      <c r="AE57" s="3" t="s">
        <v>81</v>
      </c>
      <c r="AF57" s="3" t="s">
        <v>81</v>
      </c>
      <c r="AG57" s="3" t="s">
        <v>81</v>
      </c>
      <c r="AH57" s="3" t="s">
        <v>81</v>
      </c>
      <c r="AI57" s="3" t="s">
        <v>81</v>
      </c>
      <c r="AJ57" s="3" t="s">
        <v>81</v>
      </c>
      <c r="AK57" s="3" t="s">
        <v>81</v>
      </c>
      <c r="AL57" s="3" t="s">
        <v>81</v>
      </c>
      <c r="AM57" s="3">
        <v>62.345999999999997</v>
      </c>
      <c r="AN57" s="3">
        <v>0</v>
      </c>
      <c r="AO57" s="3" t="s">
        <v>81</v>
      </c>
      <c r="AP57" s="3" t="s">
        <v>81</v>
      </c>
      <c r="AQ57" s="3" t="s">
        <v>81</v>
      </c>
      <c r="AR57" s="3" t="s">
        <v>81</v>
      </c>
      <c r="AS57" s="3" t="s">
        <v>81</v>
      </c>
      <c r="AT57" s="3" t="s">
        <v>81</v>
      </c>
      <c r="AU57" s="3" t="s">
        <v>81</v>
      </c>
      <c r="AV57" s="3" t="s">
        <v>81</v>
      </c>
      <c r="AW57" s="3" t="s">
        <v>81</v>
      </c>
      <c r="AX57" s="3">
        <v>61.32</v>
      </c>
      <c r="AY57" s="3">
        <v>0</v>
      </c>
      <c r="AZ57" s="3" t="s">
        <v>81</v>
      </c>
      <c r="BA57" s="3" t="s">
        <v>81</v>
      </c>
      <c r="BB57" s="3" t="s">
        <v>81</v>
      </c>
      <c r="BC57" s="3" t="s">
        <v>81</v>
      </c>
      <c r="BD57" s="3" t="s">
        <v>81</v>
      </c>
      <c r="BE57" s="3" t="s">
        <v>81</v>
      </c>
      <c r="BF57" s="3" t="s">
        <v>81</v>
      </c>
      <c r="BG57" s="3" t="s">
        <v>81</v>
      </c>
      <c r="BH57" s="3" t="s">
        <v>81</v>
      </c>
      <c r="BI57" s="3" t="s">
        <v>84</v>
      </c>
      <c r="BJ57" s="3" t="s">
        <v>84</v>
      </c>
      <c r="BK57" s="3" t="s">
        <v>84</v>
      </c>
      <c r="BL57" s="3" t="s">
        <v>84</v>
      </c>
      <c r="BM57" s="3" t="s">
        <v>84</v>
      </c>
      <c r="BN57" s="3" t="s">
        <v>82</v>
      </c>
      <c r="BO57" s="3" t="s">
        <v>82</v>
      </c>
      <c r="BP57" s="3" t="s">
        <v>87</v>
      </c>
      <c r="BQ57" s="3" t="s">
        <v>87</v>
      </c>
      <c r="BR57" s="3" t="s">
        <v>87</v>
      </c>
      <c r="BS57" s="3" t="s">
        <v>87</v>
      </c>
      <c r="BT57" s="3" t="s">
        <v>87</v>
      </c>
      <c r="BU57" s="3" t="s">
        <v>81</v>
      </c>
      <c r="BV57" s="3" t="s">
        <v>82</v>
      </c>
      <c r="BW57" s="3" t="s">
        <v>91</v>
      </c>
      <c r="BX57" s="3" t="s">
        <v>82</v>
      </c>
      <c r="BZ57" s="3" t="s">
        <v>86</v>
      </c>
      <c r="CB57" s="3" t="s">
        <v>84</v>
      </c>
      <c r="CD57" s="9">
        <v>12</v>
      </c>
      <c r="CE57" s="9">
        <v>13</v>
      </c>
      <c r="CF57" s="18"/>
      <c r="CG57" s="18"/>
      <c r="CH57" s="18"/>
      <c r="CI57" s="18"/>
    </row>
    <row r="58" spans="1:87" x14ac:dyDescent="0.15">
      <c r="A58" s="3">
        <v>2625903537</v>
      </c>
      <c r="B58" s="3" t="s">
        <v>215</v>
      </c>
      <c r="C58" s="3" t="s">
        <v>215</v>
      </c>
      <c r="D58" s="3">
        <v>7</v>
      </c>
      <c r="E58" s="3">
        <v>11</v>
      </c>
      <c r="F58" s="3">
        <v>48.932000000000002</v>
      </c>
      <c r="G58" s="3">
        <v>0</v>
      </c>
      <c r="H58" s="3" t="s">
        <v>81</v>
      </c>
      <c r="I58" s="3" t="s">
        <v>81</v>
      </c>
      <c r="J58" s="3" t="s">
        <v>81</v>
      </c>
      <c r="K58" s="3" t="s">
        <v>81</v>
      </c>
      <c r="L58" s="3" t="s">
        <v>81</v>
      </c>
      <c r="M58" s="3" t="s">
        <v>81</v>
      </c>
      <c r="N58" s="3" t="s">
        <v>81</v>
      </c>
      <c r="O58" s="3" t="s">
        <v>81</v>
      </c>
      <c r="P58" s="3" t="s">
        <v>81</v>
      </c>
      <c r="Q58" s="3">
        <v>48.256999999999998</v>
      </c>
      <c r="R58" s="3">
        <v>0</v>
      </c>
      <c r="S58" s="3" t="s">
        <v>81</v>
      </c>
      <c r="T58" s="3" t="s">
        <v>81</v>
      </c>
      <c r="U58" s="3" t="s">
        <v>81</v>
      </c>
      <c r="V58" s="3" t="s">
        <v>81</v>
      </c>
      <c r="W58" s="3" t="s">
        <v>81</v>
      </c>
      <c r="X58" s="3" t="s">
        <v>81</v>
      </c>
      <c r="Y58" s="3" t="s">
        <v>81</v>
      </c>
      <c r="Z58" s="3" t="s">
        <v>81</v>
      </c>
      <c r="AA58" s="3" t="s">
        <v>81</v>
      </c>
      <c r="AB58" s="3">
        <v>46.4</v>
      </c>
      <c r="AC58" s="3">
        <v>0</v>
      </c>
      <c r="AD58" s="3" t="s">
        <v>81</v>
      </c>
      <c r="AE58" s="3" t="s">
        <v>81</v>
      </c>
      <c r="AF58" s="3" t="s">
        <v>81</v>
      </c>
      <c r="AG58" s="3" t="s">
        <v>81</v>
      </c>
      <c r="AH58" s="3" t="s">
        <v>81</v>
      </c>
      <c r="AI58" s="3" t="s">
        <v>81</v>
      </c>
      <c r="AJ58" s="3" t="s">
        <v>81</v>
      </c>
      <c r="AK58" s="3" t="s">
        <v>81</v>
      </c>
      <c r="AL58" s="3" t="s">
        <v>81</v>
      </c>
      <c r="AM58" s="3">
        <v>42.908000000000001</v>
      </c>
      <c r="AN58" s="3">
        <v>0</v>
      </c>
      <c r="AO58" s="3" t="s">
        <v>81</v>
      </c>
      <c r="AP58" s="3" t="s">
        <v>81</v>
      </c>
      <c r="AQ58" s="3" t="s">
        <v>81</v>
      </c>
      <c r="AR58" s="3" t="s">
        <v>81</v>
      </c>
      <c r="AS58" s="3" t="s">
        <v>81</v>
      </c>
      <c r="AT58" s="3" t="s">
        <v>81</v>
      </c>
      <c r="AU58" s="3" t="s">
        <v>81</v>
      </c>
      <c r="AV58" s="3" t="s">
        <v>81</v>
      </c>
      <c r="AW58" s="3" t="s">
        <v>81</v>
      </c>
      <c r="AX58" s="3">
        <v>49.326999999999998</v>
      </c>
      <c r="AY58" s="3">
        <v>0</v>
      </c>
      <c r="AZ58" s="3" t="s">
        <v>81</v>
      </c>
      <c r="BA58" s="3" t="s">
        <v>81</v>
      </c>
      <c r="BB58" s="3" t="s">
        <v>81</v>
      </c>
      <c r="BC58" s="3" t="s">
        <v>81</v>
      </c>
      <c r="BD58" s="3" t="s">
        <v>81</v>
      </c>
      <c r="BE58" s="3" t="s">
        <v>81</v>
      </c>
      <c r="BF58" s="3" t="s">
        <v>81</v>
      </c>
      <c r="BG58" s="3" t="s">
        <v>81</v>
      </c>
      <c r="BH58" s="3" t="s">
        <v>81</v>
      </c>
      <c r="BI58" s="3" t="s">
        <v>84</v>
      </c>
      <c r="BJ58" s="3" t="s">
        <v>84</v>
      </c>
      <c r="BK58" s="3" t="s">
        <v>84</v>
      </c>
      <c r="BL58" s="3" t="s">
        <v>82</v>
      </c>
      <c r="BM58" s="3" t="s">
        <v>83</v>
      </c>
      <c r="BN58" s="3" t="s">
        <v>82</v>
      </c>
      <c r="BO58" s="3" t="s">
        <v>84</v>
      </c>
      <c r="BP58" s="3" t="s">
        <v>220</v>
      </c>
      <c r="BQ58" s="3" t="s">
        <v>220</v>
      </c>
      <c r="BR58" s="3" t="s">
        <v>98</v>
      </c>
      <c r="BS58" s="3" t="s">
        <v>221</v>
      </c>
      <c r="BT58" s="3" t="s">
        <v>85</v>
      </c>
      <c r="BU58" s="3" t="s">
        <v>98</v>
      </c>
      <c r="BV58" s="3" t="s">
        <v>83</v>
      </c>
      <c r="BW58" s="3" t="s">
        <v>83</v>
      </c>
      <c r="BX58" s="3" t="s">
        <v>83</v>
      </c>
      <c r="BZ58" s="3" t="s">
        <v>86</v>
      </c>
      <c r="CB58" s="3" t="s">
        <v>84</v>
      </c>
      <c r="CD58" s="9">
        <v>12</v>
      </c>
      <c r="CE58" s="9">
        <v>5</v>
      </c>
      <c r="CF58" s="18"/>
      <c r="CG58" s="18"/>
      <c r="CH58" s="18"/>
      <c r="CI58" s="18"/>
    </row>
    <row r="59" spans="1:87" x14ac:dyDescent="0.15">
      <c r="A59" s="3">
        <v>1228526030</v>
      </c>
      <c r="B59" s="9" t="s">
        <v>222</v>
      </c>
      <c r="C59" s="9" t="s">
        <v>222</v>
      </c>
      <c r="D59" s="3" t="s">
        <v>81</v>
      </c>
      <c r="E59" s="3">
        <v>2</v>
      </c>
      <c r="F59" s="3">
        <v>20.605</v>
      </c>
      <c r="G59" s="3">
        <v>0</v>
      </c>
      <c r="H59" s="3" t="s">
        <v>81</v>
      </c>
      <c r="I59" s="3" t="s">
        <v>81</v>
      </c>
      <c r="J59" s="3" t="s">
        <v>81</v>
      </c>
      <c r="K59" s="3" t="s">
        <v>81</v>
      </c>
      <c r="L59" s="3" t="s">
        <v>81</v>
      </c>
      <c r="M59" s="3" t="s">
        <v>81</v>
      </c>
      <c r="N59" s="3" t="s">
        <v>81</v>
      </c>
      <c r="O59" s="3" t="s">
        <v>81</v>
      </c>
      <c r="P59" s="3" t="s">
        <v>81</v>
      </c>
      <c r="Q59" s="3">
        <v>22.748000000000001</v>
      </c>
      <c r="R59" s="3">
        <v>0</v>
      </c>
      <c r="S59" s="3" t="s">
        <v>81</v>
      </c>
      <c r="T59" s="3" t="s">
        <v>81</v>
      </c>
      <c r="U59" s="3" t="s">
        <v>81</v>
      </c>
      <c r="V59" s="3" t="s">
        <v>81</v>
      </c>
      <c r="W59" s="3" t="s">
        <v>81</v>
      </c>
      <c r="X59" s="3" t="s">
        <v>81</v>
      </c>
      <c r="Y59" s="3" t="s">
        <v>81</v>
      </c>
      <c r="Z59" s="3" t="s">
        <v>81</v>
      </c>
      <c r="AA59" s="3" t="s">
        <v>81</v>
      </c>
      <c r="AB59" s="3" t="s">
        <v>81</v>
      </c>
      <c r="AC59" s="3" t="s">
        <v>81</v>
      </c>
      <c r="AD59" s="3" t="s">
        <v>81</v>
      </c>
      <c r="AE59" s="3" t="s">
        <v>81</v>
      </c>
      <c r="AF59" s="3" t="s">
        <v>81</v>
      </c>
      <c r="AG59" s="3" t="s">
        <v>81</v>
      </c>
      <c r="AH59" s="3" t="s">
        <v>81</v>
      </c>
      <c r="AI59" s="3" t="s">
        <v>81</v>
      </c>
      <c r="AJ59" s="3" t="s">
        <v>81</v>
      </c>
      <c r="AK59" s="3" t="s">
        <v>81</v>
      </c>
      <c r="AL59" s="3" t="s">
        <v>81</v>
      </c>
      <c r="AM59" s="3" t="s">
        <v>81</v>
      </c>
      <c r="AN59" s="3" t="s">
        <v>81</v>
      </c>
      <c r="AO59" s="3" t="s">
        <v>81</v>
      </c>
      <c r="AP59" s="3" t="s">
        <v>81</v>
      </c>
      <c r="AQ59" s="3" t="s">
        <v>81</v>
      </c>
      <c r="AR59" s="3" t="s">
        <v>81</v>
      </c>
      <c r="AS59" s="3" t="s">
        <v>81</v>
      </c>
      <c r="AT59" s="3" t="s">
        <v>81</v>
      </c>
      <c r="AU59" s="3" t="s">
        <v>81</v>
      </c>
      <c r="AV59" s="3" t="s">
        <v>81</v>
      </c>
      <c r="AW59" s="3" t="s">
        <v>81</v>
      </c>
      <c r="AX59" s="3" t="s">
        <v>81</v>
      </c>
      <c r="AY59" s="3" t="s">
        <v>81</v>
      </c>
      <c r="AZ59" s="3" t="s">
        <v>81</v>
      </c>
      <c r="BA59" s="3" t="s">
        <v>81</v>
      </c>
      <c r="BB59" s="3" t="s">
        <v>81</v>
      </c>
      <c r="BC59" s="3" t="s">
        <v>81</v>
      </c>
      <c r="BD59" s="3" t="s">
        <v>81</v>
      </c>
      <c r="BE59" s="3" t="s">
        <v>81</v>
      </c>
      <c r="BF59" s="3" t="s">
        <v>81</v>
      </c>
      <c r="BG59" s="3" t="s">
        <v>81</v>
      </c>
      <c r="BH59" s="3" t="s">
        <v>81</v>
      </c>
      <c r="BI59" s="3" t="s">
        <v>82</v>
      </c>
      <c r="BJ59" s="3" t="s">
        <v>84</v>
      </c>
      <c r="BK59" s="3" t="s">
        <v>84</v>
      </c>
      <c r="BL59" s="3" t="s">
        <v>82</v>
      </c>
      <c r="BM59" s="3" t="s">
        <v>83</v>
      </c>
      <c r="BN59" s="3" t="s">
        <v>83</v>
      </c>
      <c r="BO59" s="3" t="s">
        <v>83</v>
      </c>
      <c r="BP59" s="3" t="s">
        <v>81</v>
      </c>
      <c r="BQ59" s="3" t="s">
        <v>81</v>
      </c>
      <c r="BR59" s="3" t="s">
        <v>81</v>
      </c>
      <c r="BS59" s="3" t="s">
        <v>81</v>
      </c>
      <c r="BT59" s="3" t="s">
        <v>81</v>
      </c>
      <c r="BU59" s="3" t="s">
        <v>81</v>
      </c>
      <c r="BV59" s="3" t="s">
        <v>83</v>
      </c>
      <c r="BW59" s="3" t="s">
        <v>83</v>
      </c>
      <c r="BX59" s="3" t="s">
        <v>83</v>
      </c>
      <c r="BY59" s="3" t="s">
        <v>223</v>
      </c>
      <c r="BZ59" s="3" t="s">
        <v>93</v>
      </c>
      <c r="CB59" s="3" t="s">
        <v>84</v>
      </c>
      <c r="CD59" s="9">
        <v>2</v>
      </c>
      <c r="CE59" s="9"/>
      <c r="CF59" s="19"/>
      <c r="CG59" s="18"/>
      <c r="CH59" s="18"/>
      <c r="CI59" s="18"/>
    </row>
    <row r="60" spans="1:87" x14ac:dyDescent="0.15">
      <c r="A60" s="3">
        <v>2236117299</v>
      </c>
      <c r="B60" s="9" t="s">
        <v>222</v>
      </c>
      <c r="C60" s="9" t="s">
        <v>222</v>
      </c>
      <c r="D60" s="3">
        <v>5</v>
      </c>
      <c r="E60" s="3">
        <v>5</v>
      </c>
      <c r="F60" s="3">
        <v>16.300999999999998</v>
      </c>
      <c r="G60" s="3">
        <v>0</v>
      </c>
      <c r="H60" s="3" t="s">
        <v>81</v>
      </c>
      <c r="I60" s="3" t="s">
        <v>81</v>
      </c>
      <c r="J60" s="3" t="s">
        <v>81</v>
      </c>
      <c r="K60" s="3" t="s">
        <v>81</v>
      </c>
      <c r="L60" s="3" t="s">
        <v>81</v>
      </c>
      <c r="M60" s="3" t="s">
        <v>81</v>
      </c>
      <c r="N60" s="3" t="s">
        <v>81</v>
      </c>
      <c r="O60" s="3" t="s">
        <v>81</v>
      </c>
      <c r="P60" s="3" t="s">
        <v>81</v>
      </c>
      <c r="Q60" s="3">
        <v>14.269</v>
      </c>
      <c r="R60" s="3">
        <v>0</v>
      </c>
      <c r="S60" s="3" t="s">
        <v>81</v>
      </c>
      <c r="T60" s="3" t="s">
        <v>81</v>
      </c>
      <c r="U60" s="3" t="s">
        <v>81</v>
      </c>
      <c r="V60" s="3" t="s">
        <v>81</v>
      </c>
      <c r="W60" s="3" t="s">
        <v>81</v>
      </c>
      <c r="X60" s="3" t="s">
        <v>81</v>
      </c>
      <c r="Y60" s="3" t="s">
        <v>81</v>
      </c>
      <c r="Z60" s="3" t="s">
        <v>81</v>
      </c>
      <c r="AA60" s="3" t="s">
        <v>81</v>
      </c>
      <c r="AB60" s="3">
        <v>16.757999999999999</v>
      </c>
      <c r="AC60" s="3">
        <v>0</v>
      </c>
      <c r="AD60" s="3" t="s">
        <v>81</v>
      </c>
      <c r="AE60" s="3" t="s">
        <v>81</v>
      </c>
      <c r="AF60" s="3" t="s">
        <v>81</v>
      </c>
      <c r="AG60" s="3" t="s">
        <v>81</v>
      </c>
      <c r="AH60" s="3" t="s">
        <v>81</v>
      </c>
      <c r="AI60" s="3" t="s">
        <v>81</v>
      </c>
      <c r="AJ60" s="3" t="s">
        <v>81</v>
      </c>
      <c r="AK60" s="3" t="s">
        <v>81</v>
      </c>
      <c r="AL60" s="3" t="s">
        <v>81</v>
      </c>
      <c r="AM60" s="3">
        <v>15.083</v>
      </c>
      <c r="AN60" s="3">
        <v>0</v>
      </c>
      <c r="AO60" s="3" t="s">
        <v>81</v>
      </c>
      <c r="AP60" s="3" t="s">
        <v>81</v>
      </c>
      <c r="AQ60" s="3" t="s">
        <v>81</v>
      </c>
      <c r="AR60" s="3" t="s">
        <v>81</v>
      </c>
      <c r="AS60" s="3" t="s">
        <v>81</v>
      </c>
      <c r="AT60" s="3" t="s">
        <v>81</v>
      </c>
      <c r="AU60" s="3" t="s">
        <v>81</v>
      </c>
      <c r="AV60" s="3" t="s">
        <v>81</v>
      </c>
      <c r="AW60" s="3" t="s">
        <v>81</v>
      </c>
      <c r="AX60" s="3">
        <v>15.827</v>
      </c>
      <c r="AY60" s="3">
        <v>0</v>
      </c>
      <c r="AZ60" s="3" t="s">
        <v>81</v>
      </c>
      <c r="BA60" s="3" t="s">
        <v>81</v>
      </c>
      <c r="BB60" s="3" t="s">
        <v>81</v>
      </c>
      <c r="BC60" s="3" t="s">
        <v>81</v>
      </c>
      <c r="BD60" s="3" t="s">
        <v>81</v>
      </c>
      <c r="BE60" s="3" t="s">
        <v>81</v>
      </c>
      <c r="BF60" s="3" t="s">
        <v>81</v>
      </c>
      <c r="BG60" s="3" t="s">
        <v>81</v>
      </c>
      <c r="BH60" s="3" t="s">
        <v>81</v>
      </c>
      <c r="BI60" s="3" t="s">
        <v>84</v>
      </c>
      <c r="BJ60" s="3" t="s">
        <v>82</v>
      </c>
      <c r="BK60" s="3" t="s">
        <v>83</v>
      </c>
      <c r="BL60" s="3" t="s">
        <v>84</v>
      </c>
      <c r="BM60" s="3" t="s">
        <v>84</v>
      </c>
      <c r="BN60" s="3" t="s">
        <v>84</v>
      </c>
      <c r="BO60" s="3" t="s">
        <v>83</v>
      </c>
      <c r="BP60" s="3" t="s">
        <v>85</v>
      </c>
      <c r="BQ60" s="3" t="s">
        <v>85</v>
      </c>
      <c r="BR60" s="3" t="s">
        <v>85</v>
      </c>
      <c r="BS60" s="3" t="s">
        <v>85</v>
      </c>
      <c r="BT60" s="3" t="s">
        <v>85</v>
      </c>
      <c r="BU60" s="3" t="s">
        <v>81</v>
      </c>
      <c r="BV60" s="3" t="s">
        <v>84</v>
      </c>
      <c r="BW60" s="3" t="s">
        <v>83</v>
      </c>
      <c r="BX60" s="3" t="s">
        <v>82</v>
      </c>
      <c r="BY60" s="3" t="s">
        <v>228</v>
      </c>
      <c r="BZ60" s="3" t="s">
        <v>86</v>
      </c>
      <c r="CB60" s="3" t="s">
        <v>84</v>
      </c>
      <c r="CD60" s="9">
        <v>4</v>
      </c>
      <c r="CE60" s="9">
        <v>3</v>
      </c>
      <c r="CF60" s="19">
        <v>4</v>
      </c>
      <c r="CG60" s="18"/>
      <c r="CH60" s="18"/>
      <c r="CI60" s="18"/>
    </row>
    <row r="61" spans="1:87" x14ac:dyDescent="0.15">
      <c r="A61" s="3">
        <v>2625856795</v>
      </c>
      <c r="B61" s="9" t="s">
        <v>222</v>
      </c>
      <c r="C61" s="9" t="s">
        <v>222</v>
      </c>
      <c r="D61" s="3" t="s">
        <v>81</v>
      </c>
      <c r="E61" s="3">
        <v>7</v>
      </c>
      <c r="F61" s="3">
        <v>24.914999999999999</v>
      </c>
      <c r="G61" s="3">
        <v>0</v>
      </c>
      <c r="H61" s="3" t="s">
        <v>81</v>
      </c>
      <c r="I61" s="3" t="s">
        <v>81</v>
      </c>
      <c r="J61" s="3" t="s">
        <v>81</v>
      </c>
      <c r="K61" s="3" t="s">
        <v>81</v>
      </c>
      <c r="L61" s="3" t="s">
        <v>81</v>
      </c>
      <c r="M61" s="3" t="s">
        <v>81</v>
      </c>
      <c r="N61" s="3" t="s">
        <v>81</v>
      </c>
      <c r="O61" s="3" t="s">
        <v>81</v>
      </c>
      <c r="P61" s="3" t="s">
        <v>81</v>
      </c>
      <c r="Q61" s="3">
        <v>25.132000000000001</v>
      </c>
      <c r="R61" s="3">
        <v>0</v>
      </c>
      <c r="S61" s="3" t="s">
        <v>81</v>
      </c>
      <c r="T61" s="3" t="s">
        <v>81</v>
      </c>
      <c r="U61" s="3" t="s">
        <v>81</v>
      </c>
      <c r="V61" s="3" t="s">
        <v>81</v>
      </c>
      <c r="W61" s="3" t="s">
        <v>81</v>
      </c>
      <c r="X61" s="3" t="s">
        <v>81</v>
      </c>
      <c r="Y61" s="3" t="s">
        <v>81</v>
      </c>
      <c r="Z61" s="3" t="s">
        <v>81</v>
      </c>
      <c r="AA61" s="3" t="s">
        <v>81</v>
      </c>
      <c r="AB61" s="3">
        <v>25.152999999999999</v>
      </c>
      <c r="AC61" s="3">
        <v>0</v>
      </c>
      <c r="AD61" s="3" t="s">
        <v>81</v>
      </c>
      <c r="AE61" s="3" t="s">
        <v>81</v>
      </c>
      <c r="AF61" s="3" t="s">
        <v>81</v>
      </c>
      <c r="AG61" s="3" t="s">
        <v>81</v>
      </c>
      <c r="AH61" s="3" t="s">
        <v>81</v>
      </c>
      <c r="AI61" s="3" t="s">
        <v>81</v>
      </c>
      <c r="AJ61" s="3" t="s">
        <v>81</v>
      </c>
      <c r="AK61" s="3" t="s">
        <v>81</v>
      </c>
      <c r="AL61" s="3" t="s">
        <v>81</v>
      </c>
      <c r="AM61" s="3">
        <v>25.408999999999999</v>
      </c>
      <c r="AN61" s="3">
        <v>0</v>
      </c>
      <c r="AO61" s="3" t="s">
        <v>81</v>
      </c>
      <c r="AP61" s="3" t="s">
        <v>81</v>
      </c>
      <c r="AQ61" s="3" t="s">
        <v>81</v>
      </c>
      <c r="AR61" s="3" t="s">
        <v>81</v>
      </c>
      <c r="AS61" s="3" t="s">
        <v>81</v>
      </c>
      <c r="AT61" s="3" t="s">
        <v>81</v>
      </c>
      <c r="AU61" s="3" t="s">
        <v>81</v>
      </c>
      <c r="AV61" s="3" t="s">
        <v>81</v>
      </c>
      <c r="AW61" s="3" t="s">
        <v>81</v>
      </c>
      <c r="AX61" s="3">
        <v>23.277999999999999</v>
      </c>
      <c r="AY61" s="3">
        <v>0</v>
      </c>
      <c r="AZ61" s="3" t="s">
        <v>81</v>
      </c>
      <c r="BA61" s="3" t="s">
        <v>81</v>
      </c>
      <c r="BB61" s="3" t="s">
        <v>81</v>
      </c>
      <c r="BC61" s="3" t="s">
        <v>81</v>
      </c>
      <c r="BD61" s="3" t="s">
        <v>81</v>
      </c>
      <c r="BE61" s="3" t="s">
        <v>81</v>
      </c>
      <c r="BF61" s="3" t="s">
        <v>81</v>
      </c>
      <c r="BG61" s="3" t="s">
        <v>81</v>
      </c>
      <c r="BH61" s="3" t="s">
        <v>81</v>
      </c>
      <c r="BI61" s="3" t="s">
        <v>84</v>
      </c>
      <c r="BJ61" s="3" t="s">
        <v>82</v>
      </c>
      <c r="BK61" s="3" t="s">
        <v>83</v>
      </c>
      <c r="BL61" s="3" t="s">
        <v>84</v>
      </c>
      <c r="BM61" s="3" t="s">
        <v>84</v>
      </c>
      <c r="BN61" s="3" t="s">
        <v>84</v>
      </c>
      <c r="BO61" s="3" t="s">
        <v>84</v>
      </c>
      <c r="BP61" s="3" t="s">
        <v>81</v>
      </c>
      <c r="BQ61" s="3" t="s">
        <v>81</v>
      </c>
      <c r="BR61" s="3" t="s">
        <v>81</v>
      </c>
      <c r="BS61" s="3" t="s">
        <v>81</v>
      </c>
      <c r="BT61" s="3" t="s">
        <v>81</v>
      </c>
      <c r="BU61" s="3" t="s">
        <v>81</v>
      </c>
      <c r="BV61" s="3" t="s">
        <v>82</v>
      </c>
      <c r="BW61" s="3" t="s">
        <v>91</v>
      </c>
      <c r="BX61" s="3" t="s">
        <v>82</v>
      </c>
      <c r="BY61" s="3" t="s">
        <v>190</v>
      </c>
      <c r="BZ61" s="3" t="s">
        <v>86</v>
      </c>
      <c r="CB61" s="3" t="s">
        <v>84</v>
      </c>
      <c r="CD61" s="9">
        <v>7</v>
      </c>
      <c r="CE61" s="9"/>
      <c r="CF61" s="19"/>
      <c r="CG61" s="18"/>
      <c r="CH61" s="18"/>
      <c r="CI61" s="18"/>
    </row>
    <row r="62" spans="1:87" x14ac:dyDescent="0.15">
      <c r="A62" s="3">
        <v>1847924803</v>
      </c>
      <c r="B62" s="3" t="s">
        <v>222</v>
      </c>
      <c r="C62" s="3" t="s">
        <v>222</v>
      </c>
      <c r="D62" s="3">
        <v>2</v>
      </c>
      <c r="E62" s="3">
        <v>2</v>
      </c>
      <c r="F62" s="3">
        <v>45.389000000000003</v>
      </c>
      <c r="G62" s="3">
        <v>0</v>
      </c>
      <c r="H62" s="3" t="s">
        <v>81</v>
      </c>
      <c r="I62" s="3" t="s">
        <v>81</v>
      </c>
      <c r="J62" s="3" t="s">
        <v>81</v>
      </c>
      <c r="K62" s="3" t="s">
        <v>81</v>
      </c>
      <c r="L62" s="3" t="s">
        <v>81</v>
      </c>
      <c r="M62" s="3" t="s">
        <v>81</v>
      </c>
      <c r="N62" s="3" t="s">
        <v>81</v>
      </c>
      <c r="O62" s="3" t="s">
        <v>81</v>
      </c>
      <c r="P62" s="3" t="s">
        <v>81</v>
      </c>
      <c r="Q62" s="3">
        <v>51.430999999999997</v>
      </c>
      <c r="R62" s="3">
        <v>0</v>
      </c>
      <c r="S62" s="3" t="s">
        <v>81</v>
      </c>
      <c r="T62" s="3" t="s">
        <v>81</v>
      </c>
      <c r="U62" s="3" t="s">
        <v>81</v>
      </c>
      <c r="V62" s="3" t="s">
        <v>81</v>
      </c>
      <c r="W62" s="3" t="s">
        <v>81</v>
      </c>
      <c r="X62" s="3" t="s">
        <v>81</v>
      </c>
      <c r="Y62" s="3" t="s">
        <v>81</v>
      </c>
      <c r="Z62" s="3" t="s">
        <v>81</v>
      </c>
      <c r="AA62" s="3" t="s">
        <v>81</v>
      </c>
      <c r="AB62" s="3" t="s">
        <v>81</v>
      </c>
      <c r="AC62" s="3" t="s">
        <v>81</v>
      </c>
      <c r="AD62" s="3" t="s">
        <v>81</v>
      </c>
      <c r="AE62" s="3" t="s">
        <v>81</v>
      </c>
      <c r="AF62" s="3" t="s">
        <v>81</v>
      </c>
      <c r="AG62" s="3" t="s">
        <v>81</v>
      </c>
      <c r="AH62" s="3" t="s">
        <v>81</v>
      </c>
      <c r="AI62" s="3" t="s">
        <v>81</v>
      </c>
      <c r="AJ62" s="3" t="s">
        <v>81</v>
      </c>
      <c r="AK62" s="3" t="s">
        <v>81</v>
      </c>
      <c r="AL62" s="3" t="s">
        <v>81</v>
      </c>
      <c r="AM62" s="3" t="s">
        <v>81</v>
      </c>
      <c r="AN62" s="3" t="s">
        <v>81</v>
      </c>
      <c r="AO62" s="3" t="s">
        <v>81</v>
      </c>
      <c r="AP62" s="3" t="s">
        <v>81</v>
      </c>
      <c r="AQ62" s="3" t="s">
        <v>81</v>
      </c>
      <c r="AR62" s="3" t="s">
        <v>81</v>
      </c>
      <c r="AS62" s="3" t="s">
        <v>81</v>
      </c>
      <c r="AT62" s="3" t="s">
        <v>81</v>
      </c>
      <c r="AU62" s="3" t="s">
        <v>81</v>
      </c>
      <c r="AV62" s="3" t="s">
        <v>81</v>
      </c>
      <c r="AW62" s="3" t="s">
        <v>81</v>
      </c>
      <c r="AX62" s="3" t="s">
        <v>81</v>
      </c>
      <c r="AY62" s="3" t="s">
        <v>81</v>
      </c>
      <c r="AZ62" s="3" t="s">
        <v>81</v>
      </c>
      <c r="BA62" s="3" t="s">
        <v>81</v>
      </c>
      <c r="BB62" s="3" t="s">
        <v>81</v>
      </c>
      <c r="BC62" s="3" t="s">
        <v>81</v>
      </c>
      <c r="BD62" s="3" t="s">
        <v>81</v>
      </c>
      <c r="BE62" s="3" t="s">
        <v>81</v>
      </c>
      <c r="BF62" s="3" t="s">
        <v>81</v>
      </c>
      <c r="BG62" s="3" t="s">
        <v>81</v>
      </c>
      <c r="BH62" s="3" t="s">
        <v>81</v>
      </c>
      <c r="BI62" s="3" t="s">
        <v>82</v>
      </c>
      <c r="BJ62" s="3" t="s">
        <v>84</v>
      </c>
      <c r="BK62" s="3" t="s">
        <v>83</v>
      </c>
      <c r="BL62" s="3" t="s">
        <v>84</v>
      </c>
      <c r="BM62" s="3" t="s">
        <v>84</v>
      </c>
      <c r="BN62" s="3" t="s">
        <v>84</v>
      </c>
      <c r="BO62" s="3" t="s">
        <v>84</v>
      </c>
      <c r="BP62" s="3" t="s">
        <v>224</v>
      </c>
      <c r="BQ62" s="3" t="s">
        <v>224</v>
      </c>
      <c r="BR62" s="3" t="s">
        <v>225</v>
      </c>
      <c r="BS62" s="3" t="s">
        <v>226</v>
      </c>
      <c r="BT62" s="3" t="s">
        <v>85</v>
      </c>
      <c r="BU62" s="3" t="s">
        <v>98</v>
      </c>
      <c r="BV62" s="3" t="s">
        <v>84</v>
      </c>
      <c r="BW62" s="3" t="s">
        <v>83</v>
      </c>
      <c r="BX62" s="3" t="s">
        <v>82</v>
      </c>
      <c r="BY62" s="3" t="s">
        <v>227</v>
      </c>
      <c r="BZ62" s="3" t="s">
        <v>93</v>
      </c>
      <c r="CB62" s="3" t="s">
        <v>84</v>
      </c>
      <c r="CD62" s="9">
        <v>2</v>
      </c>
      <c r="CE62" s="9">
        <v>2</v>
      </c>
      <c r="CF62" s="19"/>
      <c r="CG62" s="18"/>
      <c r="CH62" s="18"/>
      <c r="CI62" s="18"/>
    </row>
    <row r="63" spans="1:87" x14ac:dyDescent="0.15">
      <c r="A63" s="3">
        <v>1847938312</v>
      </c>
      <c r="B63" s="3" t="s">
        <v>235</v>
      </c>
      <c r="C63" s="3" t="s">
        <v>235</v>
      </c>
      <c r="D63" s="3" t="s">
        <v>81</v>
      </c>
      <c r="E63" s="3">
        <v>7</v>
      </c>
      <c r="F63" s="3" t="s">
        <v>81</v>
      </c>
      <c r="G63" s="3">
        <v>3</v>
      </c>
      <c r="H63" s="3">
        <v>182.535</v>
      </c>
      <c r="I63" s="3">
        <v>59.835999999999999</v>
      </c>
      <c r="J63" s="3">
        <v>87.554000000000002</v>
      </c>
      <c r="K63" s="3">
        <v>46.447000000000003</v>
      </c>
      <c r="L63" s="3">
        <v>39.197000000000003</v>
      </c>
      <c r="M63" s="3">
        <v>31.788</v>
      </c>
      <c r="N63" s="3" t="s">
        <v>81</v>
      </c>
      <c r="O63" s="3" t="s">
        <v>81</v>
      </c>
      <c r="P63" s="3" t="s">
        <v>81</v>
      </c>
      <c r="Q63" s="3">
        <v>268.20699999999999</v>
      </c>
      <c r="R63" s="3">
        <v>2</v>
      </c>
      <c r="S63" s="3">
        <v>178.05600000000001</v>
      </c>
      <c r="T63" s="3">
        <v>59.067</v>
      </c>
      <c r="U63" s="3">
        <v>85.135999999999996</v>
      </c>
      <c r="V63" s="3">
        <v>52.247</v>
      </c>
      <c r="W63" s="3">
        <v>2.1419999999999999</v>
      </c>
      <c r="X63" s="3" t="s">
        <v>81</v>
      </c>
      <c r="Y63" s="3" t="s">
        <v>81</v>
      </c>
      <c r="Z63" s="3" t="s">
        <v>81</v>
      </c>
      <c r="AA63" s="3" t="s">
        <v>81</v>
      </c>
      <c r="AB63" s="3">
        <v>314.45800000000003</v>
      </c>
      <c r="AC63" s="3">
        <v>3</v>
      </c>
      <c r="AD63" s="3">
        <v>181.06399999999999</v>
      </c>
      <c r="AE63" s="3" t="s">
        <v>81</v>
      </c>
      <c r="AF63" s="3">
        <v>86.688000000000002</v>
      </c>
      <c r="AG63" s="3">
        <v>62.91</v>
      </c>
      <c r="AH63" s="3">
        <v>44.975999999999999</v>
      </c>
      <c r="AI63" s="3">
        <v>29.766999999999999</v>
      </c>
      <c r="AJ63" s="3">
        <v>5.4850000000000003</v>
      </c>
      <c r="AK63" s="3" t="s">
        <v>81</v>
      </c>
      <c r="AL63" s="3" t="s">
        <v>81</v>
      </c>
      <c r="AM63" s="3">
        <v>352.48399999999998</v>
      </c>
      <c r="AN63" s="3">
        <v>3</v>
      </c>
      <c r="AO63" s="3">
        <v>190.57300000000001</v>
      </c>
      <c r="AP63" s="3" t="s">
        <v>81</v>
      </c>
      <c r="AQ63" s="3">
        <v>88.938999999999993</v>
      </c>
      <c r="AR63" s="3" t="s">
        <v>81</v>
      </c>
      <c r="AS63" s="3">
        <v>46.761000000000003</v>
      </c>
      <c r="AT63" s="3">
        <v>41.697000000000003</v>
      </c>
      <c r="AU63" s="3">
        <v>21.122</v>
      </c>
      <c r="AV63" s="3" t="s">
        <v>81</v>
      </c>
      <c r="AW63" s="3" t="s">
        <v>81</v>
      </c>
      <c r="AX63" s="3" t="s">
        <v>81</v>
      </c>
      <c r="AY63" s="3" t="s">
        <v>81</v>
      </c>
      <c r="AZ63" s="3" t="s">
        <v>81</v>
      </c>
      <c r="BA63" s="3" t="s">
        <v>81</v>
      </c>
      <c r="BB63" s="3" t="s">
        <v>81</v>
      </c>
      <c r="BC63" s="3" t="s">
        <v>81</v>
      </c>
      <c r="BD63" s="3" t="s">
        <v>81</v>
      </c>
      <c r="BE63" s="3" t="s">
        <v>81</v>
      </c>
      <c r="BF63" s="3" t="s">
        <v>81</v>
      </c>
      <c r="BG63" s="3" t="s">
        <v>81</v>
      </c>
      <c r="BH63" s="3" t="s">
        <v>81</v>
      </c>
      <c r="BI63" s="3" t="s">
        <v>84</v>
      </c>
      <c r="BJ63" s="3" t="s">
        <v>84</v>
      </c>
      <c r="BK63" s="3" t="s">
        <v>82</v>
      </c>
      <c r="BL63" s="3" t="s">
        <v>84</v>
      </c>
      <c r="BM63" s="3" t="s">
        <v>84</v>
      </c>
      <c r="BN63" s="3" t="s">
        <v>82</v>
      </c>
      <c r="BO63" s="3" t="s">
        <v>84</v>
      </c>
      <c r="BP63" s="3" t="s">
        <v>133</v>
      </c>
      <c r="BQ63" s="3" t="s">
        <v>133</v>
      </c>
      <c r="BR63" s="3" t="s">
        <v>133</v>
      </c>
      <c r="BS63" s="3" t="s">
        <v>236</v>
      </c>
      <c r="BT63" s="3" t="s">
        <v>87</v>
      </c>
      <c r="BU63" s="3" t="s">
        <v>129</v>
      </c>
      <c r="BV63" s="3" t="s">
        <v>82</v>
      </c>
      <c r="BW63" s="3" t="s">
        <v>111</v>
      </c>
      <c r="BX63" s="3" t="s">
        <v>82</v>
      </c>
      <c r="BY63" s="3" t="s">
        <v>237</v>
      </c>
      <c r="BZ63" s="3" t="s">
        <v>93</v>
      </c>
      <c r="CA63" s="3"/>
      <c r="CB63" s="3" t="s">
        <v>84</v>
      </c>
      <c r="CC63" s="3"/>
      <c r="CD63" s="9">
        <v>3</v>
      </c>
      <c r="CE63" s="9">
        <v>3</v>
      </c>
      <c r="CF63" s="19">
        <v>3</v>
      </c>
      <c r="CG63" s="17"/>
      <c r="CH63" s="17"/>
      <c r="CI63" s="18"/>
    </row>
    <row r="64" spans="1:87" x14ac:dyDescent="0.15">
      <c r="A64" s="3">
        <v>2625839930</v>
      </c>
      <c r="B64" s="3" t="s">
        <v>235</v>
      </c>
      <c r="C64" s="3" t="s">
        <v>235</v>
      </c>
      <c r="D64" s="3">
        <v>7</v>
      </c>
      <c r="E64" s="3">
        <v>12</v>
      </c>
      <c r="F64" s="3">
        <v>68.935000000000002</v>
      </c>
      <c r="G64" s="3">
        <v>2</v>
      </c>
      <c r="H64" s="3">
        <v>59.875999999999998</v>
      </c>
      <c r="I64" s="3">
        <v>31.952000000000002</v>
      </c>
      <c r="J64" s="3">
        <v>7.891</v>
      </c>
      <c r="K64" s="3">
        <v>12.821999999999999</v>
      </c>
      <c r="L64" s="3">
        <v>0.17699999999999999</v>
      </c>
      <c r="M64" s="3" t="s">
        <v>81</v>
      </c>
      <c r="N64" s="3" t="s">
        <v>81</v>
      </c>
      <c r="O64" s="3" t="s">
        <v>81</v>
      </c>
      <c r="P64" s="3" t="s">
        <v>81</v>
      </c>
      <c r="Q64" s="3">
        <v>65.468000000000004</v>
      </c>
      <c r="R64" s="3">
        <v>2</v>
      </c>
      <c r="S64" s="3">
        <v>51.585000000000001</v>
      </c>
      <c r="T64" s="3">
        <v>40.512</v>
      </c>
      <c r="U64" s="3">
        <v>13.124000000000001</v>
      </c>
      <c r="V64" s="3">
        <v>17.462</v>
      </c>
      <c r="W64" s="3">
        <v>0.314</v>
      </c>
      <c r="X64" s="3" t="s">
        <v>81</v>
      </c>
      <c r="Y64" s="3" t="s">
        <v>81</v>
      </c>
      <c r="Z64" s="3" t="s">
        <v>81</v>
      </c>
      <c r="AA64" s="3" t="s">
        <v>81</v>
      </c>
      <c r="AB64" s="3">
        <v>61.447000000000003</v>
      </c>
      <c r="AC64" s="3">
        <v>2</v>
      </c>
      <c r="AD64" s="3">
        <v>48.073</v>
      </c>
      <c r="AE64" s="3">
        <v>35.609000000000002</v>
      </c>
      <c r="AF64" s="3">
        <v>9.5549999999999997</v>
      </c>
      <c r="AG64" s="3">
        <v>15.38</v>
      </c>
      <c r="AH64" s="3">
        <v>0.81299999999999994</v>
      </c>
      <c r="AI64" s="3" t="s">
        <v>81</v>
      </c>
      <c r="AJ64" s="3" t="s">
        <v>81</v>
      </c>
      <c r="AK64" s="3" t="s">
        <v>81</v>
      </c>
      <c r="AL64" s="3" t="s">
        <v>81</v>
      </c>
      <c r="AM64" s="3">
        <v>63.39</v>
      </c>
      <c r="AN64" s="3">
        <v>2</v>
      </c>
      <c r="AO64" s="3">
        <v>54.01</v>
      </c>
      <c r="AP64" s="3">
        <v>34.911000000000001</v>
      </c>
      <c r="AQ64" s="3">
        <v>8.09</v>
      </c>
      <c r="AR64" s="3">
        <v>17.215</v>
      </c>
      <c r="AS64" s="3">
        <v>0.246</v>
      </c>
      <c r="AT64" s="3" t="s">
        <v>81</v>
      </c>
      <c r="AU64" s="3" t="s">
        <v>81</v>
      </c>
      <c r="AV64" s="3" t="s">
        <v>81</v>
      </c>
      <c r="AW64" s="3" t="s">
        <v>81</v>
      </c>
      <c r="AX64" s="3">
        <v>58.787999999999997</v>
      </c>
      <c r="AY64" s="3">
        <v>2</v>
      </c>
      <c r="AZ64" s="3">
        <v>49.255000000000003</v>
      </c>
      <c r="BA64" s="3">
        <v>32.470999999999997</v>
      </c>
      <c r="BB64" s="3">
        <v>7.9089999999999998</v>
      </c>
      <c r="BC64" s="3">
        <v>11.076000000000001</v>
      </c>
      <c r="BD64" s="3">
        <v>0.19700000000000001</v>
      </c>
      <c r="BE64" s="3" t="s">
        <v>81</v>
      </c>
      <c r="BF64" s="3" t="s">
        <v>81</v>
      </c>
      <c r="BG64" s="3" t="s">
        <v>81</v>
      </c>
      <c r="BH64" s="3" t="s">
        <v>81</v>
      </c>
      <c r="BI64" s="3" t="s">
        <v>84</v>
      </c>
      <c r="BJ64" s="3" t="s">
        <v>82</v>
      </c>
      <c r="BK64" s="3" t="s">
        <v>83</v>
      </c>
      <c r="BL64" s="3" t="s">
        <v>84</v>
      </c>
      <c r="BM64" s="3" t="s">
        <v>82</v>
      </c>
      <c r="BN64" s="3" t="s">
        <v>82</v>
      </c>
      <c r="BO64" s="3" t="s">
        <v>83</v>
      </c>
      <c r="BP64" s="3" t="s">
        <v>238</v>
      </c>
      <c r="BQ64" s="3" t="s">
        <v>238</v>
      </c>
      <c r="BR64" s="3" t="s">
        <v>238</v>
      </c>
      <c r="BS64" s="3" t="s">
        <v>238</v>
      </c>
      <c r="BT64" s="3" t="s">
        <v>87</v>
      </c>
      <c r="BU64" s="3" t="s">
        <v>129</v>
      </c>
      <c r="BV64" s="3" t="s">
        <v>83</v>
      </c>
      <c r="BW64" s="3" t="s">
        <v>83</v>
      </c>
      <c r="BX64" s="3" t="s">
        <v>83</v>
      </c>
      <c r="BZ64" s="3" t="s">
        <v>86</v>
      </c>
      <c r="CB64" s="3" t="s">
        <v>84</v>
      </c>
      <c r="CD64" s="9">
        <v>24</v>
      </c>
      <c r="CE64" s="9">
        <v>14</v>
      </c>
      <c r="CF64" s="19"/>
      <c r="CG64" s="18"/>
      <c r="CH64" s="18"/>
      <c r="CI64" s="18"/>
    </row>
    <row r="65" spans="1:87" x14ac:dyDescent="0.15">
      <c r="A65" s="3">
        <v>2643333808</v>
      </c>
      <c r="B65" s="3" t="s">
        <v>235</v>
      </c>
      <c r="C65" s="3" t="s">
        <v>235</v>
      </c>
      <c r="D65" s="3">
        <v>7</v>
      </c>
      <c r="E65" s="3">
        <v>10</v>
      </c>
      <c r="F65" s="3">
        <v>89.534000000000006</v>
      </c>
      <c r="G65" s="3">
        <v>2</v>
      </c>
      <c r="H65" s="3">
        <v>48.908000000000001</v>
      </c>
      <c r="I65" s="3">
        <v>19.497</v>
      </c>
      <c r="J65" s="3">
        <v>30.303000000000001</v>
      </c>
      <c r="K65" s="3">
        <v>10.632</v>
      </c>
      <c r="L65" s="3">
        <v>8.9160000000000004</v>
      </c>
      <c r="M65" s="3" t="s">
        <v>81</v>
      </c>
      <c r="N65" s="3" t="s">
        <v>81</v>
      </c>
      <c r="O65" s="3" t="s">
        <v>81</v>
      </c>
      <c r="P65" s="3" t="s">
        <v>81</v>
      </c>
      <c r="Q65" s="3">
        <v>97.421000000000006</v>
      </c>
      <c r="R65" s="3">
        <v>3</v>
      </c>
      <c r="S65" s="3">
        <v>49.704000000000001</v>
      </c>
      <c r="T65" s="3">
        <v>21.184000000000001</v>
      </c>
      <c r="U65" s="3">
        <v>40.606999999999999</v>
      </c>
      <c r="V65" s="3">
        <v>13.035</v>
      </c>
      <c r="W65" s="3">
        <v>5.5629999999999997</v>
      </c>
      <c r="X65" s="3">
        <v>5.32</v>
      </c>
      <c r="Y65" s="3">
        <v>0.309</v>
      </c>
      <c r="Z65" s="3" t="s">
        <v>81</v>
      </c>
      <c r="AA65" s="3" t="s">
        <v>81</v>
      </c>
      <c r="AB65" s="3">
        <v>96.688000000000002</v>
      </c>
      <c r="AC65" s="3">
        <v>2</v>
      </c>
      <c r="AD65" s="3">
        <v>47.305</v>
      </c>
      <c r="AE65" s="3">
        <v>22.04</v>
      </c>
      <c r="AF65" s="3">
        <v>36.226999999999997</v>
      </c>
      <c r="AG65" s="3">
        <v>11.602</v>
      </c>
      <c r="AH65" s="3">
        <v>11.635</v>
      </c>
      <c r="AI65" s="3" t="s">
        <v>81</v>
      </c>
      <c r="AJ65" s="3" t="s">
        <v>81</v>
      </c>
      <c r="AK65" s="3" t="s">
        <v>81</v>
      </c>
      <c r="AL65" s="3" t="s">
        <v>81</v>
      </c>
      <c r="AM65" s="3">
        <v>91.984999999999999</v>
      </c>
      <c r="AN65" s="3">
        <v>2</v>
      </c>
      <c r="AO65" s="3">
        <v>47.552999999999997</v>
      </c>
      <c r="AP65" s="3">
        <v>18.437000000000001</v>
      </c>
      <c r="AQ65" s="3">
        <v>34.249000000000002</v>
      </c>
      <c r="AR65" s="3">
        <v>15.215</v>
      </c>
      <c r="AS65" s="3">
        <v>8.3620000000000001</v>
      </c>
      <c r="AT65" s="3" t="s">
        <v>81</v>
      </c>
      <c r="AU65" s="3" t="s">
        <v>81</v>
      </c>
      <c r="AV65" s="3" t="s">
        <v>81</v>
      </c>
      <c r="AW65" s="3" t="s">
        <v>81</v>
      </c>
      <c r="AX65" s="3">
        <v>97.033000000000001</v>
      </c>
      <c r="AY65" s="3">
        <v>2</v>
      </c>
      <c r="AZ65" s="3">
        <v>49.036000000000001</v>
      </c>
      <c r="BA65" s="3">
        <v>21.582999999999998</v>
      </c>
      <c r="BB65" s="3">
        <v>35.994999999999997</v>
      </c>
      <c r="BC65" s="3">
        <v>14.699</v>
      </c>
      <c r="BD65" s="3">
        <v>10.039</v>
      </c>
      <c r="BE65" s="3" t="s">
        <v>81</v>
      </c>
      <c r="BF65" s="3" t="s">
        <v>81</v>
      </c>
      <c r="BG65" s="3" t="s">
        <v>81</v>
      </c>
      <c r="BH65" s="3" t="s">
        <v>81</v>
      </c>
      <c r="BI65" s="3" t="s">
        <v>84</v>
      </c>
      <c r="BJ65" s="3" t="s">
        <v>84</v>
      </c>
      <c r="BK65" s="3" t="s">
        <v>82</v>
      </c>
      <c r="BL65" s="3" t="s">
        <v>84</v>
      </c>
      <c r="BM65" s="3" t="s">
        <v>84</v>
      </c>
      <c r="BN65" s="3" t="s">
        <v>82</v>
      </c>
      <c r="BO65" s="3" t="s">
        <v>82</v>
      </c>
      <c r="BP65" s="3" t="s">
        <v>239</v>
      </c>
      <c r="BQ65" s="3" t="s">
        <v>239</v>
      </c>
      <c r="BR65" s="3" t="s">
        <v>239</v>
      </c>
      <c r="BS65" s="3" t="s">
        <v>240</v>
      </c>
      <c r="BT65" s="3" t="s">
        <v>87</v>
      </c>
      <c r="BU65" s="3" t="s">
        <v>81</v>
      </c>
      <c r="BV65" s="3" t="s">
        <v>82</v>
      </c>
      <c r="BW65" s="3" t="s">
        <v>111</v>
      </c>
      <c r="BX65" s="3" t="s">
        <v>82</v>
      </c>
      <c r="BZ65" s="3" t="s">
        <v>86</v>
      </c>
      <c r="CB65" s="3" t="s">
        <v>84</v>
      </c>
      <c r="CD65" s="9">
        <v>30</v>
      </c>
      <c r="CE65" s="9"/>
      <c r="CF65" s="19"/>
      <c r="CG65" s="18"/>
      <c r="CH65" s="18"/>
      <c r="CI65" s="18"/>
    </row>
    <row r="66" spans="1:87" x14ac:dyDescent="0.15">
      <c r="A66" s="3">
        <v>1228474463</v>
      </c>
      <c r="B66" s="3" t="s">
        <v>250</v>
      </c>
      <c r="C66" s="3" t="s">
        <v>250</v>
      </c>
      <c r="D66" s="3" t="s">
        <v>81</v>
      </c>
      <c r="E66" s="3">
        <v>33</v>
      </c>
      <c r="F66" s="3">
        <v>28.876000000000001</v>
      </c>
      <c r="G66" s="3">
        <v>0</v>
      </c>
      <c r="H66" s="3" t="s">
        <v>81</v>
      </c>
      <c r="I66" s="3" t="s">
        <v>81</v>
      </c>
      <c r="J66" s="3" t="s">
        <v>81</v>
      </c>
      <c r="K66" s="3" t="s">
        <v>81</v>
      </c>
      <c r="L66" s="3" t="s">
        <v>81</v>
      </c>
      <c r="M66" s="3" t="s">
        <v>81</v>
      </c>
      <c r="N66" s="3" t="s">
        <v>81</v>
      </c>
      <c r="O66" s="3" t="s">
        <v>81</v>
      </c>
      <c r="P66" s="3" t="s">
        <v>81</v>
      </c>
      <c r="Q66" s="3">
        <v>26.556999999999999</v>
      </c>
      <c r="R66" s="3">
        <v>0</v>
      </c>
      <c r="S66" s="3" t="s">
        <v>81</v>
      </c>
      <c r="T66" s="3" t="s">
        <v>81</v>
      </c>
      <c r="U66" s="3" t="s">
        <v>81</v>
      </c>
      <c r="V66" s="3" t="s">
        <v>81</v>
      </c>
      <c r="W66" s="3" t="s">
        <v>81</v>
      </c>
      <c r="X66" s="3" t="s">
        <v>81</v>
      </c>
      <c r="Y66" s="3" t="s">
        <v>81</v>
      </c>
      <c r="Z66" s="3" t="s">
        <v>81</v>
      </c>
      <c r="AA66" s="3" t="s">
        <v>81</v>
      </c>
      <c r="AB66" s="3">
        <v>33.177999999999997</v>
      </c>
      <c r="AC66" s="3">
        <v>0</v>
      </c>
      <c r="AD66" s="3" t="s">
        <v>81</v>
      </c>
      <c r="AE66" s="3" t="s">
        <v>81</v>
      </c>
      <c r="AF66" s="3" t="s">
        <v>81</v>
      </c>
      <c r="AG66" s="3" t="s">
        <v>81</v>
      </c>
      <c r="AH66" s="3" t="s">
        <v>81</v>
      </c>
      <c r="AI66" s="3" t="s">
        <v>81</v>
      </c>
      <c r="AJ66" s="3" t="s">
        <v>81</v>
      </c>
      <c r="AK66" s="3" t="s">
        <v>81</v>
      </c>
      <c r="AL66" s="3" t="s">
        <v>81</v>
      </c>
      <c r="AM66" s="3">
        <v>28.754999999999999</v>
      </c>
      <c r="AN66" s="3">
        <v>0</v>
      </c>
      <c r="AO66" s="3" t="s">
        <v>81</v>
      </c>
      <c r="AP66" s="3" t="s">
        <v>81</v>
      </c>
      <c r="AQ66" s="3" t="s">
        <v>81</v>
      </c>
      <c r="AR66" s="3" t="s">
        <v>81</v>
      </c>
      <c r="AS66" s="3" t="s">
        <v>81</v>
      </c>
      <c r="AT66" s="3" t="s">
        <v>81</v>
      </c>
      <c r="AU66" s="3" t="s">
        <v>81</v>
      </c>
      <c r="AV66" s="3" t="s">
        <v>81</v>
      </c>
      <c r="AW66" s="3" t="s">
        <v>81</v>
      </c>
      <c r="AX66" s="3">
        <v>26.931000000000001</v>
      </c>
      <c r="AY66" s="3">
        <v>0</v>
      </c>
      <c r="AZ66" s="3" t="s">
        <v>81</v>
      </c>
      <c r="BA66" s="3" t="s">
        <v>81</v>
      </c>
      <c r="BB66" s="3" t="s">
        <v>81</v>
      </c>
      <c r="BC66" s="3" t="s">
        <v>81</v>
      </c>
      <c r="BD66" s="3" t="s">
        <v>81</v>
      </c>
      <c r="BE66" s="3" t="s">
        <v>81</v>
      </c>
      <c r="BF66" s="3" t="s">
        <v>81</v>
      </c>
      <c r="BG66" s="3" t="s">
        <v>81</v>
      </c>
      <c r="BH66" s="3" t="s">
        <v>81</v>
      </c>
      <c r="BI66" s="3" t="s">
        <v>84</v>
      </c>
      <c r="BJ66" s="3" t="s">
        <v>82</v>
      </c>
      <c r="BK66" s="3" t="s">
        <v>83</v>
      </c>
      <c r="BL66" s="3" t="s">
        <v>84</v>
      </c>
      <c r="BM66" s="3" t="s">
        <v>84</v>
      </c>
      <c r="BN66" s="3" t="s">
        <v>84</v>
      </c>
      <c r="BO66" s="3" t="s">
        <v>82</v>
      </c>
      <c r="BP66" s="3" t="s">
        <v>87</v>
      </c>
      <c r="BQ66" s="3" t="s">
        <v>87</v>
      </c>
      <c r="BR66" s="3" t="s">
        <v>87</v>
      </c>
      <c r="BS66" s="3" t="s">
        <v>87</v>
      </c>
      <c r="BT66" s="3" t="s">
        <v>87</v>
      </c>
      <c r="BU66" s="3" t="s">
        <v>81</v>
      </c>
      <c r="BV66" s="3" t="s">
        <v>84</v>
      </c>
      <c r="BW66" s="3" t="s">
        <v>83</v>
      </c>
      <c r="BX66" s="3" t="s">
        <v>82</v>
      </c>
      <c r="BY66" s="3" t="s">
        <v>159</v>
      </c>
      <c r="BZ66" s="3" t="s">
        <v>93</v>
      </c>
      <c r="CB66" s="3" t="s">
        <v>84</v>
      </c>
      <c r="CD66" s="9"/>
      <c r="CE66" s="9"/>
      <c r="CF66" s="19"/>
      <c r="CG66" s="18"/>
      <c r="CH66" s="18"/>
      <c r="CI66" s="18"/>
    </row>
    <row r="67" spans="1:87" x14ac:dyDescent="0.15">
      <c r="A67" s="3">
        <v>2625849416</v>
      </c>
      <c r="B67" s="3" t="s">
        <v>250</v>
      </c>
      <c r="C67" s="3" t="s">
        <v>250</v>
      </c>
      <c r="D67" s="3" t="s">
        <v>81</v>
      </c>
      <c r="E67" s="3">
        <v>62</v>
      </c>
      <c r="F67" s="3">
        <v>30.358000000000001</v>
      </c>
      <c r="G67" s="3">
        <v>0</v>
      </c>
      <c r="H67" s="3" t="s">
        <v>81</v>
      </c>
      <c r="I67" s="3" t="s">
        <v>81</v>
      </c>
      <c r="J67" s="3" t="s">
        <v>81</v>
      </c>
      <c r="K67" s="3" t="s">
        <v>81</v>
      </c>
      <c r="L67" s="3" t="s">
        <v>81</v>
      </c>
      <c r="M67" s="3" t="s">
        <v>81</v>
      </c>
      <c r="N67" s="3" t="s">
        <v>81</v>
      </c>
      <c r="O67" s="3" t="s">
        <v>81</v>
      </c>
      <c r="P67" s="3" t="s">
        <v>81</v>
      </c>
      <c r="Q67" s="3">
        <v>31.202999999999999</v>
      </c>
      <c r="R67" s="3">
        <v>0</v>
      </c>
      <c r="S67" s="3" t="s">
        <v>81</v>
      </c>
      <c r="T67" s="3" t="s">
        <v>81</v>
      </c>
      <c r="U67" s="3" t="s">
        <v>81</v>
      </c>
      <c r="V67" s="3" t="s">
        <v>81</v>
      </c>
      <c r="W67" s="3" t="s">
        <v>81</v>
      </c>
      <c r="X67" s="3" t="s">
        <v>81</v>
      </c>
      <c r="Y67" s="3" t="s">
        <v>81</v>
      </c>
      <c r="Z67" s="3" t="s">
        <v>81</v>
      </c>
      <c r="AA67" s="3" t="s">
        <v>81</v>
      </c>
      <c r="AB67" s="3">
        <v>30.797000000000001</v>
      </c>
      <c r="AC67" s="3">
        <v>0</v>
      </c>
      <c r="AD67" s="3" t="s">
        <v>81</v>
      </c>
      <c r="AE67" s="3" t="s">
        <v>81</v>
      </c>
      <c r="AF67" s="3" t="s">
        <v>81</v>
      </c>
      <c r="AG67" s="3" t="s">
        <v>81</v>
      </c>
      <c r="AH67" s="3" t="s">
        <v>81</v>
      </c>
      <c r="AI67" s="3" t="s">
        <v>81</v>
      </c>
      <c r="AJ67" s="3" t="s">
        <v>81</v>
      </c>
      <c r="AK67" s="3" t="s">
        <v>81</v>
      </c>
      <c r="AL67" s="3" t="s">
        <v>81</v>
      </c>
      <c r="AM67" s="3">
        <v>27.039000000000001</v>
      </c>
      <c r="AN67" s="3">
        <v>0</v>
      </c>
      <c r="AO67" s="3" t="s">
        <v>81</v>
      </c>
      <c r="AP67" s="3" t="s">
        <v>81</v>
      </c>
      <c r="AQ67" s="3" t="s">
        <v>81</v>
      </c>
      <c r="AR67" s="3" t="s">
        <v>81</v>
      </c>
      <c r="AS67" s="3" t="s">
        <v>81</v>
      </c>
      <c r="AT67" s="3" t="s">
        <v>81</v>
      </c>
      <c r="AU67" s="3" t="s">
        <v>81</v>
      </c>
      <c r="AV67" s="3" t="s">
        <v>81</v>
      </c>
      <c r="AW67" s="3" t="s">
        <v>81</v>
      </c>
      <c r="AX67" s="3">
        <v>37.518000000000001</v>
      </c>
      <c r="AY67" s="3">
        <v>0</v>
      </c>
      <c r="AZ67" s="3" t="s">
        <v>81</v>
      </c>
      <c r="BA67" s="3" t="s">
        <v>81</v>
      </c>
      <c r="BB67" s="3" t="s">
        <v>81</v>
      </c>
      <c r="BC67" s="3" t="s">
        <v>81</v>
      </c>
      <c r="BD67" s="3" t="s">
        <v>81</v>
      </c>
      <c r="BE67" s="3" t="s">
        <v>81</v>
      </c>
      <c r="BF67" s="3" t="s">
        <v>81</v>
      </c>
      <c r="BG67" s="3" t="s">
        <v>81</v>
      </c>
      <c r="BH67" s="3" t="s">
        <v>81</v>
      </c>
      <c r="BI67" s="3" t="s">
        <v>84</v>
      </c>
      <c r="BJ67" s="3" t="s">
        <v>82</v>
      </c>
      <c r="BK67" s="3" t="s">
        <v>83</v>
      </c>
      <c r="BL67" s="3" t="s">
        <v>84</v>
      </c>
      <c r="BM67" s="3" t="s">
        <v>84</v>
      </c>
      <c r="BN67" s="3" t="s">
        <v>82</v>
      </c>
      <c r="BO67" s="3" t="s">
        <v>84</v>
      </c>
      <c r="BP67" s="3" t="s">
        <v>87</v>
      </c>
      <c r="BQ67" s="3" t="s">
        <v>87</v>
      </c>
      <c r="BR67" s="3" t="s">
        <v>87</v>
      </c>
      <c r="BS67" s="3" t="s">
        <v>87</v>
      </c>
      <c r="BT67" s="3" t="s">
        <v>87</v>
      </c>
      <c r="BU67" s="3" t="s">
        <v>81</v>
      </c>
      <c r="BV67" s="3" t="s">
        <v>84</v>
      </c>
      <c r="BW67" s="3" t="s">
        <v>83</v>
      </c>
      <c r="BX67" s="3" t="s">
        <v>82</v>
      </c>
      <c r="BY67" s="3" t="s">
        <v>252</v>
      </c>
      <c r="BZ67" s="3" t="s">
        <v>86</v>
      </c>
      <c r="CB67" s="3" t="s">
        <v>84</v>
      </c>
      <c r="CD67" s="9">
        <v>19</v>
      </c>
      <c r="CE67" s="9">
        <v>62</v>
      </c>
      <c r="CF67" s="19">
        <v>17</v>
      </c>
      <c r="CG67" s="19">
        <v>48</v>
      </c>
      <c r="CH67" s="18"/>
      <c r="CI67" s="18"/>
    </row>
    <row r="68" spans="1:87" x14ac:dyDescent="0.15">
      <c r="A68" s="3">
        <v>2625910617</v>
      </c>
      <c r="B68" s="3" t="s">
        <v>250</v>
      </c>
      <c r="C68" s="3" t="s">
        <v>250</v>
      </c>
      <c r="D68" s="3">
        <v>6</v>
      </c>
      <c r="E68" s="3">
        <v>16</v>
      </c>
      <c r="F68" s="3">
        <v>20.175000000000001</v>
      </c>
      <c r="G68" s="3">
        <v>0</v>
      </c>
      <c r="H68" s="3" t="s">
        <v>81</v>
      </c>
      <c r="I68" s="3" t="s">
        <v>81</v>
      </c>
      <c r="J68" s="3" t="s">
        <v>81</v>
      </c>
      <c r="K68" s="3" t="s">
        <v>81</v>
      </c>
      <c r="L68" s="3" t="s">
        <v>81</v>
      </c>
      <c r="M68" s="3" t="s">
        <v>81</v>
      </c>
      <c r="N68" s="3" t="s">
        <v>81</v>
      </c>
      <c r="O68" s="3" t="s">
        <v>81</v>
      </c>
      <c r="P68" s="3" t="s">
        <v>81</v>
      </c>
      <c r="Q68" s="3">
        <v>17.369</v>
      </c>
      <c r="R68" s="3">
        <v>0</v>
      </c>
      <c r="S68" s="3" t="s">
        <v>81</v>
      </c>
      <c r="T68" s="3" t="s">
        <v>81</v>
      </c>
      <c r="U68" s="3" t="s">
        <v>81</v>
      </c>
      <c r="V68" s="3" t="s">
        <v>81</v>
      </c>
      <c r="W68" s="3" t="s">
        <v>81</v>
      </c>
      <c r="X68" s="3" t="s">
        <v>81</v>
      </c>
      <c r="Y68" s="3" t="s">
        <v>81</v>
      </c>
      <c r="Z68" s="3" t="s">
        <v>81</v>
      </c>
      <c r="AA68" s="3" t="s">
        <v>81</v>
      </c>
      <c r="AB68" s="3">
        <v>17.638999999999999</v>
      </c>
      <c r="AC68" s="3">
        <v>0</v>
      </c>
      <c r="AD68" s="3" t="s">
        <v>81</v>
      </c>
      <c r="AE68" s="3" t="s">
        <v>81</v>
      </c>
      <c r="AF68" s="3" t="s">
        <v>81</v>
      </c>
      <c r="AG68" s="3" t="s">
        <v>81</v>
      </c>
      <c r="AH68" s="3" t="s">
        <v>81</v>
      </c>
      <c r="AI68" s="3" t="s">
        <v>81</v>
      </c>
      <c r="AJ68" s="3" t="s">
        <v>81</v>
      </c>
      <c r="AK68" s="3" t="s">
        <v>81</v>
      </c>
      <c r="AL68" s="3" t="s">
        <v>81</v>
      </c>
      <c r="AM68" s="3">
        <v>21.327999999999999</v>
      </c>
      <c r="AN68" s="3">
        <v>0</v>
      </c>
      <c r="AO68" s="3" t="s">
        <v>81</v>
      </c>
      <c r="AP68" s="3" t="s">
        <v>81</v>
      </c>
      <c r="AQ68" s="3" t="s">
        <v>81</v>
      </c>
      <c r="AR68" s="3" t="s">
        <v>81</v>
      </c>
      <c r="AS68" s="3" t="s">
        <v>81</v>
      </c>
      <c r="AT68" s="3" t="s">
        <v>81</v>
      </c>
      <c r="AU68" s="3" t="s">
        <v>81</v>
      </c>
      <c r="AV68" s="3" t="s">
        <v>81</v>
      </c>
      <c r="AW68" s="3" t="s">
        <v>81</v>
      </c>
      <c r="AX68" s="3">
        <v>18.163</v>
      </c>
      <c r="AY68" s="3">
        <v>0</v>
      </c>
      <c r="AZ68" s="3" t="s">
        <v>81</v>
      </c>
      <c r="BA68" s="3" t="s">
        <v>81</v>
      </c>
      <c r="BB68" s="3" t="s">
        <v>81</v>
      </c>
      <c r="BC68" s="3" t="s">
        <v>81</v>
      </c>
      <c r="BD68" s="3" t="s">
        <v>81</v>
      </c>
      <c r="BE68" s="3" t="s">
        <v>81</v>
      </c>
      <c r="BF68" s="3" t="s">
        <v>81</v>
      </c>
      <c r="BG68" s="3" t="s">
        <v>81</v>
      </c>
      <c r="BH68" s="3" t="s">
        <v>81</v>
      </c>
      <c r="BI68" s="3" t="s">
        <v>84</v>
      </c>
      <c r="BJ68" s="3" t="s">
        <v>82</v>
      </c>
      <c r="BK68" s="3" t="s">
        <v>83</v>
      </c>
      <c r="BL68" s="3" t="s">
        <v>84</v>
      </c>
      <c r="BM68" s="3" t="s">
        <v>84</v>
      </c>
      <c r="BN68" s="3" t="s">
        <v>84</v>
      </c>
      <c r="BO68" s="3" t="s">
        <v>82</v>
      </c>
      <c r="BP68" s="3" t="s">
        <v>87</v>
      </c>
      <c r="BQ68" s="3" t="s">
        <v>87</v>
      </c>
      <c r="BR68" s="3" t="s">
        <v>87</v>
      </c>
      <c r="BS68" s="3" t="s">
        <v>87</v>
      </c>
      <c r="BT68" s="3" t="s">
        <v>87</v>
      </c>
      <c r="BU68" s="3" t="s">
        <v>81</v>
      </c>
      <c r="BV68" s="3" t="s">
        <v>84</v>
      </c>
      <c r="BW68" s="3" t="s">
        <v>83</v>
      </c>
      <c r="BX68" s="3" t="s">
        <v>82</v>
      </c>
      <c r="BZ68" s="3" t="s">
        <v>86</v>
      </c>
      <c r="CB68" s="3" t="s">
        <v>84</v>
      </c>
      <c r="CD68" s="9">
        <v>17</v>
      </c>
      <c r="CE68" s="9"/>
      <c r="CF68" s="19"/>
      <c r="CG68" s="18"/>
      <c r="CH68" s="18"/>
      <c r="CI68" s="18"/>
    </row>
    <row r="69" spans="1:87" x14ac:dyDescent="0.15">
      <c r="A69" s="3">
        <v>2625861943</v>
      </c>
      <c r="B69" s="3" t="s">
        <v>250</v>
      </c>
      <c r="C69" s="3" t="s">
        <v>250</v>
      </c>
      <c r="D69" s="3" t="s">
        <v>81</v>
      </c>
      <c r="E69" s="3">
        <v>14</v>
      </c>
      <c r="F69" s="3">
        <v>19.661999999999999</v>
      </c>
      <c r="G69" s="3">
        <v>0</v>
      </c>
      <c r="H69" s="3" t="s">
        <v>81</v>
      </c>
      <c r="I69" s="3" t="s">
        <v>81</v>
      </c>
      <c r="J69" s="3" t="s">
        <v>81</v>
      </c>
      <c r="K69" s="3" t="s">
        <v>81</v>
      </c>
      <c r="L69" s="3" t="s">
        <v>81</v>
      </c>
      <c r="M69" s="3" t="s">
        <v>81</v>
      </c>
      <c r="N69" s="3" t="s">
        <v>81</v>
      </c>
      <c r="O69" s="3" t="s">
        <v>81</v>
      </c>
      <c r="P69" s="3" t="s">
        <v>81</v>
      </c>
      <c r="Q69" s="3">
        <v>17.756</v>
      </c>
      <c r="R69" s="3">
        <v>0</v>
      </c>
      <c r="S69" s="3" t="s">
        <v>81</v>
      </c>
      <c r="T69" s="3" t="s">
        <v>81</v>
      </c>
      <c r="U69" s="3" t="s">
        <v>81</v>
      </c>
      <c r="V69" s="3" t="s">
        <v>81</v>
      </c>
      <c r="W69" s="3" t="s">
        <v>81</v>
      </c>
      <c r="X69" s="3" t="s">
        <v>81</v>
      </c>
      <c r="Y69" s="3" t="s">
        <v>81</v>
      </c>
      <c r="Z69" s="3" t="s">
        <v>81</v>
      </c>
      <c r="AA69" s="3" t="s">
        <v>81</v>
      </c>
      <c r="AB69" s="3">
        <v>19.474</v>
      </c>
      <c r="AC69" s="3">
        <v>0</v>
      </c>
      <c r="AD69" s="3" t="s">
        <v>81</v>
      </c>
      <c r="AE69" s="3" t="s">
        <v>81</v>
      </c>
      <c r="AF69" s="3" t="s">
        <v>81</v>
      </c>
      <c r="AG69" s="3" t="s">
        <v>81</v>
      </c>
      <c r="AH69" s="3" t="s">
        <v>81</v>
      </c>
      <c r="AI69" s="3" t="s">
        <v>81</v>
      </c>
      <c r="AJ69" s="3" t="s">
        <v>81</v>
      </c>
      <c r="AK69" s="3" t="s">
        <v>81</v>
      </c>
      <c r="AL69" s="3" t="s">
        <v>81</v>
      </c>
      <c r="AM69" s="3">
        <v>16.968</v>
      </c>
      <c r="AN69" s="3">
        <v>0</v>
      </c>
      <c r="AO69" s="3" t="s">
        <v>81</v>
      </c>
      <c r="AP69" s="3" t="s">
        <v>81</v>
      </c>
      <c r="AQ69" s="3" t="s">
        <v>81</v>
      </c>
      <c r="AR69" s="3" t="s">
        <v>81</v>
      </c>
      <c r="AS69" s="3" t="s">
        <v>81</v>
      </c>
      <c r="AT69" s="3" t="s">
        <v>81</v>
      </c>
      <c r="AU69" s="3" t="s">
        <v>81</v>
      </c>
      <c r="AV69" s="3" t="s">
        <v>81</v>
      </c>
      <c r="AW69" s="3" t="s">
        <v>81</v>
      </c>
      <c r="AX69" s="3">
        <v>17.286999999999999</v>
      </c>
      <c r="AY69" s="3">
        <v>0</v>
      </c>
      <c r="AZ69" s="3" t="s">
        <v>81</v>
      </c>
      <c r="BA69" s="3" t="s">
        <v>81</v>
      </c>
      <c r="BB69" s="3" t="s">
        <v>81</v>
      </c>
      <c r="BC69" s="3" t="s">
        <v>81</v>
      </c>
      <c r="BD69" s="3" t="s">
        <v>81</v>
      </c>
      <c r="BE69" s="3" t="s">
        <v>81</v>
      </c>
      <c r="BF69" s="3" t="s">
        <v>81</v>
      </c>
      <c r="BG69" s="3" t="s">
        <v>81</v>
      </c>
      <c r="BH69" s="3" t="s">
        <v>81</v>
      </c>
      <c r="BI69" s="3" t="s">
        <v>84</v>
      </c>
      <c r="BJ69" s="3" t="s">
        <v>82</v>
      </c>
      <c r="BK69" s="3" t="s">
        <v>83</v>
      </c>
      <c r="BL69" s="3" t="s">
        <v>84</v>
      </c>
      <c r="BM69" s="3" t="s">
        <v>84</v>
      </c>
      <c r="BN69" s="3" t="s">
        <v>84</v>
      </c>
      <c r="BO69" s="3" t="s">
        <v>82</v>
      </c>
      <c r="BP69" s="3" t="s">
        <v>87</v>
      </c>
      <c r="BQ69" s="3" t="s">
        <v>87</v>
      </c>
      <c r="BR69" s="3" t="s">
        <v>87</v>
      </c>
      <c r="BS69" s="3" t="s">
        <v>87</v>
      </c>
      <c r="BT69" s="3" t="s">
        <v>87</v>
      </c>
      <c r="BU69" s="3" t="s">
        <v>81</v>
      </c>
      <c r="BV69" s="3" t="s">
        <v>84</v>
      </c>
      <c r="BW69" s="3" t="s">
        <v>83</v>
      </c>
      <c r="BX69" s="3" t="s">
        <v>82</v>
      </c>
      <c r="BZ69" s="3" t="s">
        <v>86</v>
      </c>
      <c r="CB69" s="3" t="s">
        <v>84</v>
      </c>
      <c r="CD69" s="9">
        <v>10</v>
      </c>
      <c r="CE69" s="9">
        <v>14</v>
      </c>
      <c r="CF69" s="19"/>
      <c r="CG69" s="18"/>
      <c r="CH69" s="18"/>
      <c r="CI69" s="18"/>
    </row>
    <row r="70" spans="1:87" x14ac:dyDescent="0.15">
      <c r="A70" s="3">
        <v>1228451100</v>
      </c>
      <c r="B70" s="3" t="s">
        <v>250</v>
      </c>
      <c r="C70" s="3" t="s">
        <v>250</v>
      </c>
      <c r="D70" s="3" t="s">
        <v>81</v>
      </c>
      <c r="E70" s="3">
        <v>9</v>
      </c>
      <c r="F70" s="3">
        <v>20.544</v>
      </c>
      <c r="G70" s="3">
        <v>0</v>
      </c>
      <c r="H70" s="3" t="s">
        <v>81</v>
      </c>
      <c r="I70" s="3" t="s">
        <v>81</v>
      </c>
      <c r="J70" s="3" t="s">
        <v>81</v>
      </c>
      <c r="K70" s="3" t="s">
        <v>81</v>
      </c>
      <c r="L70" s="3" t="s">
        <v>81</v>
      </c>
      <c r="M70" s="3" t="s">
        <v>81</v>
      </c>
      <c r="N70" s="3" t="s">
        <v>81</v>
      </c>
      <c r="O70" s="3" t="s">
        <v>81</v>
      </c>
      <c r="P70" s="3" t="s">
        <v>81</v>
      </c>
      <c r="Q70" s="3">
        <v>23.85</v>
      </c>
      <c r="R70" s="3">
        <v>0</v>
      </c>
      <c r="S70" s="3" t="s">
        <v>81</v>
      </c>
      <c r="T70" s="3" t="s">
        <v>81</v>
      </c>
      <c r="U70" s="3" t="s">
        <v>81</v>
      </c>
      <c r="V70" s="3" t="s">
        <v>81</v>
      </c>
      <c r="W70" s="3" t="s">
        <v>81</v>
      </c>
      <c r="X70" s="3" t="s">
        <v>81</v>
      </c>
      <c r="Y70" s="3" t="s">
        <v>81</v>
      </c>
      <c r="Z70" s="3" t="s">
        <v>81</v>
      </c>
      <c r="AA70" s="3" t="s">
        <v>81</v>
      </c>
      <c r="AB70" s="3">
        <v>24.663</v>
      </c>
      <c r="AC70" s="3">
        <v>0</v>
      </c>
      <c r="AD70" s="3" t="s">
        <v>81</v>
      </c>
      <c r="AE70" s="3" t="s">
        <v>81</v>
      </c>
      <c r="AF70" s="3" t="s">
        <v>81</v>
      </c>
      <c r="AG70" s="3" t="s">
        <v>81</v>
      </c>
      <c r="AH70" s="3" t="s">
        <v>81</v>
      </c>
      <c r="AI70" s="3" t="s">
        <v>81</v>
      </c>
      <c r="AJ70" s="3" t="s">
        <v>81</v>
      </c>
      <c r="AK70" s="3" t="s">
        <v>81</v>
      </c>
      <c r="AL70" s="3" t="s">
        <v>81</v>
      </c>
      <c r="AM70" s="3">
        <v>22.672000000000001</v>
      </c>
      <c r="AN70" s="3">
        <v>0</v>
      </c>
      <c r="AO70" s="3" t="s">
        <v>81</v>
      </c>
      <c r="AP70" s="3" t="s">
        <v>81</v>
      </c>
      <c r="AQ70" s="3" t="s">
        <v>81</v>
      </c>
      <c r="AR70" s="3" t="s">
        <v>81</v>
      </c>
      <c r="AS70" s="3" t="s">
        <v>81</v>
      </c>
      <c r="AT70" s="3" t="s">
        <v>81</v>
      </c>
      <c r="AU70" s="3" t="s">
        <v>81</v>
      </c>
      <c r="AV70" s="3" t="s">
        <v>81</v>
      </c>
      <c r="AW70" s="3" t="s">
        <v>81</v>
      </c>
      <c r="AX70" s="3">
        <v>19.050999999999998</v>
      </c>
      <c r="AY70" s="3">
        <v>0</v>
      </c>
      <c r="AZ70" s="3" t="s">
        <v>81</v>
      </c>
      <c r="BA70" s="3" t="s">
        <v>81</v>
      </c>
      <c r="BB70" s="3" t="s">
        <v>81</v>
      </c>
      <c r="BC70" s="3" t="s">
        <v>81</v>
      </c>
      <c r="BD70" s="3" t="s">
        <v>81</v>
      </c>
      <c r="BE70" s="3" t="s">
        <v>81</v>
      </c>
      <c r="BF70" s="3" t="s">
        <v>81</v>
      </c>
      <c r="BG70" s="3" t="s">
        <v>81</v>
      </c>
      <c r="BH70" s="3" t="s">
        <v>81</v>
      </c>
      <c r="BI70" s="3" t="s">
        <v>84</v>
      </c>
      <c r="BJ70" s="3" t="s">
        <v>84</v>
      </c>
      <c r="BK70" s="3" t="s">
        <v>84</v>
      </c>
      <c r="BL70" s="3" t="s">
        <v>84</v>
      </c>
      <c r="BM70" s="3" t="s">
        <v>84</v>
      </c>
      <c r="BN70" s="3" t="s">
        <v>84</v>
      </c>
      <c r="BO70" s="3" t="s">
        <v>82</v>
      </c>
      <c r="BP70" s="3" t="s">
        <v>87</v>
      </c>
      <c r="BQ70" s="3" t="s">
        <v>87</v>
      </c>
      <c r="BR70" s="3" t="s">
        <v>87</v>
      </c>
      <c r="BS70" s="3" t="s">
        <v>87</v>
      </c>
      <c r="BT70" s="3" t="s">
        <v>87</v>
      </c>
      <c r="BU70" s="3" t="s">
        <v>81</v>
      </c>
      <c r="BV70" s="3" t="s">
        <v>84</v>
      </c>
      <c r="BW70" s="3" t="s">
        <v>83</v>
      </c>
      <c r="BX70" s="3" t="s">
        <v>82</v>
      </c>
      <c r="BY70" s="3" t="s">
        <v>251</v>
      </c>
      <c r="BZ70" s="3" t="s">
        <v>93</v>
      </c>
      <c r="CA70" s="3" t="s">
        <v>232</v>
      </c>
      <c r="CB70" s="3" t="s">
        <v>84</v>
      </c>
      <c r="CF70" s="18"/>
      <c r="CG70" s="18"/>
      <c r="CH70" s="18"/>
      <c r="CI70" s="18"/>
    </row>
    <row r="71" spans="1:87" x14ac:dyDescent="0.15">
      <c r="A71" s="3">
        <v>2625869697</v>
      </c>
      <c r="B71" s="3" t="s">
        <v>253</v>
      </c>
      <c r="C71" s="3" t="s">
        <v>253</v>
      </c>
      <c r="D71" s="3">
        <v>4</v>
      </c>
      <c r="E71" s="3">
        <v>7</v>
      </c>
      <c r="F71" s="3">
        <v>239.83199999999999</v>
      </c>
      <c r="G71" s="3">
        <v>4</v>
      </c>
      <c r="H71" s="3">
        <v>93.768000000000001</v>
      </c>
      <c r="I71" s="3" t="s">
        <v>81</v>
      </c>
      <c r="J71" s="3">
        <v>56.177</v>
      </c>
      <c r="K71" s="3" t="s">
        <v>81</v>
      </c>
      <c r="L71" s="3">
        <v>48.442</v>
      </c>
      <c r="M71" s="3">
        <v>20.209</v>
      </c>
      <c r="N71" s="3">
        <v>29.27</v>
      </c>
      <c r="O71" s="3">
        <v>5.1980000000000004</v>
      </c>
      <c r="P71" s="3">
        <v>12.38</v>
      </c>
      <c r="Q71" s="3" t="s">
        <v>81</v>
      </c>
      <c r="R71" s="3">
        <v>4</v>
      </c>
      <c r="S71" s="3">
        <v>113.67</v>
      </c>
      <c r="T71" s="3" t="s">
        <v>81</v>
      </c>
      <c r="U71" s="3">
        <v>60.250999999999998</v>
      </c>
      <c r="V71" s="3" t="s">
        <v>81</v>
      </c>
      <c r="W71" s="3">
        <v>64.459000000000003</v>
      </c>
      <c r="X71" s="3" t="s">
        <v>81</v>
      </c>
      <c r="Y71" s="3">
        <v>64.614999999999995</v>
      </c>
      <c r="Z71" s="3">
        <v>21.687000000000001</v>
      </c>
      <c r="AA71" s="3" t="s">
        <v>81</v>
      </c>
      <c r="AB71" s="3">
        <v>246.43899999999999</v>
      </c>
      <c r="AC71" s="3">
        <v>5</v>
      </c>
      <c r="AD71" s="3">
        <v>92.415999999999997</v>
      </c>
      <c r="AE71" s="3" t="s">
        <v>81</v>
      </c>
      <c r="AF71" s="3">
        <v>55.116999999999997</v>
      </c>
      <c r="AG71" s="3" t="s">
        <v>81</v>
      </c>
      <c r="AH71" s="3">
        <v>55.067</v>
      </c>
      <c r="AI71" s="3">
        <v>25.434999999999999</v>
      </c>
      <c r="AJ71" s="3" t="s">
        <v>81</v>
      </c>
      <c r="AK71" s="3" t="s">
        <v>81</v>
      </c>
      <c r="AL71" s="3" t="s">
        <v>81</v>
      </c>
      <c r="AM71" s="3">
        <v>280.49599999999998</v>
      </c>
      <c r="AN71" s="3">
        <v>5</v>
      </c>
      <c r="AO71" s="3">
        <v>105.682</v>
      </c>
      <c r="AP71" s="3" t="s">
        <v>81</v>
      </c>
      <c r="AQ71" s="3">
        <v>66.254999999999995</v>
      </c>
      <c r="AR71" s="3" t="s">
        <v>81</v>
      </c>
      <c r="AS71" s="3">
        <v>43.442999999999998</v>
      </c>
      <c r="AT71" s="3" t="s">
        <v>81</v>
      </c>
      <c r="AU71" s="3">
        <v>42.009</v>
      </c>
      <c r="AV71" s="3">
        <v>23.274999999999999</v>
      </c>
      <c r="AW71" s="3">
        <v>11.851000000000001</v>
      </c>
      <c r="AX71" s="3">
        <v>287.66199999999998</v>
      </c>
      <c r="AY71" s="3">
        <v>5</v>
      </c>
      <c r="AZ71" s="3">
        <v>92.394000000000005</v>
      </c>
      <c r="BA71" s="3" t="s">
        <v>81</v>
      </c>
      <c r="BB71" s="3">
        <v>72.725999999999999</v>
      </c>
      <c r="BC71" s="3" t="s">
        <v>81</v>
      </c>
      <c r="BD71" s="3">
        <v>59.003999999999998</v>
      </c>
      <c r="BE71" s="3" t="s">
        <v>81</v>
      </c>
      <c r="BF71" s="3">
        <v>44.277000000000001</v>
      </c>
      <c r="BG71" s="3" t="s">
        <v>81</v>
      </c>
      <c r="BH71" s="3">
        <v>9.8490000000000002</v>
      </c>
      <c r="BI71" s="3" t="s">
        <v>84</v>
      </c>
      <c r="BJ71" s="3" t="s">
        <v>82</v>
      </c>
      <c r="BK71" s="3" t="s">
        <v>83</v>
      </c>
      <c r="BL71" s="3" t="s">
        <v>84</v>
      </c>
      <c r="BM71" s="3" t="s">
        <v>84</v>
      </c>
      <c r="BN71" s="3" t="s">
        <v>82</v>
      </c>
      <c r="BO71" s="3" t="s">
        <v>84</v>
      </c>
      <c r="BP71" s="3" t="s">
        <v>254</v>
      </c>
      <c r="BQ71" s="3" t="s">
        <v>254</v>
      </c>
      <c r="BR71" s="3" t="s">
        <v>255</v>
      </c>
      <c r="BS71" s="3" t="s">
        <v>256</v>
      </c>
      <c r="BT71" s="3" t="s">
        <v>106</v>
      </c>
      <c r="BU71" s="3" t="s">
        <v>129</v>
      </c>
      <c r="BV71" s="3" t="s">
        <v>84</v>
      </c>
      <c r="BW71" s="3"/>
      <c r="BX71" s="3" t="s">
        <v>82</v>
      </c>
      <c r="BY71" s="3" t="s">
        <v>257</v>
      </c>
      <c r="BZ71" s="3" t="s">
        <v>86</v>
      </c>
      <c r="CB71" s="3" t="s">
        <v>84</v>
      </c>
      <c r="CD71" s="9">
        <v>27</v>
      </c>
      <c r="CF71" s="18"/>
      <c r="CG71" s="18"/>
      <c r="CH71" s="18"/>
      <c r="CI71" s="17"/>
    </row>
    <row r="72" spans="1:87" x14ac:dyDescent="0.15">
      <c r="A72" s="3">
        <v>2235816960</v>
      </c>
      <c r="B72" s="3" t="s">
        <v>253</v>
      </c>
      <c r="C72" s="3" t="s">
        <v>253</v>
      </c>
      <c r="D72" s="3">
        <v>3</v>
      </c>
      <c r="E72" s="3">
        <v>5</v>
      </c>
      <c r="F72" s="3">
        <v>103.867</v>
      </c>
      <c r="G72" s="3">
        <v>3</v>
      </c>
      <c r="H72" s="3">
        <v>45.281999999999996</v>
      </c>
      <c r="I72" s="3" t="s">
        <v>81</v>
      </c>
      <c r="J72" s="3">
        <v>40.218000000000004</v>
      </c>
      <c r="K72" s="3">
        <v>13.971</v>
      </c>
      <c r="L72" s="3">
        <v>14.487</v>
      </c>
      <c r="M72" s="3">
        <v>3.786</v>
      </c>
      <c r="N72" s="3">
        <v>1.9790000000000001</v>
      </c>
      <c r="O72" s="3" t="s">
        <v>81</v>
      </c>
      <c r="P72" s="3" t="s">
        <v>81</v>
      </c>
      <c r="Q72" s="3">
        <v>81.453999999999994</v>
      </c>
      <c r="R72" s="3">
        <v>3</v>
      </c>
      <c r="S72" s="3">
        <v>30.295999999999999</v>
      </c>
      <c r="T72" s="3">
        <v>15.522</v>
      </c>
      <c r="U72" s="3">
        <v>36.750999999999998</v>
      </c>
      <c r="V72" s="3">
        <v>12.558999999999999</v>
      </c>
      <c r="W72" s="3">
        <v>11.211</v>
      </c>
      <c r="X72" s="3">
        <v>3.7280000000000002</v>
      </c>
      <c r="Y72" s="3">
        <v>1.712</v>
      </c>
      <c r="Z72" s="3" t="s">
        <v>81</v>
      </c>
      <c r="AA72" s="3" t="s">
        <v>81</v>
      </c>
      <c r="AB72" s="3">
        <v>109.40900000000001</v>
      </c>
      <c r="AC72" s="3">
        <v>3</v>
      </c>
      <c r="AD72" s="3">
        <v>49.325000000000003</v>
      </c>
      <c r="AE72" s="3">
        <v>19.530999999999999</v>
      </c>
      <c r="AF72" s="3">
        <v>41.064999999999998</v>
      </c>
      <c r="AG72" s="3">
        <v>15.587999999999999</v>
      </c>
      <c r="AH72" s="3">
        <v>16.126999999999999</v>
      </c>
      <c r="AI72" s="3">
        <v>3.536</v>
      </c>
      <c r="AJ72" s="3">
        <v>1.764</v>
      </c>
      <c r="AK72" s="3" t="s">
        <v>81</v>
      </c>
      <c r="AL72" s="3" t="s">
        <v>81</v>
      </c>
      <c r="AM72" s="3">
        <v>100.30500000000001</v>
      </c>
      <c r="AN72" s="3">
        <v>3</v>
      </c>
      <c r="AO72" s="3">
        <v>41.341999999999999</v>
      </c>
      <c r="AP72" s="3">
        <v>17.664999999999999</v>
      </c>
      <c r="AQ72" s="3">
        <v>38.802</v>
      </c>
      <c r="AR72" s="3">
        <v>16.667000000000002</v>
      </c>
      <c r="AS72" s="3">
        <v>17.167999999999999</v>
      </c>
      <c r="AT72" s="3">
        <v>4.1159999999999997</v>
      </c>
      <c r="AU72" s="3">
        <v>2.6059999999999999</v>
      </c>
      <c r="AV72" s="3" t="s">
        <v>81</v>
      </c>
      <c r="AW72" s="3" t="s">
        <v>81</v>
      </c>
      <c r="AX72" s="3">
        <v>94.644000000000005</v>
      </c>
      <c r="AY72" s="3">
        <v>3</v>
      </c>
      <c r="AZ72" s="3">
        <v>42.518999999999998</v>
      </c>
      <c r="BA72" s="3">
        <v>19.222999999999999</v>
      </c>
      <c r="BB72" s="3">
        <v>37.375</v>
      </c>
      <c r="BC72" s="3">
        <v>11.957000000000001</v>
      </c>
      <c r="BD72" s="3">
        <v>11.021000000000001</v>
      </c>
      <c r="BE72" s="3">
        <v>3.0819999999999999</v>
      </c>
      <c r="BF72" s="3">
        <v>1.639</v>
      </c>
      <c r="BG72" s="3" t="s">
        <v>81</v>
      </c>
      <c r="BH72" s="3" t="s">
        <v>81</v>
      </c>
      <c r="BI72" s="3" t="s">
        <v>84</v>
      </c>
      <c r="BJ72" s="3" t="s">
        <v>82</v>
      </c>
      <c r="BK72" s="3" t="s">
        <v>83</v>
      </c>
      <c r="BL72" s="3" t="s">
        <v>84</v>
      </c>
      <c r="BM72" s="3" t="s">
        <v>84</v>
      </c>
      <c r="BN72" s="3" t="s">
        <v>82</v>
      </c>
      <c r="BO72" s="3" t="s">
        <v>84</v>
      </c>
      <c r="BP72" s="3" t="s">
        <v>81</v>
      </c>
      <c r="BQ72" s="3" t="s">
        <v>81</v>
      </c>
      <c r="BR72" s="3" t="s">
        <v>81</v>
      </c>
      <c r="BS72" s="3" t="s">
        <v>81</v>
      </c>
      <c r="BT72" s="3" t="s">
        <v>81</v>
      </c>
      <c r="BU72" s="3" t="s">
        <v>81</v>
      </c>
      <c r="BV72" s="3" t="s">
        <v>84</v>
      </c>
      <c r="BW72" s="3" t="s">
        <v>83</v>
      </c>
      <c r="BX72" s="3" t="s">
        <v>82</v>
      </c>
      <c r="BZ72" s="3" t="s">
        <v>86</v>
      </c>
      <c r="CB72" s="3" t="s">
        <v>84</v>
      </c>
      <c r="CD72" s="9">
        <v>15</v>
      </c>
      <c r="CF72" s="18"/>
      <c r="CG72" s="18"/>
      <c r="CH72" s="18"/>
      <c r="CI72" s="18"/>
    </row>
    <row r="73" spans="1:87" x14ac:dyDescent="0.15">
      <c r="A73" s="3">
        <v>2643373368</v>
      </c>
      <c r="B73" s="3" t="s">
        <v>253</v>
      </c>
      <c r="C73" s="3" t="s">
        <v>253</v>
      </c>
      <c r="D73" s="3">
        <v>4</v>
      </c>
      <c r="E73" s="3">
        <v>6</v>
      </c>
      <c r="F73" s="3">
        <v>141.24799999999999</v>
      </c>
      <c r="G73" s="3">
        <v>2</v>
      </c>
      <c r="H73" s="3">
        <v>84.213999999999999</v>
      </c>
      <c r="I73" s="3">
        <v>31.712</v>
      </c>
      <c r="J73" s="3">
        <v>51.113</v>
      </c>
      <c r="K73" s="3">
        <v>9.8650000000000002</v>
      </c>
      <c r="L73" s="3">
        <v>4.2430000000000003</v>
      </c>
      <c r="M73" s="3" t="s">
        <v>81</v>
      </c>
      <c r="N73" s="3" t="s">
        <v>81</v>
      </c>
      <c r="O73" s="3" t="s">
        <v>81</v>
      </c>
      <c r="P73" s="3" t="s">
        <v>81</v>
      </c>
      <c r="Q73" s="3">
        <v>130.27500000000001</v>
      </c>
      <c r="R73" s="3">
        <v>2</v>
      </c>
      <c r="S73" s="3">
        <v>77.489999999999995</v>
      </c>
      <c r="T73" s="3">
        <v>32.793999999999997</v>
      </c>
      <c r="U73" s="3">
        <v>45.890999999999998</v>
      </c>
      <c r="V73" s="3">
        <v>10.682</v>
      </c>
      <c r="W73" s="3">
        <v>4.3410000000000002</v>
      </c>
      <c r="X73" s="3" t="s">
        <v>81</v>
      </c>
      <c r="Y73" s="3" t="s">
        <v>81</v>
      </c>
      <c r="Z73" s="3" t="s">
        <v>81</v>
      </c>
      <c r="AA73" s="3" t="s">
        <v>81</v>
      </c>
      <c r="AB73" s="3">
        <v>148.50399999999999</v>
      </c>
      <c r="AC73" s="3">
        <v>3</v>
      </c>
      <c r="AD73" s="3">
        <v>87.468000000000004</v>
      </c>
      <c r="AE73" s="3">
        <v>33.844999999999999</v>
      </c>
      <c r="AF73" s="3">
        <v>56.137999999999998</v>
      </c>
      <c r="AG73" s="3">
        <v>10.653</v>
      </c>
      <c r="AH73" s="3">
        <v>3.4390000000000001</v>
      </c>
      <c r="AI73" s="3">
        <v>2.762</v>
      </c>
      <c r="AJ73" s="3">
        <v>0.43</v>
      </c>
      <c r="AK73" s="3" t="s">
        <v>81</v>
      </c>
      <c r="AL73" s="3" t="s">
        <v>81</v>
      </c>
      <c r="AM73" s="3">
        <v>158.26599999999999</v>
      </c>
      <c r="AN73" s="3">
        <v>3</v>
      </c>
      <c r="AO73" s="3">
        <v>94.694999999999993</v>
      </c>
      <c r="AP73" s="3">
        <v>28.093</v>
      </c>
      <c r="AQ73" s="3">
        <v>57.155999999999999</v>
      </c>
      <c r="AR73" s="3">
        <v>11.474</v>
      </c>
      <c r="AS73" s="3">
        <v>2.1110000000000002</v>
      </c>
      <c r="AT73" s="3">
        <v>1.917</v>
      </c>
      <c r="AU73" s="3">
        <v>0.626</v>
      </c>
      <c r="AV73" s="3" t="s">
        <v>81</v>
      </c>
      <c r="AW73" s="3" t="s">
        <v>81</v>
      </c>
      <c r="AX73" s="3" t="s">
        <v>81</v>
      </c>
      <c r="AY73" s="3" t="s">
        <v>81</v>
      </c>
      <c r="AZ73" s="3" t="s">
        <v>81</v>
      </c>
      <c r="BA73" s="3" t="s">
        <v>81</v>
      </c>
      <c r="BB73" s="3" t="s">
        <v>81</v>
      </c>
      <c r="BC73" s="3" t="s">
        <v>81</v>
      </c>
      <c r="BD73" s="3" t="s">
        <v>81</v>
      </c>
      <c r="BE73" s="3" t="s">
        <v>81</v>
      </c>
      <c r="BF73" s="3" t="s">
        <v>81</v>
      </c>
      <c r="BG73" s="3" t="s">
        <v>81</v>
      </c>
      <c r="BH73" s="3" t="s">
        <v>81</v>
      </c>
      <c r="BI73" s="3" t="s">
        <v>84</v>
      </c>
      <c r="BJ73" s="3" t="s">
        <v>82</v>
      </c>
      <c r="BK73" s="3" t="s">
        <v>83</v>
      </c>
      <c r="BL73" s="3" t="s">
        <v>84</v>
      </c>
      <c r="BM73" s="3" t="s">
        <v>84</v>
      </c>
      <c r="BN73" s="3" t="s">
        <v>82</v>
      </c>
      <c r="BO73" s="3" t="s">
        <v>84</v>
      </c>
      <c r="BP73" s="3" t="s">
        <v>81</v>
      </c>
      <c r="BQ73" s="3" t="s">
        <v>81</v>
      </c>
      <c r="BR73" s="3" t="s">
        <v>81</v>
      </c>
      <c r="BS73" s="3" t="s">
        <v>81</v>
      </c>
      <c r="BT73" s="3" t="s">
        <v>81</v>
      </c>
      <c r="BU73" s="3" t="s">
        <v>81</v>
      </c>
      <c r="BV73" s="3" t="s">
        <v>82</v>
      </c>
      <c r="BW73" s="3" t="s">
        <v>91</v>
      </c>
      <c r="BX73" s="3" t="s">
        <v>82</v>
      </c>
      <c r="BY73" s="3" t="s">
        <v>258</v>
      </c>
      <c r="BZ73" s="3" t="s">
        <v>86</v>
      </c>
      <c r="CB73" s="3" t="s">
        <v>84</v>
      </c>
      <c r="CD73" s="9">
        <v>14</v>
      </c>
      <c r="CF73" s="18"/>
      <c r="CG73" s="18"/>
      <c r="CH73" s="18"/>
      <c r="CI73" s="18"/>
    </row>
    <row r="74" spans="1:87" x14ac:dyDescent="0.15">
      <c r="A74" s="3">
        <v>2625857492</v>
      </c>
      <c r="B74" s="3" t="s">
        <v>253</v>
      </c>
      <c r="C74" s="3" t="s">
        <v>253</v>
      </c>
      <c r="D74" s="3">
        <v>6</v>
      </c>
      <c r="E74" s="3">
        <v>24</v>
      </c>
      <c r="F74" s="3">
        <v>196.851</v>
      </c>
      <c r="G74" s="3">
        <v>2</v>
      </c>
      <c r="H74" s="3">
        <v>94.673000000000002</v>
      </c>
      <c r="I74" s="3">
        <v>33.982999999999997</v>
      </c>
      <c r="J74" s="3">
        <v>59.279000000000003</v>
      </c>
      <c r="K74" s="3">
        <v>23.361999999999998</v>
      </c>
      <c r="L74" s="3">
        <v>20.209</v>
      </c>
      <c r="M74" s="3">
        <v>18.084</v>
      </c>
      <c r="N74" s="3" t="s">
        <v>81</v>
      </c>
      <c r="O74" s="3" t="s">
        <v>81</v>
      </c>
      <c r="P74" s="3" t="s">
        <v>81</v>
      </c>
      <c r="Q74" s="3">
        <v>195.12200000000001</v>
      </c>
      <c r="R74" s="3">
        <v>2</v>
      </c>
      <c r="S74" s="3">
        <v>91.876000000000005</v>
      </c>
      <c r="T74" s="3">
        <v>30.86</v>
      </c>
      <c r="U74" s="3">
        <v>53.676000000000002</v>
      </c>
      <c r="V74" s="3">
        <v>13.616</v>
      </c>
      <c r="W74" s="3">
        <v>24.545000000000002</v>
      </c>
      <c r="X74" s="3">
        <v>21.599</v>
      </c>
      <c r="Y74" s="3" t="s">
        <v>81</v>
      </c>
      <c r="Z74" s="3" t="s">
        <v>81</v>
      </c>
      <c r="AA74" s="3" t="s">
        <v>81</v>
      </c>
      <c r="AB74" s="3">
        <v>196.62100000000001</v>
      </c>
      <c r="AC74" s="3">
        <v>2</v>
      </c>
      <c r="AD74" s="3">
        <v>98.721999999999994</v>
      </c>
      <c r="AE74" s="3">
        <v>33.591999999999999</v>
      </c>
      <c r="AF74" s="3">
        <v>59.564999999999998</v>
      </c>
      <c r="AG74" s="3">
        <v>24.145</v>
      </c>
      <c r="AH74" s="3">
        <v>17.035</v>
      </c>
      <c r="AI74" s="3">
        <v>19.649000000000001</v>
      </c>
      <c r="AJ74" s="3" t="s">
        <v>81</v>
      </c>
      <c r="AK74" s="3" t="s">
        <v>81</v>
      </c>
      <c r="AL74" s="3" t="s">
        <v>81</v>
      </c>
      <c r="AM74" s="3">
        <v>222.99299999999999</v>
      </c>
      <c r="AN74" s="3">
        <v>2</v>
      </c>
      <c r="AO74" s="3">
        <v>117.913</v>
      </c>
      <c r="AP74" s="3">
        <v>33.466999999999999</v>
      </c>
      <c r="AQ74" s="3">
        <v>52.655000000000001</v>
      </c>
      <c r="AR74" s="3">
        <v>30.103000000000002</v>
      </c>
      <c r="AS74" s="3">
        <v>50.183</v>
      </c>
      <c r="AT74" s="3" t="s">
        <v>81</v>
      </c>
      <c r="AU74" s="3" t="s">
        <v>81</v>
      </c>
      <c r="AV74" s="3" t="s">
        <v>81</v>
      </c>
      <c r="AW74" s="3" t="s">
        <v>81</v>
      </c>
      <c r="AX74" s="3">
        <v>190.55600000000001</v>
      </c>
      <c r="AY74" s="3">
        <v>2</v>
      </c>
      <c r="AZ74" s="3">
        <v>97.736000000000004</v>
      </c>
      <c r="BA74" s="3">
        <v>31.754999999999999</v>
      </c>
      <c r="BB74" s="3">
        <v>51.249000000000002</v>
      </c>
      <c r="BC74" s="3" t="s">
        <v>81</v>
      </c>
      <c r="BD74" s="3">
        <v>38.225000000000001</v>
      </c>
      <c r="BE74" s="3" t="s">
        <v>81</v>
      </c>
      <c r="BF74" s="3" t="s">
        <v>81</v>
      </c>
      <c r="BG74" s="3" t="s">
        <v>81</v>
      </c>
      <c r="BH74" s="3" t="s">
        <v>81</v>
      </c>
      <c r="BI74" s="3" t="s">
        <v>84</v>
      </c>
      <c r="BJ74" s="3" t="s">
        <v>84</v>
      </c>
      <c r="BK74" s="3" t="s">
        <v>84</v>
      </c>
      <c r="BL74" s="3" t="s">
        <v>82</v>
      </c>
      <c r="BM74" s="3" t="s">
        <v>83</v>
      </c>
      <c r="BN74" s="3" t="s">
        <v>82</v>
      </c>
      <c r="BO74" s="3" t="s">
        <v>83</v>
      </c>
      <c r="BP74" s="3" t="s">
        <v>259</v>
      </c>
      <c r="BQ74" s="3" t="s">
        <v>259</v>
      </c>
      <c r="BR74" s="3" t="s">
        <v>259</v>
      </c>
      <c r="BS74" s="3" t="s">
        <v>259</v>
      </c>
      <c r="BT74" s="3" t="s">
        <v>85</v>
      </c>
      <c r="BU74" s="3" t="s">
        <v>98</v>
      </c>
      <c r="BV74" s="3" t="s">
        <v>83</v>
      </c>
      <c r="BW74" s="3" t="s">
        <v>83</v>
      </c>
      <c r="BX74" s="3" t="s">
        <v>83</v>
      </c>
      <c r="BY74" s="3" t="s">
        <v>260</v>
      </c>
      <c r="BZ74" s="3" t="s">
        <v>86</v>
      </c>
      <c r="CB74" s="3" t="s">
        <v>84</v>
      </c>
      <c r="CD74" s="9">
        <v>53</v>
      </c>
      <c r="CF74" s="18"/>
      <c r="CG74" s="18"/>
      <c r="CH74" s="18"/>
      <c r="CI74" s="17"/>
    </row>
    <row r="75" spans="1:87" x14ac:dyDescent="0.15">
      <c r="A75" s="3">
        <v>2235988488</v>
      </c>
      <c r="B75" s="3" t="s">
        <v>253</v>
      </c>
      <c r="C75" s="3" t="s">
        <v>253</v>
      </c>
      <c r="D75" s="3">
        <v>6</v>
      </c>
      <c r="E75" s="3">
        <v>8</v>
      </c>
      <c r="F75" s="3">
        <v>100.76900000000001</v>
      </c>
      <c r="G75" s="3">
        <v>3</v>
      </c>
      <c r="H75" s="3">
        <v>26.795000000000002</v>
      </c>
      <c r="I75" s="3">
        <v>43.497</v>
      </c>
      <c r="J75" s="3">
        <v>42.465000000000003</v>
      </c>
      <c r="K75" s="3">
        <v>31.321999999999999</v>
      </c>
      <c r="L75" s="3">
        <v>21.187000000000001</v>
      </c>
      <c r="M75" s="3">
        <v>20.157</v>
      </c>
      <c r="N75" s="3">
        <v>11.41</v>
      </c>
      <c r="O75" s="3" t="s">
        <v>81</v>
      </c>
      <c r="P75" s="3" t="s">
        <v>81</v>
      </c>
      <c r="Q75" s="3">
        <v>120.357</v>
      </c>
      <c r="R75" s="3">
        <v>3</v>
      </c>
      <c r="S75" s="3">
        <v>30.379000000000001</v>
      </c>
      <c r="T75" s="3">
        <v>40.357999999999997</v>
      </c>
      <c r="U75" s="3">
        <v>55.415999999999997</v>
      </c>
      <c r="V75" s="3" t="s">
        <v>81</v>
      </c>
      <c r="W75" s="3">
        <v>17.015999999999998</v>
      </c>
      <c r="X75" s="3">
        <v>21.195</v>
      </c>
      <c r="Y75" s="3">
        <v>14.428000000000001</v>
      </c>
      <c r="Z75" s="3" t="s">
        <v>81</v>
      </c>
      <c r="AA75" s="3" t="s">
        <v>81</v>
      </c>
      <c r="AB75" s="3">
        <v>100.678</v>
      </c>
      <c r="AC75" s="3">
        <v>3</v>
      </c>
      <c r="AD75" s="3">
        <v>27.052</v>
      </c>
      <c r="AE75" s="3">
        <v>41.207000000000001</v>
      </c>
      <c r="AF75" s="3">
        <v>46.969000000000001</v>
      </c>
      <c r="AG75" s="3">
        <v>26.257999999999999</v>
      </c>
      <c r="AH75" s="3">
        <v>18.163</v>
      </c>
      <c r="AI75" s="3">
        <v>11.18</v>
      </c>
      <c r="AJ75" s="3">
        <v>8.8409999999999993</v>
      </c>
      <c r="AK75" s="3" t="s">
        <v>81</v>
      </c>
      <c r="AL75" s="3" t="s">
        <v>81</v>
      </c>
      <c r="AM75" s="3" t="s">
        <v>81</v>
      </c>
      <c r="AN75" s="3" t="s">
        <v>81</v>
      </c>
      <c r="AO75" s="3" t="s">
        <v>81</v>
      </c>
      <c r="AP75" s="3" t="s">
        <v>81</v>
      </c>
      <c r="AQ75" s="3" t="s">
        <v>81</v>
      </c>
      <c r="AR75" s="3" t="s">
        <v>81</v>
      </c>
      <c r="AS75" s="3" t="s">
        <v>81</v>
      </c>
      <c r="AT75" s="3" t="s">
        <v>81</v>
      </c>
      <c r="AU75" s="3" t="s">
        <v>81</v>
      </c>
      <c r="AV75" s="3" t="s">
        <v>81</v>
      </c>
      <c r="AW75" s="3" t="s">
        <v>81</v>
      </c>
      <c r="AX75" s="3" t="s">
        <v>81</v>
      </c>
      <c r="AY75" s="3" t="s">
        <v>81</v>
      </c>
      <c r="AZ75" s="3" t="s">
        <v>81</v>
      </c>
      <c r="BA75" s="3" t="s">
        <v>81</v>
      </c>
      <c r="BB75" s="3" t="s">
        <v>81</v>
      </c>
      <c r="BC75" s="3" t="s">
        <v>81</v>
      </c>
      <c r="BD75" s="3" t="s">
        <v>81</v>
      </c>
      <c r="BE75" s="3" t="s">
        <v>81</v>
      </c>
      <c r="BF75" s="3" t="s">
        <v>81</v>
      </c>
      <c r="BG75" s="3" t="s">
        <v>81</v>
      </c>
      <c r="BH75" s="3" t="s">
        <v>81</v>
      </c>
      <c r="BI75" s="3" t="s">
        <v>84</v>
      </c>
      <c r="BJ75" s="3" t="s">
        <v>84</v>
      </c>
      <c r="BK75" s="3" t="s">
        <v>84</v>
      </c>
      <c r="BL75" s="3" t="s">
        <v>84</v>
      </c>
      <c r="BM75" s="3" t="s">
        <v>84</v>
      </c>
      <c r="BN75" s="3" t="s">
        <v>82</v>
      </c>
      <c r="BO75" s="3" t="s">
        <v>84</v>
      </c>
      <c r="BP75" s="3" t="s">
        <v>106</v>
      </c>
      <c r="BQ75" s="3" t="s">
        <v>106</v>
      </c>
      <c r="BR75" s="3" t="s">
        <v>135</v>
      </c>
      <c r="BS75" s="3" t="s">
        <v>153</v>
      </c>
      <c r="BT75" s="3" t="s">
        <v>106</v>
      </c>
      <c r="BU75" s="3" t="s">
        <v>98</v>
      </c>
      <c r="BV75" s="3" t="s">
        <v>84</v>
      </c>
      <c r="BW75" s="3" t="s">
        <v>83</v>
      </c>
      <c r="BX75" s="3" t="s">
        <v>82</v>
      </c>
      <c r="BY75" s="3" t="s">
        <v>261</v>
      </c>
      <c r="BZ75" s="3" t="s">
        <v>86</v>
      </c>
      <c r="CB75" s="3" t="s">
        <v>84</v>
      </c>
      <c r="CD75" s="9">
        <v>27</v>
      </c>
      <c r="CF75" s="18"/>
      <c r="CG75" s="18"/>
      <c r="CH75" s="18"/>
      <c r="CI75" s="18"/>
    </row>
    <row r="76" spans="1:87" x14ac:dyDescent="0.15">
      <c r="A76" s="3">
        <v>1847937822</v>
      </c>
      <c r="B76" s="3" t="s">
        <v>262</v>
      </c>
      <c r="C76" s="3" t="s">
        <v>262</v>
      </c>
      <c r="D76" s="3">
        <v>4</v>
      </c>
      <c r="E76" s="3">
        <v>4</v>
      </c>
      <c r="F76" s="3">
        <v>138.994</v>
      </c>
      <c r="G76" s="3">
        <v>3</v>
      </c>
      <c r="H76" s="3">
        <v>69.992000000000004</v>
      </c>
      <c r="I76" s="3">
        <v>32.012</v>
      </c>
      <c r="J76" s="3">
        <v>42.662999999999997</v>
      </c>
      <c r="K76" s="3">
        <v>37.606000000000002</v>
      </c>
      <c r="L76" s="3">
        <v>19.251999999999999</v>
      </c>
      <c r="M76" s="3">
        <v>1.266</v>
      </c>
      <c r="N76" s="3">
        <v>11.989000000000001</v>
      </c>
      <c r="O76" s="3" t="s">
        <v>81</v>
      </c>
      <c r="P76" s="3" t="s">
        <v>81</v>
      </c>
      <c r="Q76" s="3" t="s">
        <v>81</v>
      </c>
      <c r="R76" s="3">
        <v>0</v>
      </c>
      <c r="S76" s="3" t="s">
        <v>81</v>
      </c>
      <c r="T76" s="3" t="s">
        <v>81</v>
      </c>
      <c r="U76" s="3" t="s">
        <v>81</v>
      </c>
      <c r="V76" s="3" t="s">
        <v>81</v>
      </c>
      <c r="W76" s="3" t="s">
        <v>81</v>
      </c>
      <c r="X76" s="3" t="s">
        <v>81</v>
      </c>
      <c r="Y76" s="3" t="s">
        <v>81</v>
      </c>
      <c r="Z76" s="3" t="s">
        <v>81</v>
      </c>
      <c r="AA76" s="3" t="s">
        <v>81</v>
      </c>
      <c r="AB76" s="3" t="s">
        <v>81</v>
      </c>
      <c r="AC76" s="3" t="s">
        <v>81</v>
      </c>
      <c r="AD76" s="3" t="s">
        <v>81</v>
      </c>
      <c r="AE76" s="3" t="s">
        <v>81</v>
      </c>
      <c r="AF76" s="3" t="s">
        <v>81</v>
      </c>
      <c r="AG76" s="3" t="s">
        <v>81</v>
      </c>
      <c r="AH76" s="3" t="s">
        <v>81</v>
      </c>
      <c r="AI76" s="3" t="s">
        <v>81</v>
      </c>
      <c r="AJ76" s="3" t="s">
        <v>81</v>
      </c>
      <c r="AK76" s="3" t="s">
        <v>81</v>
      </c>
      <c r="AL76" s="3" t="s">
        <v>81</v>
      </c>
      <c r="AM76" s="3" t="s">
        <v>81</v>
      </c>
      <c r="AN76" s="3" t="s">
        <v>81</v>
      </c>
      <c r="AO76" s="3" t="s">
        <v>81</v>
      </c>
      <c r="AP76" s="3" t="s">
        <v>81</v>
      </c>
      <c r="AQ76" s="3" t="s">
        <v>81</v>
      </c>
      <c r="AR76" s="3" t="s">
        <v>81</v>
      </c>
      <c r="AS76" s="3" t="s">
        <v>81</v>
      </c>
      <c r="AT76" s="3" t="s">
        <v>81</v>
      </c>
      <c r="AU76" s="3" t="s">
        <v>81</v>
      </c>
      <c r="AV76" s="3" t="s">
        <v>81</v>
      </c>
      <c r="AW76" s="3" t="s">
        <v>81</v>
      </c>
      <c r="AX76" s="3" t="s">
        <v>81</v>
      </c>
      <c r="AY76" s="3" t="s">
        <v>81</v>
      </c>
      <c r="AZ76" s="3" t="s">
        <v>81</v>
      </c>
      <c r="BA76" s="3" t="s">
        <v>81</v>
      </c>
      <c r="BB76" s="3" t="s">
        <v>81</v>
      </c>
      <c r="BC76" s="3" t="s">
        <v>81</v>
      </c>
      <c r="BD76" s="3" t="s">
        <v>81</v>
      </c>
      <c r="BE76" s="3" t="s">
        <v>81</v>
      </c>
      <c r="BF76" s="3" t="s">
        <v>81</v>
      </c>
      <c r="BG76" s="3" t="s">
        <v>81</v>
      </c>
      <c r="BH76" s="3" t="s">
        <v>81</v>
      </c>
      <c r="BI76" s="3" t="s">
        <v>84</v>
      </c>
      <c r="BJ76" s="3" t="s">
        <v>82</v>
      </c>
      <c r="BK76" s="3" t="s">
        <v>83</v>
      </c>
      <c r="BL76" s="3" t="s">
        <v>84</v>
      </c>
      <c r="BM76" s="3" t="s">
        <v>84</v>
      </c>
      <c r="BN76" s="3" t="s">
        <v>82</v>
      </c>
      <c r="BO76" s="3" t="s">
        <v>84</v>
      </c>
      <c r="BP76" s="3" t="s">
        <v>263</v>
      </c>
      <c r="BQ76" s="3" t="s">
        <v>263</v>
      </c>
      <c r="BR76" s="3" t="s">
        <v>263</v>
      </c>
      <c r="BS76" s="3" t="s">
        <v>264</v>
      </c>
      <c r="BT76" s="3" t="s">
        <v>129</v>
      </c>
      <c r="BU76" s="3" t="s">
        <v>81</v>
      </c>
      <c r="BV76" s="3" t="s">
        <v>82</v>
      </c>
      <c r="BW76" s="3" t="s">
        <v>91</v>
      </c>
      <c r="BX76" s="3" t="s">
        <v>82</v>
      </c>
      <c r="BY76" s="3" t="s">
        <v>265</v>
      </c>
      <c r="BZ76" s="3" t="s">
        <v>93</v>
      </c>
      <c r="CB76" s="3" t="s">
        <v>84</v>
      </c>
      <c r="CD76" s="9">
        <v>12</v>
      </c>
      <c r="CF76" s="18"/>
      <c r="CG76" s="18"/>
      <c r="CH76" s="18"/>
      <c r="CI76" s="18"/>
    </row>
    <row r="77" spans="1:87" x14ac:dyDescent="0.15">
      <c r="A77" s="3">
        <v>2625844474</v>
      </c>
      <c r="B77" s="3" t="s">
        <v>266</v>
      </c>
      <c r="C77" s="3" t="s">
        <v>266</v>
      </c>
      <c r="D77" s="3">
        <v>6</v>
      </c>
      <c r="E77" s="3">
        <v>7</v>
      </c>
      <c r="F77" s="3">
        <v>31.532</v>
      </c>
      <c r="G77" s="3">
        <v>0</v>
      </c>
      <c r="H77" s="3" t="s">
        <v>81</v>
      </c>
      <c r="I77" s="3" t="s">
        <v>81</v>
      </c>
      <c r="J77" s="3" t="s">
        <v>81</v>
      </c>
      <c r="K77" s="3" t="s">
        <v>81</v>
      </c>
      <c r="L77" s="3" t="s">
        <v>81</v>
      </c>
      <c r="M77" s="3" t="s">
        <v>81</v>
      </c>
      <c r="N77" s="3" t="s">
        <v>81</v>
      </c>
      <c r="O77" s="3" t="s">
        <v>81</v>
      </c>
      <c r="P77" s="3" t="s">
        <v>81</v>
      </c>
      <c r="Q77" s="3">
        <v>31.231999999999999</v>
      </c>
      <c r="R77" s="3">
        <v>0</v>
      </c>
      <c r="S77" s="3" t="s">
        <v>81</v>
      </c>
      <c r="T77" s="3" t="s">
        <v>81</v>
      </c>
      <c r="U77" s="3" t="s">
        <v>81</v>
      </c>
      <c r="V77" s="3" t="s">
        <v>81</v>
      </c>
      <c r="W77" s="3" t="s">
        <v>81</v>
      </c>
      <c r="X77" s="3" t="s">
        <v>81</v>
      </c>
      <c r="Y77" s="3" t="s">
        <v>81</v>
      </c>
      <c r="Z77" s="3" t="s">
        <v>81</v>
      </c>
      <c r="AA77" s="3" t="s">
        <v>81</v>
      </c>
      <c r="AB77" s="3">
        <v>32.466999999999999</v>
      </c>
      <c r="AC77" s="3">
        <v>0</v>
      </c>
      <c r="AD77" s="3" t="s">
        <v>81</v>
      </c>
      <c r="AE77" s="3" t="s">
        <v>81</v>
      </c>
      <c r="AF77" s="3" t="s">
        <v>81</v>
      </c>
      <c r="AG77" s="3" t="s">
        <v>81</v>
      </c>
      <c r="AH77" s="3" t="s">
        <v>81</v>
      </c>
      <c r="AI77" s="3" t="s">
        <v>81</v>
      </c>
      <c r="AJ77" s="3" t="s">
        <v>81</v>
      </c>
      <c r="AK77" s="3" t="s">
        <v>81</v>
      </c>
      <c r="AL77" s="3" t="s">
        <v>81</v>
      </c>
      <c r="AM77" s="3">
        <v>32.313000000000002</v>
      </c>
      <c r="AN77" s="3">
        <v>0</v>
      </c>
      <c r="AO77" s="3" t="s">
        <v>81</v>
      </c>
      <c r="AP77" s="3" t="s">
        <v>81</v>
      </c>
      <c r="AQ77" s="3" t="s">
        <v>81</v>
      </c>
      <c r="AR77" s="3" t="s">
        <v>81</v>
      </c>
      <c r="AS77" s="3" t="s">
        <v>81</v>
      </c>
      <c r="AT77" s="3" t="s">
        <v>81</v>
      </c>
      <c r="AU77" s="3" t="s">
        <v>81</v>
      </c>
      <c r="AV77" s="3" t="s">
        <v>81</v>
      </c>
      <c r="AW77" s="3" t="s">
        <v>81</v>
      </c>
      <c r="AX77" s="3">
        <v>24.858000000000001</v>
      </c>
      <c r="AY77" s="3">
        <v>0</v>
      </c>
      <c r="AZ77" s="3" t="s">
        <v>81</v>
      </c>
      <c r="BA77" s="3" t="s">
        <v>81</v>
      </c>
      <c r="BB77" s="3" t="s">
        <v>81</v>
      </c>
      <c r="BC77" s="3" t="s">
        <v>81</v>
      </c>
      <c r="BD77" s="3" t="s">
        <v>81</v>
      </c>
      <c r="BE77" s="3" t="s">
        <v>81</v>
      </c>
      <c r="BF77" s="3" t="s">
        <v>81</v>
      </c>
      <c r="BG77" s="3" t="s">
        <v>81</v>
      </c>
      <c r="BH77" s="3" t="s">
        <v>81</v>
      </c>
      <c r="BI77" s="3" t="s">
        <v>84</v>
      </c>
      <c r="BJ77" s="3" t="s">
        <v>84</v>
      </c>
      <c r="BK77" s="3" t="s">
        <v>84</v>
      </c>
      <c r="BL77" s="3" t="s">
        <v>82</v>
      </c>
      <c r="BM77" s="3" t="s">
        <v>83</v>
      </c>
      <c r="BN77" s="3" t="s">
        <v>84</v>
      </c>
      <c r="BO77" s="3" t="s">
        <v>83</v>
      </c>
      <c r="BP77" s="3" t="s">
        <v>81</v>
      </c>
      <c r="BQ77" s="3" t="s">
        <v>81</v>
      </c>
      <c r="BR77" s="3" t="s">
        <v>81</v>
      </c>
      <c r="BS77" s="3" t="s">
        <v>81</v>
      </c>
      <c r="BT77" s="3" t="s">
        <v>81</v>
      </c>
      <c r="BU77" s="3" t="s">
        <v>81</v>
      </c>
      <c r="BV77" s="3" t="s">
        <v>83</v>
      </c>
      <c r="BW77" s="3" t="s">
        <v>83</v>
      </c>
      <c r="BX77" s="3" t="s">
        <v>83</v>
      </c>
      <c r="BY77" s="3" t="s">
        <v>267</v>
      </c>
      <c r="BZ77" s="3" t="s">
        <v>86</v>
      </c>
      <c r="CF77" s="18"/>
      <c r="CG77" s="18"/>
      <c r="CH77" s="18"/>
      <c r="CI77" s="17"/>
    </row>
    <row r="78" spans="1:87" s="15" customFormat="1" x14ac:dyDescent="0.15">
      <c r="A78" s="3">
        <v>1228349065</v>
      </c>
      <c r="B78" s="3" t="s">
        <v>266</v>
      </c>
      <c r="C78" s="3" t="s">
        <v>266</v>
      </c>
      <c r="D78" s="3" t="s">
        <v>81</v>
      </c>
      <c r="E78" s="3">
        <v>17</v>
      </c>
      <c r="F78" s="3">
        <v>21.045000000000002</v>
      </c>
      <c r="G78" s="3">
        <v>0</v>
      </c>
      <c r="H78" s="3" t="s">
        <v>81</v>
      </c>
      <c r="I78" s="3" t="s">
        <v>81</v>
      </c>
      <c r="J78" s="3" t="s">
        <v>81</v>
      </c>
      <c r="K78" s="3" t="s">
        <v>81</v>
      </c>
      <c r="L78" s="3" t="s">
        <v>81</v>
      </c>
      <c r="M78" s="3" t="s">
        <v>81</v>
      </c>
      <c r="N78" s="3" t="s">
        <v>81</v>
      </c>
      <c r="O78" s="3" t="s">
        <v>81</v>
      </c>
      <c r="P78" s="3" t="s">
        <v>81</v>
      </c>
      <c r="Q78" s="3">
        <v>19.46</v>
      </c>
      <c r="R78" s="3">
        <v>0</v>
      </c>
      <c r="S78" s="3" t="s">
        <v>81</v>
      </c>
      <c r="T78" s="3" t="s">
        <v>81</v>
      </c>
      <c r="U78" s="3" t="s">
        <v>81</v>
      </c>
      <c r="V78" s="3" t="s">
        <v>81</v>
      </c>
      <c r="W78" s="3" t="s">
        <v>81</v>
      </c>
      <c r="X78" s="3" t="s">
        <v>81</v>
      </c>
      <c r="Y78" s="3" t="s">
        <v>81</v>
      </c>
      <c r="Z78" s="3" t="s">
        <v>81</v>
      </c>
      <c r="AA78" s="3" t="s">
        <v>81</v>
      </c>
      <c r="AB78" s="3">
        <v>18.512</v>
      </c>
      <c r="AC78" s="3">
        <v>0</v>
      </c>
      <c r="AD78" s="3" t="s">
        <v>81</v>
      </c>
      <c r="AE78" s="3" t="s">
        <v>81</v>
      </c>
      <c r="AF78" s="3" t="s">
        <v>81</v>
      </c>
      <c r="AG78" s="3" t="s">
        <v>81</v>
      </c>
      <c r="AH78" s="3" t="s">
        <v>81</v>
      </c>
      <c r="AI78" s="3" t="s">
        <v>81</v>
      </c>
      <c r="AJ78" s="3" t="s">
        <v>81</v>
      </c>
      <c r="AK78" s="3" t="s">
        <v>81</v>
      </c>
      <c r="AL78" s="3" t="s">
        <v>81</v>
      </c>
      <c r="AM78" s="3">
        <v>21.32</v>
      </c>
      <c r="AN78" s="3">
        <v>0</v>
      </c>
      <c r="AO78" s="3" t="s">
        <v>81</v>
      </c>
      <c r="AP78" s="3" t="s">
        <v>81</v>
      </c>
      <c r="AQ78" s="3" t="s">
        <v>81</v>
      </c>
      <c r="AR78" s="3" t="s">
        <v>81</v>
      </c>
      <c r="AS78" s="3" t="s">
        <v>81</v>
      </c>
      <c r="AT78" s="3" t="s">
        <v>81</v>
      </c>
      <c r="AU78" s="3" t="s">
        <v>81</v>
      </c>
      <c r="AV78" s="3" t="s">
        <v>81</v>
      </c>
      <c r="AW78" s="3" t="s">
        <v>81</v>
      </c>
      <c r="AX78" s="3">
        <v>26.029</v>
      </c>
      <c r="AY78" s="3">
        <v>0</v>
      </c>
      <c r="AZ78" s="3" t="s">
        <v>81</v>
      </c>
      <c r="BA78" s="3" t="s">
        <v>81</v>
      </c>
      <c r="BB78" s="3" t="s">
        <v>81</v>
      </c>
      <c r="BC78" s="3" t="s">
        <v>81</v>
      </c>
      <c r="BD78" s="3" t="s">
        <v>81</v>
      </c>
      <c r="BE78" s="3" t="s">
        <v>81</v>
      </c>
      <c r="BF78" s="3" t="s">
        <v>81</v>
      </c>
      <c r="BG78" s="3" t="s">
        <v>81</v>
      </c>
      <c r="BH78" s="3" t="s">
        <v>81</v>
      </c>
      <c r="BI78" s="3" t="s">
        <v>84</v>
      </c>
      <c r="BJ78" s="3" t="s">
        <v>82</v>
      </c>
      <c r="BK78" s="3" t="s">
        <v>83</v>
      </c>
      <c r="BL78" s="3" t="s">
        <v>84</v>
      </c>
      <c r="BM78" s="3" t="s">
        <v>84</v>
      </c>
      <c r="BN78" s="3" t="s">
        <v>84</v>
      </c>
      <c r="BO78" s="3" t="s">
        <v>82</v>
      </c>
      <c r="BP78" s="3" t="s">
        <v>210</v>
      </c>
      <c r="BQ78" s="3" t="s">
        <v>210</v>
      </c>
      <c r="BR78" s="3" t="s">
        <v>210</v>
      </c>
      <c r="BS78" s="3" t="s">
        <v>210</v>
      </c>
      <c r="BT78" s="3" t="s">
        <v>87</v>
      </c>
      <c r="BU78" s="3" t="s">
        <v>81</v>
      </c>
      <c r="BV78" s="3" t="s">
        <v>84</v>
      </c>
      <c r="BW78" s="3" t="s">
        <v>83</v>
      </c>
      <c r="BX78" s="3" t="s">
        <v>84</v>
      </c>
      <c r="BY78" s="3" t="s">
        <v>160</v>
      </c>
      <c r="BZ78" s="3" t="s">
        <v>93</v>
      </c>
      <c r="CA78" s="3"/>
      <c r="CB78" s="3"/>
      <c r="CC78" s="3"/>
      <c r="CD78" s="3"/>
      <c r="CE78" s="3"/>
      <c r="CF78" s="17"/>
      <c r="CG78" s="17"/>
      <c r="CH78" s="17"/>
      <c r="CI78" s="17"/>
    </row>
    <row r="79" spans="1:87" s="15" customFormat="1" x14ac:dyDescent="0.15">
      <c r="A79" s="3">
        <v>2643318876</v>
      </c>
      <c r="B79" s="3" t="s">
        <v>266</v>
      </c>
      <c r="C79" s="3" t="s">
        <v>266</v>
      </c>
      <c r="D79" s="3">
        <v>6</v>
      </c>
      <c r="E79" s="3">
        <v>6</v>
      </c>
      <c r="F79" s="3">
        <v>36.225000000000001</v>
      </c>
      <c r="G79" s="3">
        <v>0</v>
      </c>
      <c r="H79" s="3" t="s">
        <v>81</v>
      </c>
      <c r="I79" s="3" t="s">
        <v>81</v>
      </c>
      <c r="J79" s="3" t="s">
        <v>81</v>
      </c>
      <c r="K79" s="3" t="s">
        <v>81</v>
      </c>
      <c r="L79" s="3" t="s">
        <v>81</v>
      </c>
      <c r="M79" s="3" t="s">
        <v>81</v>
      </c>
      <c r="N79" s="3" t="s">
        <v>81</v>
      </c>
      <c r="O79" s="3" t="s">
        <v>81</v>
      </c>
      <c r="P79" s="3" t="s">
        <v>81</v>
      </c>
      <c r="Q79" s="3">
        <v>33.148000000000003</v>
      </c>
      <c r="R79" s="3">
        <v>0</v>
      </c>
      <c r="S79" s="3" t="s">
        <v>81</v>
      </c>
      <c r="T79" s="3" t="s">
        <v>81</v>
      </c>
      <c r="U79" s="3" t="s">
        <v>81</v>
      </c>
      <c r="V79" s="3" t="s">
        <v>81</v>
      </c>
      <c r="W79" s="3" t="s">
        <v>81</v>
      </c>
      <c r="X79" s="3" t="s">
        <v>81</v>
      </c>
      <c r="Y79" s="3" t="s">
        <v>81</v>
      </c>
      <c r="Z79" s="3" t="s">
        <v>81</v>
      </c>
      <c r="AA79" s="3" t="s">
        <v>81</v>
      </c>
      <c r="AB79" s="3">
        <v>36.639000000000003</v>
      </c>
      <c r="AC79" s="3">
        <v>0</v>
      </c>
      <c r="AD79" s="3" t="s">
        <v>81</v>
      </c>
      <c r="AE79" s="3" t="s">
        <v>81</v>
      </c>
      <c r="AF79" s="3" t="s">
        <v>81</v>
      </c>
      <c r="AG79" s="3" t="s">
        <v>81</v>
      </c>
      <c r="AH79" s="3" t="s">
        <v>81</v>
      </c>
      <c r="AI79" s="3" t="s">
        <v>81</v>
      </c>
      <c r="AJ79" s="3" t="s">
        <v>81</v>
      </c>
      <c r="AK79" s="3" t="s">
        <v>81</v>
      </c>
      <c r="AL79" s="3" t="s">
        <v>81</v>
      </c>
      <c r="AM79" s="3">
        <v>34.186999999999998</v>
      </c>
      <c r="AN79" s="3">
        <v>0</v>
      </c>
      <c r="AO79" s="3" t="s">
        <v>81</v>
      </c>
      <c r="AP79" s="3" t="s">
        <v>81</v>
      </c>
      <c r="AQ79" s="3" t="s">
        <v>81</v>
      </c>
      <c r="AR79" s="3" t="s">
        <v>81</v>
      </c>
      <c r="AS79" s="3" t="s">
        <v>81</v>
      </c>
      <c r="AT79" s="3" t="s">
        <v>81</v>
      </c>
      <c r="AU79" s="3" t="s">
        <v>81</v>
      </c>
      <c r="AV79" s="3" t="s">
        <v>81</v>
      </c>
      <c r="AW79" s="3" t="s">
        <v>81</v>
      </c>
      <c r="AX79" s="3" t="s">
        <v>81</v>
      </c>
      <c r="AY79" s="3">
        <v>0</v>
      </c>
      <c r="AZ79" s="3" t="s">
        <v>81</v>
      </c>
      <c r="BA79" s="3" t="s">
        <v>81</v>
      </c>
      <c r="BB79" s="3" t="s">
        <v>81</v>
      </c>
      <c r="BC79" s="3" t="s">
        <v>81</v>
      </c>
      <c r="BD79" s="3" t="s">
        <v>81</v>
      </c>
      <c r="BE79" s="3" t="s">
        <v>81</v>
      </c>
      <c r="BF79" s="3" t="s">
        <v>81</v>
      </c>
      <c r="BG79" s="3" t="s">
        <v>81</v>
      </c>
      <c r="BH79" s="3" t="s">
        <v>81</v>
      </c>
      <c r="BI79" s="3" t="s">
        <v>84</v>
      </c>
      <c r="BJ79" s="3" t="s">
        <v>82</v>
      </c>
      <c r="BK79" s="3" t="s">
        <v>83</v>
      </c>
      <c r="BL79" s="3" t="s">
        <v>84</v>
      </c>
      <c r="BM79" s="3" t="s">
        <v>84</v>
      </c>
      <c r="BN79" s="3" t="s">
        <v>84</v>
      </c>
      <c r="BO79" s="3" t="s">
        <v>82</v>
      </c>
      <c r="BP79" s="3" t="s">
        <v>239</v>
      </c>
      <c r="BQ79" s="3" t="s">
        <v>239</v>
      </c>
      <c r="BR79" s="3" t="s">
        <v>239</v>
      </c>
      <c r="BS79" s="3" t="s">
        <v>239</v>
      </c>
      <c r="BT79" s="3" t="s">
        <v>87</v>
      </c>
      <c r="BU79" s="3" t="s">
        <v>81</v>
      </c>
      <c r="BV79" s="3" t="s">
        <v>84</v>
      </c>
      <c r="BW79" s="3" t="s">
        <v>83</v>
      </c>
      <c r="BX79" s="3" t="s">
        <v>82</v>
      </c>
      <c r="BY79" s="3" t="s">
        <v>201</v>
      </c>
      <c r="BZ79" s="3" t="s">
        <v>86</v>
      </c>
      <c r="CA79"/>
      <c r="CB79"/>
      <c r="CC79"/>
      <c r="CD79"/>
      <c r="CE79"/>
      <c r="CF79" s="18"/>
      <c r="CG79" s="18"/>
      <c r="CH79" s="18"/>
      <c r="CI79" s="18"/>
    </row>
    <row r="80" spans="1:87" s="15" customFormat="1" x14ac:dyDescent="0.15">
      <c r="A80" s="3">
        <v>1228402683</v>
      </c>
      <c r="B80" s="3" t="s">
        <v>268</v>
      </c>
      <c r="C80" s="3" t="s">
        <v>268</v>
      </c>
      <c r="D80" s="3" t="s">
        <v>81</v>
      </c>
      <c r="E80" s="3">
        <v>6</v>
      </c>
      <c r="F80" s="3">
        <v>26.599</v>
      </c>
      <c r="G80" s="3">
        <v>0</v>
      </c>
      <c r="H80" s="3" t="s">
        <v>81</v>
      </c>
      <c r="I80" s="3" t="s">
        <v>81</v>
      </c>
      <c r="J80" s="3" t="s">
        <v>81</v>
      </c>
      <c r="K80" s="3" t="s">
        <v>81</v>
      </c>
      <c r="L80" s="3" t="s">
        <v>81</v>
      </c>
      <c r="M80" s="3" t="s">
        <v>81</v>
      </c>
      <c r="N80" s="3" t="s">
        <v>81</v>
      </c>
      <c r="O80" s="3" t="s">
        <v>81</v>
      </c>
      <c r="P80" s="3" t="s">
        <v>81</v>
      </c>
      <c r="Q80" s="3">
        <v>26.263000000000002</v>
      </c>
      <c r="R80" s="3">
        <v>0</v>
      </c>
      <c r="S80" s="3" t="s">
        <v>81</v>
      </c>
      <c r="T80" s="3" t="s">
        <v>81</v>
      </c>
      <c r="U80" s="3" t="s">
        <v>81</v>
      </c>
      <c r="V80" s="3" t="s">
        <v>81</v>
      </c>
      <c r="W80" s="3" t="s">
        <v>81</v>
      </c>
      <c r="X80" s="3" t="s">
        <v>81</v>
      </c>
      <c r="Y80" s="3" t="s">
        <v>81</v>
      </c>
      <c r="Z80" s="3" t="s">
        <v>81</v>
      </c>
      <c r="AA80" s="3" t="s">
        <v>81</v>
      </c>
      <c r="AB80" s="3">
        <v>24.309000000000001</v>
      </c>
      <c r="AC80" s="3">
        <v>0</v>
      </c>
      <c r="AD80" s="3" t="s">
        <v>81</v>
      </c>
      <c r="AE80" s="3" t="s">
        <v>81</v>
      </c>
      <c r="AF80" s="3" t="s">
        <v>81</v>
      </c>
      <c r="AG80" s="3" t="s">
        <v>81</v>
      </c>
      <c r="AH80" s="3" t="s">
        <v>81</v>
      </c>
      <c r="AI80" s="3" t="s">
        <v>81</v>
      </c>
      <c r="AJ80" s="3" t="s">
        <v>81</v>
      </c>
      <c r="AK80" s="3" t="s">
        <v>81</v>
      </c>
      <c r="AL80" s="3" t="s">
        <v>81</v>
      </c>
      <c r="AM80" s="3">
        <v>23.919</v>
      </c>
      <c r="AN80" s="3">
        <v>0</v>
      </c>
      <c r="AO80" s="3" t="s">
        <v>81</v>
      </c>
      <c r="AP80" s="3" t="s">
        <v>81</v>
      </c>
      <c r="AQ80" s="3" t="s">
        <v>81</v>
      </c>
      <c r="AR80" s="3" t="s">
        <v>81</v>
      </c>
      <c r="AS80" s="3" t="s">
        <v>81</v>
      </c>
      <c r="AT80" s="3" t="s">
        <v>81</v>
      </c>
      <c r="AU80" s="3" t="s">
        <v>81</v>
      </c>
      <c r="AV80" s="3" t="s">
        <v>81</v>
      </c>
      <c r="AW80" s="3" t="s">
        <v>81</v>
      </c>
      <c r="AX80" s="3">
        <v>24.46</v>
      </c>
      <c r="AY80" s="3">
        <v>0</v>
      </c>
      <c r="AZ80" s="3" t="s">
        <v>81</v>
      </c>
      <c r="BA80" s="3" t="s">
        <v>81</v>
      </c>
      <c r="BB80" s="3" t="s">
        <v>81</v>
      </c>
      <c r="BC80" s="3" t="s">
        <v>81</v>
      </c>
      <c r="BD80" s="3" t="s">
        <v>81</v>
      </c>
      <c r="BE80" s="3" t="s">
        <v>81</v>
      </c>
      <c r="BF80" s="3" t="s">
        <v>81</v>
      </c>
      <c r="BG80" s="3" t="s">
        <v>81</v>
      </c>
      <c r="BH80" s="3" t="s">
        <v>81</v>
      </c>
      <c r="BI80" s="3" t="s">
        <v>82</v>
      </c>
      <c r="BJ80" s="3" t="s">
        <v>82</v>
      </c>
      <c r="BK80" s="3" t="s">
        <v>83</v>
      </c>
      <c r="BL80" s="3" t="s">
        <v>84</v>
      </c>
      <c r="BM80" s="3" t="s">
        <v>84</v>
      </c>
      <c r="BN80" s="3" t="s">
        <v>84</v>
      </c>
      <c r="BO80" s="3" t="s">
        <v>82</v>
      </c>
      <c r="BP80" s="3" t="s">
        <v>87</v>
      </c>
      <c r="BQ80" s="3" t="s">
        <v>87</v>
      </c>
      <c r="BR80" s="3" t="s">
        <v>85</v>
      </c>
      <c r="BS80" s="3" t="s">
        <v>85</v>
      </c>
      <c r="BT80" s="3" t="s">
        <v>87</v>
      </c>
      <c r="BU80" s="3" t="s">
        <v>85</v>
      </c>
      <c r="BV80" s="3" t="s">
        <v>84</v>
      </c>
      <c r="BW80" s="3" t="s">
        <v>83</v>
      </c>
      <c r="BX80" s="3" t="s">
        <v>82</v>
      </c>
      <c r="BY80" s="3" t="s">
        <v>269</v>
      </c>
      <c r="BZ80" s="3" t="s">
        <v>93</v>
      </c>
      <c r="CA80" s="3" t="s">
        <v>232</v>
      </c>
      <c r="CB80" s="3" t="s">
        <v>84</v>
      </c>
      <c r="CC80"/>
      <c r="CD80" s="9">
        <v>6</v>
      </c>
      <c r="CE80" s="9"/>
      <c r="CF80" s="19"/>
      <c r="CG80" s="18"/>
      <c r="CH80" s="18"/>
      <c r="CI80" s="18"/>
    </row>
    <row r="81" spans="1:87" s="15" customFormat="1" x14ac:dyDescent="0.15">
      <c r="A81" s="3">
        <v>1228514570</v>
      </c>
      <c r="B81" s="3" t="s">
        <v>268</v>
      </c>
      <c r="C81" s="3" t="s">
        <v>268</v>
      </c>
      <c r="D81" s="3" t="s">
        <v>81</v>
      </c>
      <c r="E81" s="3">
        <v>7</v>
      </c>
      <c r="F81" s="3">
        <v>15.12</v>
      </c>
      <c r="G81" s="3">
        <v>0</v>
      </c>
      <c r="H81" s="3" t="s">
        <v>81</v>
      </c>
      <c r="I81" s="3" t="s">
        <v>81</v>
      </c>
      <c r="J81" s="3" t="s">
        <v>81</v>
      </c>
      <c r="K81" s="3" t="s">
        <v>81</v>
      </c>
      <c r="L81" s="3" t="s">
        <v>81</v>
      </c>
      <c r="M81" s="3" t="s">
        <v>81</v>
      </c>
      <c r="N81" s="3" t="s">
        <v>81</v>
      </c>
      <c r="O81" s="3" t="s">
        <v>81</v>
      </c>
      <c r="P81" s="3" t="s">
        <v>81</v>
      </c>
      <c r="Q81" s="3">
        <v>17.175999999999998</v>
      </c>
      <c r="R81" s="3">
        <v>0</v>
      </c>
      <c r="S81" s="3" t="s">
        <v>81</v>
      </c>
      <c r="T81" s="3" t="s">
        <v>81</v>
      </c>
      <c r="U81" s="3" t="s">
        <v>81</v>
      </c>
      <c r="V81" s="3" t="s">
        <v>81</v>
      </c>
      <c r="W81" s="3" t="s">
        <v>81</v>
      </c>
      <c r="X81" s="3" t="s">
        <v>81</v>
      </c>
      <c r="Y81" s="3" t="s">
        <v>81</v>
      </c>
      <c r="Z81" s="3" t="s">
        <v>81</v>
      </c>
      <c r="AA81" s="3" t="s">
        <v>81</v>
      </c>
      <c r="AB81" s="3">
        <v>18.393000000000001</v>
      </c>
      <c r="AC81" s="3">
        <v>0</v>
      </c>
      <c r="AD81" s="3" t="s">
        <v>81</v>
      </c>
      <c r="AE81" s="3" t="s">
        <v>81</v>
      </c>
      <c r="AF81" s="3" t="s">
        <v>81</v>
      </c>
      <c r="AG81" s="3" t="s">
        <v>81</v>
      </c>
      <c r="AH81" s="3" t="s">
        <v>81</v>
      </c>
      <c r="AI81" s="3" t="s">
        <v>81</v>
      </c>
      <c r="AJ81" s="3" t="s">
        <v>81</v>
      </c>
      <c r="AK81" s="3" t="s">
        <v>81</v>
      </c>
      <c r="AL81" s="3" t="s">
        <v>81</v>
      </c>
      <c r="AM81" s="3">
        <v>16.420999999999999</v>
      </c>
      <c r="AN81" s="3">
        <v>0</v>
      </c>
      <c r="AO81" s="3" t="s">
        <v>81</v>
      </c>
      <c r="AP81" s="3" t="s">
        <v>81</v>
      </c>
      <c r="AQ81" s="3" t="s">
        <v>81</v>
      </c>
      <c r="AR81" s="3" t="s">
        <v>81</v>
      </c>
      <c r="AS81" s="3" t="s">
        <v>81</v>
      </c>
      <c r="AT81" s="3" t="s">
        <v>81</v>
      </c>
      <c r="AU81" s="3" t="s">
        <v>81</v>
      </c>
      <c r="AV81" s="3" t="s">
        <v>81</v>
      </c>
      <c r="AW81" s="3" t="s">
        <v>81</v>
      </c>
      <c r="AX81" s="3">
        <v>17.652999999999999</v>
      </c>
      <c r="AY81" s="3">
        <v>0</v>
      </c>
      <c r="AZ81" s="3" t="s">
        <v>81</v>
      </c>
      <c r="BA81" s="3" t="s">
        <v>81</v>
      </c>
      <c r="BB81" s="3" t="s">
        <v>81</v>
      </c>
      <c r="BC81" s="3" t="s">
        <v>81</v>
      </c>
      <c r="BD81" s="3" t="s">
        <v>81</v>
      </c>
      <c r="BE81" s="3" t="s">
        <v>81</v>
      </c>
      <c r="BF81" s="3" t="s">
        <v>81</v>
      </c>
      <c r="BG81" s="3" t="s">
        <v>81</v>
      </c>
      <c r="BH81" s="3" t="s">
        <v>81</v>
      </c>
      <c r="BI81" s="3" t="s">
        <v>82</v>
      </c>
      <c r="BJ81" s="3" t="s">
        <v>84</v>
      </c>
      <c r="BK81" s="3" t="s">
        <v>84</v>
      </c>
      <c r="BL81" s="3" t="s">
        <v>84</v>
      </c>
      <c r="BM81" s="3" t="s">
        <v>84</v>
      </c>
      <c r="BN81" s="3" t="s">
        <v>84</v>
      </c>
      <c r="BO81" s="3" t="s">
        <v>82</v>
      </c>
      <c r="BP81" s="3" t="s">
        <v>270</v>
      </c>
      <c r="BQ81" s="3" t="s">
        <v>270</v>
      </c>
      <c r="BR81" s="3" t="s">
        <v>270</v>
      </c>
      <c r="BS81" s="3" t="s">
        <v>270</v>
      </c>
      <c r="BT81" s="3" t="s">
        <v>85</v>
      </c>
      <c r="BU81" s="3" t="s">
        <v>81</v>
      </c>
      <c r="BV81" s="3" t="s">
        <v>84</v>
      </c>
      <c r="BW81" s="3" t="s">
        <v>83</v>
      </c>
      <c r="BX81" s="3" t="s">
        <v>82</v>
      </c>
      <c r="BY81" s="3" t="s">
        <v>269</v>
      </c>
      <c r="BZ81" s="3" t="s">
        <v>93</v>
      </c>
      <c r="CA81"/>
      <c r="CB81" s="3" t="s">
        <v>84</v>
      </c>
      <c r="CC81"/>
      <c r="CD81" s="9">
        <v>6</v>
      </c>
      <c r="CE81" s="9">
        <v>7</v>
      </c>
      <c r="CF81" s="19">
        <v>4</v>
      </c>
      <c r="CG81" s="18"/>
      <c r="CH81" s="18"/>
      <c r="CI81" s="17"/>
    </row>
    <row r="82" spans="1:87" s="15" customFormat="1" x14ac:dyDescent="0.15">
      <c r="A82" s="3">
        <v>1319018918</v>
      </c>
      <c r="B82" s="3" t="s">
        <v>268</v>
      </c>
      <c r="C82" s="3" t="s">
        <v>268</v>
      </c>
      <c r="D82" s="3" t="s">
        <v>81</v>
      </c>
      <c r="E82" s="3">
        <v>3</v>
      </c>
      <c r="F82" s="3">
        <v>15.439</v>
      </c>
      <c r="G82" s="3">
        <v>0</v>
      </c>
      <c r="H82" s="3" t="s">
        <v>81</v>
      </c>
      <c r="I82" s="3" t="s">
        <v>81</v>
      </c>
      <c r="J82" s="3" t="s">
        <v>81</v>
      </c>
      <c r="K82" s="3" t="s">
        <v>81</v>
      </c>
      <c r="L82" s="3" t="s">
        <v>81</v>
      </c>
      <c r="M82" s="3" t="s">
        <v>81</v>
      </c>
      <c r="N82" s="3" t="s">
        <v>81</v>
      </c>
      <c r="O82" s="3" t="s">
        <v>81</v>
      </c>
      <c r="P82" s="3" t="s">
        <v>81</v>
      </c>
      <c r="Q82" s="3">
        <v>15.785</v>
      </c>
      <c r="R82" s="3">
        <v>0</v>
      </c>
      <c r="S82" s="3" t="s">
        <v>81</v>
      </c>
      <c r="T82" s="3" t="s">
        <v>81</v>
      </c>
      <c r="U82" s="3" t="s">
        <v>81</v>
      </c>
      <c r="V82" s="3" t="s">
        <v>81</v>
      </c>
      <c r="W82" s="3" t="s">
        <v>81</v>
      </c>
      <c r="X82" s="3" t="s">
        <v>81</v>
      </c>
      <c r="Y82" s="3" t="s">
        <v>81</v>
      </c>
      <c r="Z82" s="3" t="s">
        <v>81</v>
      </c>
      <c r="AA82" s="3" t="s">
        <v>81</v>
      </c>
      <c r="AB82" s="3">
        <v>16.558</v>
      </c>
      <c r="AC82" s="3">
        <v>0</v>
      </c>
      <c r="AD82" s="3" t="s">
        <v>81</v>
      </c>
      <c r="AE82" s="3" t="s">
        <v>81</v>
      </c>
      <c r="AF82" s="3" t="s">
        <v>81</v>
      </c>
      <c r="AG82" s="3" t="s">
        <v>81</v>
      </c>
      <c r="AH82" s="3" t="s">
        <v>81</v>
      </c>
      <c r="AI82" s="3" t="s">
        <v>81</v>
      </c>
      <c r="AJ82" s="3" t="s">
        <v>81</v>
      </c>
      <c r="AK82" s="3" t="s">
        <v>81</v>
      </c>
      <c r="AL82" s="3" t="s">
        <v>81</v>
      </c>
      <c r="AM82" s="3" t="s">
        <v>81</v>
      </c>
      <c r="AN82" s="3" t="s">
        <v>81</v>
      </c>
      <c r="AO82" s="3" t="s">
        <v>81</v>
      </c>
      <c r="AP82" s="3" t="s">
        <v>81</v>
      </c>
      <c r="AQ82" s="3" t="s">
        <v>81</v>
      </c>
      <c r="AR82" s="3" t="s">
        <v>81</v>
      </c>
      <c r="AS82" s="3" t="s">
        <v>81</v>
      </c>
      <c r="AT82" s="3" t="s">
        <v>81</v>
      </c>
      <c r="AU82" s="3" t="s">
        <v>81</v>
      </c>
      <c r="AV82" s="3" t="s">
        <v>81</v>
      </c>
      <c r="AW82" s="3" t="s">
        <v>81</v>
      </c>
      <c r="AX82" s="3" t="s">
        <v>81</v>
      </c>
      <c r="AY82" s="3" t="s">
        <v>81</v>
      </c>
      <c r="AZ82" s="3" t="s">
        <v>81</v>
      </c>
      <c r="BA82" s="3" t="s">
        <v>81</v>
      </c>
      <c r="BB82" s="3" t="s">
        <v>81</v>
      </c>
      <c r="BC82" s="3" t="s">
        <v>81</v>
      </c>
      <c r="BD82" s="3" t="s">
        <v>81</v>
      </c>
      <c r="BE82" s="3" t="s">
        <v>81</v>
      </c>
      <c r="BF82" s="3" t="s">
        <v>81</v>
      </c>
      <c r="BG82" s="3" t="s">
        <v>81</v>
      </c>
      <c r="BH82" s="3" t="s">
        <v>81</v>
      </c>
      <c r="BI82" s="3" t="s">
        <v>82</v>
      </c>
      <c r="BJ82" s="3" t="s">
        <v>84</v>
      </c>
      <c r="BK82" s="3" t="s">
        <v>82</v>
      </c>
      <c r="BL82" s="3" t="s">
        <v>84</v>
      </c>
      <c r="BM82" s="3" t="s">
        <v>84</v>
      </c>
      <c r="BN82" s="3" t="s">
        <v>84</v>
      </c>
      <c r="BO82" s="3" t="s">
        <v>82</v>
      </c>
      <c r="BP82" s="3" t="s">
        <v>271</v>
      </c>
      <c r="BQ82" s="3" t="s">
        <v>271</v>
      </c>
      <c r="BR82" s="3" t="s">
        <v>271</v>
      </c>
      <c r="BS82" s="3" t="s">
        <v>271</v>
      </c>
      <c r="BT82" s="3" t="s">
        <v>87</v>
      </c>
      <c r="BU82" s="3" t="s">
        <v>81</v>
      </c>
      <c r="BV82" s="3" t="s">
        <v>84</v>
      </c>
      <c r="BW82" s="3" t="s">
        <v>83</v>
      </c>
      <c r="BX82" s="3" t="s">
        <v>82</v>
      </c>
      <c r="BY82" s="3" t="s">
        <v>272</v>
      </c>
      <c r="BZ82" s="3" t="s">
        <v>86</v>
      </c>
      <c r="CA82"/>
      <c r="CB82" s="3" t="s">
        <v>84</v>
      </c>
      <c r="CC82"/>
      <c r="CD82" s="9">
        <v>6</v>
      </c>
      <c r="CE82" s="9">
        <v>3</v>
      </c>
      <c r="CF82" s="19"/>
      <c r="CG82" s="18"/>
      <c r="CH82" s="18"/>
      <c r="CI82" s="18"/>
    </row>
    <row r="83" spans="1:87" s="15" customFormat="1" x14ac:dyDescent="0.15">
      <c r="A83" s="3">
        <v>2625840813</v>
      </c>
      <c r="B83" s="3" t="s">
        <v>268</v>
      </c>
      <c r="C83" s="3" t="s">
        <v>268</v>
      </c>
      <c r="D83" s="3">
        <v>2</v>
      </c>
      <c r="E83" s="3">
        <v>6</v>
      </c>
      <c r="F83" s="3">
        <v>22.285</v>
      </c>
      <c r="G83" s="3">
        <v>0</v>
      </c>
      <c r="H83" s="3" t="s">
        <v>81</v>
      </c>
      <c r="I83" s="3" t="s">
        <v>81</v>
      </c>
      <c r="J83" s="3" t="s">
        <v>81</v>
      </c>
      <c r="K83" s="3" t="s">
        <v>81</v>
      </c>
      <c r="L83" s="3" t="s">
        <v>81</v>
      </c>
      <c r="M83" s="3" t="s">
        <v>81</v>
      </c>
      <c r="N83" s="3" t="s">
        <v>81</v>
      </c>
      <c r="O83" s="3" t="s">
        <v>81</v>
      </c>
      <c r="P83" s="3" t="s">
        <v>81</v>
      </c>
      <c r="Q83" s="3">
        <v>22.187999999999999</v>
      </c>
      <c r="R83" s="3">
        <v>0</v>
      </c>
      <c r="S83" s="3" t="s">
        <v>81</v>
      </c>
      <c r="T83" s="3" t="s">
        <v>81</v>
      </c>
      <c r="U83" s="3" t="s">
        <v>81</v>
      </c>
      <c r="V83" s="3" t="s">
        <v>81</v>
      </c>
      <c r="W83" s="3" t="s">
        <v>81</v>
      </c>
      <c r="X83" s="3" t="s">
        <v>81</v>
      </c>
      <c r="Y83" s="3" t="s">
        <v>81</v>
      </c>
      <c r="Z83" s="3" t="s">
        <v>81</v>
      </c>
      <c r="AA83" s="3" t="s">
        <v>81</v>
      </c>
      <c r="AB83" s="3">
        <v>22.558</v>
      </c>
      <c r="AC83" s="3">
        <v>0</v>
      </c>
      <c r="AD83" s="3" t="s">
        <v>81</v>
      </c>
      <c r="AE83" s="3" t="s">
        <v>81</v>
      </c>
      <c r="AF83" s="3" t="s">
        <v>81</v>
      </c>
      <c r="AG83" s="3" t="s">
        <v>81</v>
      </c>
      <c r="AH83" s="3" t="s">
        <v>81</v>
      </c>
      <c r="AI83" s="3" t="s">
        <v>81</v>
      </c>
      <c r="AJ83" s="3" t="s">
        <v>81</v>
      </c>
      <c r="AK83" s="3" t="s">
        <v>81</v>
      </c>
      <c r="AL83" s="3" t="s">
        <v>81</v>
      </c>
      <c r="AM83" s="3">
        <v>25.178999999999998</v>
      </c>
      <c r="AN83" s="3">
        <v>0</v>
      </c>
      <c r="AO83" s="3" t="s">
        <v>81</v>
      </c>
      <c r="AP83" s="3" t="s">
        <v>81</v>
      </c>
      <c r="AQ83" s="3" t="s">
        <v>81</v>
      </c>
      <c r="AR83" s="3" t="s">
        <v>81</v>
      </c>
      <c r="AS83" s="3" t="s">
        <v>81</v>
      </c>
      <c r="AT83" s="3" t="s">
        <v>81</v>
      </c>
      <c r="AU83" s="3" t="s">
        <v>81</v>
      </c>
      <c r="AV83" s="3" t="s">
        <v>81</v>
      </c>
      <c r="AW83" s="3" t="s">
        <v>81</v>
      </c>
      <c r="AX83" s="3">
        <v>25.082000000000001</v>
      </c>
      <c r="AY83" s="3">
        <v>0</v>
      </c>
      <c r="AZ83" s="3" t="s">
        <v>81</v>
      </c>
      <c r="BA83" s="3" t="s">
        <v>81</v>
      </c>
      <c r="BB83" s="3" t="s">
        <v>81</v>
      </c>
      <c r="BC83" s="3" t="s">
        <v>81</v>
      </c>
      <c r="BD83" s="3" t="s">
        <v>81</v>
      </c>
      <c r="BE83" s="3" t="s">
        <v>81</v>
      </c>
      <c r="BF83" s="3" t="s">
        <v>81</v>
      </c>
      <c r="BG83" s="3" t="s">
        <v>81</v>
      </c>
      <c r="BH83" s="3" t="s">
        <v>81</v>
      </c>
      <c r="BI83" s="3" t="s">
        <v>84</v>
      </c>
      <c r="BJ83" s="3" t="s">
        <v>84</v>
      </c>
      <c r="BK83" s="3" t="s">
        <v>82</v>
      </c>
      <c r="BL83" s="3" t="s">
        <v>84</v>
      </c>
      <c r="BM83" s="3" t="s">
        <v>84</v>
      </c>
      <c r="BN83" s="3" t="s">
        <v>84</v>
      </c>
      <c r="BO83" s="3" t="s">
        <v>82</v>
      </c>
      <c r="BP83" s="3" t="s">
        <v>81</v>
      </c>
      <c r="BQ83" s="3" t="s">
        <v>81</v>
      </c>
      <c r="BR83" s="3" t="s">
        <v>81</v>
      </c>
      <c r="BS83" s="3" t="s">
        <v>81</v>
      </c>
      <c r="BT83" s="3" t="s">
        <v>81</v>
      </c>
      <c r="BU83" s="3" t="s">
        <v>81</v>
      </c>
      <c r="BV83" s="3" t="s">
        <v>84</v>
      </c>
      <c r="BW83" s="3" t="s">
        <v>83</v>
      </c>
      <c r="BX83" s="3" t="s">
        <v>82</v>
      </c>
      <c r="BY83"/>
      <c r="BZ83" s="3" t="s">
        <v>86</v>
      </c>
      <c r="CA83"/>
      <c r="CB83" s="3" t="s">
        <v>84</v>
      </c>
      <c r="CC83"/>
      <c r="CD83" s="9">
        <v>6</v>
      </c>
      <c r="CE83" s="9">
        <v>3</v>
      </c>
      <c r="CF83" s="19"/>
      <c r="CG83" s="18"/>
      <c r="CH83" s="18"/>
      <c r="CI83" s="18"/>
    </row>
    <row r="84" spans="1:87" s="15" customFormat="1" x14ac:dyDescent="0.15">
      <c r="A84" s="3">
        <v>2625901049</v>
      </c>
      <c r="B84" s="3" t="s">
        <v>268</v>
      </c>
      <c r="C84" s="3" t="s">
        <v>268</v>
      </c>
      <c r="D84" s="3">
        <v>1</v>
      </c>
      <c r="E84" s="3">
        <v>4</v>
      </c>
      <c r="F84" s="3">
        <v>21.292999999999999</v>
      </c>
      <c r="G84" s="3">
        <v>0</v>
      </c>
      <c r="H84" s="3" t="s">
        <v>81</v>
      </c>
      <c r="I84" s="3" t="s">
        <v>81</v>
      </c>
      <c r="J84" s="3" t="s">
        <v>81</v>
      </c>
      <c r="K84" s="3" t="s">
        <v>81</v>
      </c>
      <c r="L84" s="3" t="s">
        <v>81</v>
      </c>
      <c r="M84" s="3" t="s">
        <v>81</v>
      </c>
      <c r="N84" s="3" t="s">
        <v>81</v>
      </c>
      <c r="O84" s="3" t="s">
        <v>81</v>
      </c>
      <c r="P84" s="3" t="s">
        <v>81</v>
      </c>
      <c r="Q84" s="3">
        <v>20.523</v>
      </c>
      <c r="R84" s="3">
        <v>0</v>
      </c>
      <c r="S84" s="3" t="s">
        <v>81</v>
      </c>
      <c r="T84" s="3" t="s">
        <v>81</v>
      </c>
      <c r="U84" s="3" t="s">
        <v>81</v>
      </c>
      <c r="V84" s="3" t="s">
        <v>81</v>
      </c>
      <c r="W84" s="3" t="s">
        <v>81</v>
      </c>
      <c r="X84" s="3" t="s">
        <v>81</v>
      </c>
      <c r="Y84" s="3" t="s">
        <v>81</v>
      </c>
      <c r="Z84" s="3" t="s">
        <v>81</v>
      </c>
      <c r="AA84" s="3" t="s">
        <v>81</v>
      </c>
      <c r="AB84" s="3">
        <v>20.824999999999999</v>
      </c>
      <c r="AC84" s="3">
        <v>0</v>
      </c>
      <c r="AD84" s="3" t="s">
        <v>81</v>
      </c>
      <c r="AE84" s="3" t="s">
        <v>81</v>
      </c>
      <c r="AF84" s="3" t="s">
        <v>81</v>
      </c>
      <c r="AG84" s="3" t="s">
        <v>81</v>
      </c>
      <c r="AH84" s="3" t="s">
        <v>81</v>
      </c>
      <c r="AI84" s="3" t="s">
        <v>81</v>
      </c>
      <c r="AJ84" s="3" t="s">
        <v>81</v>
      </c>
      <c r="AK84" s="3" t="s">
        <v>81</v>
      </c>
      <c r="AL84" s="3" t="s">
        <v>81</v>
      </c>
      <c r="AM84" s="3">
        <v>20.003</v>
      </c>
      <c r="AN84" s="3">
        <v>0</v>
      </c>
      <c r="AO84" s="3" t="s">
        <v>81</v>
      </c>
      <c r="AP84" s="3" t="s">
        <v>81</v>
      </c>
      <c r="AQ84" s="3" t="s">
        <v>81</v>
      </c>
      <c r="AR84" s="3" t="s">
        <v>81</v>
      </c>
      <c r="AS84" s="3" t="s">
        <v>81</v>
      </c>
      <c r="AT84" s="3" t="s">
        <v>81</v>
      </c>
      <c r="AU84" s="3" t="s">
        <v>81</v>
      </c>
      <c r="AV84" s="3" t="s">
        <v>81</v>
      </c>
      <c r="AW84" s="3" t="s">
        <v>81</v>
      </c>
      <c r="AX84" s="3" t="s">
        <v>81</v>
      </c>
      <c r="AY84" s="3" t="s">
        <v>81</v>
      </c>
      <c r="AZ84" s="3" t="s">
        <v>81</v>
      </c>
      <c r="BA84" s="3" t="s">
        <v>81</v>
      </c>
      <c r="BB84" s="3" t="s">
        <v>81</v>
      </c>
      <c r="BC84" s="3" t="s">
        <v>81</v>
      </c>
      <c r="BD84" s="3" t="s">
        <v>81</v>
      </c>
      <c r="BE84" s="3" t="s">
        <v>81</v>
      </c>
      <c r="BF84" s="3" t="s">
        <v>81</v>
      </c>
      <c r="BG84" s="3" t="s">
        <v>81</v>
      </c>
      <c r="BH84" s="3" t="s">
        <v>81</v>
      </c>
      <c r="BI84" s="3" t="s">
        <v>84</v>
      </c>
      <c r="BJ84" s="3" t="s">
        <v>84</v>
      </c>
      <c r="BK84" s="3" t="s">
        <v>84</v>
      </c>
      <c r="BL84" s="3" t="s">
        <v>82</v>
      </c>
      <c r="BM84" s="3" t="s">
        <v>83</v>
      </c>
      <c r="BN84" s="3" t="s">
        <v>84</v>
      </c>
      <c r="BO84" s="3" t="s">
        <v>83</v>
      </c>
      <c r="BP84" s="3" t="s">
        <v>273</v>
      </c>
      <c r="BQ84" s="3" t="s">
        <v>273</v>
      </c>
      <c r="BR84" s="3" t="s">
        <v>273</v>
      </c>
      <c r="BS84" s="3" t="s">
        <v>273</v>
      </c>
      <c r="BT84" s="3" t="s">
        <v>85</v>
      </c>
      <c r="BU84" s="3" t="s">
        <v>81</v>
      </c>
      <c r="BV84" s="3" t="s">
        <v>84</v>
      </c>
      <c r="BW84" s="3" t="s">
        <v>83</v>
      </c>
      <c r="BX84" s="3" t="s">
        <v>82</v>
      </c>
      <c r="BY84"/>
      <c r="BZ84" s="3" t="s">
        <v>86</v>
      </c>
      <c r="CA84"/>
      <c r="CB84" s="3" t="s">
        <v>84</v>
      </c>
      <c r="CC84"/>
      <c r="CD84" s="9">
        <v>4</v>
      </c>
      <c r="CE84" s="9">
        <v>3</v>
      </c>
      <c r="CF84" s="19"/>
      <c r="CG84" s="18"/>
      <c r="CH84" s="18"/>
      <c r="CI84" s="18"/>
    </row>
    <row r="85" spans="1:87" s="15" customFormat="1" x14ac:dyDescent="0.15">
      <c r="A85" s="3">
        <v>1318016369</v>
      </c>
      <c r="B85" s="3" t="s">
        <v>274</v>
      </c>
      <c r="C85" s="3" t="s">
        <v>268</v>
      </c>
      <c r="D85" s="3">
        <v>2</v>
      </c>
      <c r="E85" s="3">
        <v>6</v>
      </c>
      <c r="F85" s="3">
        <v>19.817</v>
      </c>
      <c r="G85" s="3">
        <v>0</v>
      </c>
      <c r="H85" s="3" t="s">
        <v>81</v>
      </c>
      <c r="I85" s="3" t="s">
        <v>81</v>
      </c>
      <c r="J85" s="3" t="s">
        <v>81</v>
      </c>
      <c r="K85" s="3" t="s">
        <v>81</v>
      </c>
      <c r="L85" s="3" t="s">
        <v>81</v>
      </c>
      <c r="M85" s="3" t="s">
        <v>81</v>
      </c>
      <c r="N85" s="3" t="s">
        <v>81</v>
      </c>
      <c r="O85" s="3" t="s">
        <v>81</v>
      </c>
      <c r="P85" s="3" t="s">
        <v>81</v>
      </c>
      <c r="Q85" s="3">
        <v>18.239999999999998</v>
      </c>
      <c r="R85" s="3">
        <v>0</v>
      </c>
      <c r="S85" s="3" t="s">
        <v>81</v>
      </c>
      <c r="T85" s="3" t="s">
        <v>81</v>
      </c>
      <c r="U85" s="3" t="s">
        <v>81</v>
      </c>
      <c r="V85" s="3" t="s">
        <v>81</v>
      </c>
      <c r="W85" s="3" t="s">
        <v>81</v>
      </c>
      <c r="X85" s="3" t="s">
        <v>81</v>
      </c>
      <c r="Y85" s="3" t="s">
        <v>81</v>
      </c>
      <c r="Z85" s="3" t="s">
        <v>81</v>
      </c>
      <c r="AA85" s="3" t="s">
        <v>81</v>
      </c>
      <c r="AB85" s="3">
        <v>17.312000000000001</v>
      </c>
      <c r="AC85" s="3">
        <v>0</v>
      </c>
      <c r="AD85" s="3" t="s">
        <v>81</v>
      </c>
      <c r="AE85" s="3" t="s">
        <v>81</v>
      </c>
      <c r="AF85" s="3" t="s">
        <v>81</v>
      </c>
      <c r="AG85" s="3" t="s">
        <v>81</v>
      </c>
      <c r="AH85" s="3" t="s">
        <v>81</v>
      </c>
      <c r="AI85" s="3" t="s">
        <v>81</v>
      </c>
      <c r="AJ85" s="3" t="s">
        <v>81</v>
      </c>
      <c r="AK85" s="3" t="s">
        <v>81</v>
      </c>
      <c r="AL85" s="3" t="s">
        <v>81</v>
      </c>
      <c r="AM85" s="3">
        <v>18.201000000000001</v>
      </c>
      <c r="AN85" s="3">
        <v>0</v>
      </c>
      <c r="AO85" s="3" t="s">
        <v>81</v>
      </c>
      <c r="AP85" s="3" t="s">
        <v>81</v>
      </c>
      <c r="AQ85" s="3" t="s">
        <v>81</v>
      </c>
      <c r="AR85" s="3" t="s">
        <v>81</v>
      </c>
      <c r="AS85" s="3" t="s">
        <v>81</v>
      </c>
      <c r="AT85" s="3" t="s">
        <v>81</v>
      </c>
      <c r="AU85" s="3" t="s">
        <v>81</v>
      </c>
      <c r="AV85" s="3" t="s">
        <v>81</v>
      </c>
      <c r="AW85" s="3" t="s">
        <v>81</v>
      </c>
      <c r="AX85" s="3">
        <v>17.861000000000001</v>
      </c>
      <c r="AY85" s="3">
        <v>0</v>
      </c>
      <c r="AZ85" s="3" t="s">
        <v>81</v>
      </c>
      <c r="BA85" s="3" t="s">
        <v>81</v>
      </c>
      <c r="BB85" s="3" t="s">
        <v>81</v>
      </c>
      <c r="BC85" s="3" t="s">
        <v>81</v>
      </c>
      <c r="BD85" s="3" t="s">
        <v>81</v>
      </c>
      <c r="BE85" s="3" t="s">
        <v>81</v>
      </c>
      <c r="BF85" s="3" t="s">
        <v>81</v>
      </c>
      <c r="BG85" s="3" t="s">
        <v>81</v>
      </c>
      <c r="BH85" s="3" t="s">
        <v>81</v>
      </c>
      <c r="BI85" s="3" t="s">
        <v>82</v>
      </c>
      <c r="BJ85" s="3" t="s">
        <v>84</v>
      </c>
      <c r="BK85" s="3" t="s">
        <v>82</v>
      </c>
      <c r="BL85" s="3" t="s">
        <v>84</v>
      </c>
      <c r="BM85" s="3" t="s">
        <v>84</v>
      </c>
      <c r="BN85" s="3" t="s">
        <v>84</v>
      </c>
      <c r="BO85" s="3" t="s">
        <v>82</v>
      </c>
      <c r="BP85" s="3" t="s">
        <v>129</v>
      </c>
      <c r="BQ85" s="3" t="s">
        <v>129</v>
      </c>
      <c r="BR85" s="3" t="s">
        <v>188</v>
      </c>
      <c r="BS85" s="3" t="s">
        <v>188</v>
      </c>
      <c r="BT85" s="3" t="s">
        <v>85</v>
      </c>
      <c r="BU85" s="3" t="s">
        <v>129</v>
      </c>
      <c r="BV85" s="3" t="s">
        <v>84</v>
      </c>
      <c r="BW85" s="3" t="s">
        <v>83</v>
      </c>
      <c r="BX85" s="3" t="s">
        <v>82</v>
      </c>
      <c r="BY85" s="3"/>
      <c r="BZ85" s="3" t="s">
        <v>86</v>
      </c>
      <c r="CA85" s="3"/>
      <c r="CB85" s="3" t="s">
        <v>84</v>
      </c>
      <c r="CC85" s="3"/>
      <c r="CD85" s="9">
        <v>2</v>
      </c>
      <c r="CE85" s="9">
        <v>4</v>
      </c>
      <c r="CF85" s="19">
        <v>6</v>
      </c>
      <c r="CG85" s="17">
        <v>5</v>
      </c>
      <c r="CH85" s="17"/>
      <c r="CI85" s="18"/>
    </row>
    <row r="86" spans="1:87" x14ac:dyDescent="0.15">
      <c r="A86" s="3">
        <v>1320565470</v>
      </c>
      <c r="B86" s="3" t="s">
        <v>274</v>
      </c>
      <c r="C86" s="3" t="s">
        <v>268</v>
      </c>
      <c r="D86" s="3">
        <v>3</v>
      </c>
      <c r="E86" s="3">
        <v>3</v>
      </c>
      <c r="F86" s="3">
        <v>21.794</v>
      </c>
      <c r="G86" s="3">
        <v>0</v>
      </c>
      <c r="H86" s="3" t="s">
        <v>81</v>
      </c>
      <c r="I86" s="3" t="s">
        <v>81</v>
      </c>
      <c r="J86" s="3" t="s">
        <v>81</v>
      </c>
      <c r="K86" s="3" t="s">
        <v>81</v>
      </c>
      <c r="L86" s="3" t="s">
        <v>81</v>
      </c>
      <c r="M86" s="3" t="s">
        <v>81</v>
      </c>
      <c r="N86" s="3" t="s">
        <v>81</v>
      </c>
      <c r="O86" s="3" t="s">
        <v>81</v>
      </c>
      <c r="P86" s="3" t="s">
        <v>81</v>
      </c>
      <c r="Q86" s="3">
        <v>19.228000000000002</v>
      </c>
      <c r="R86" s="3">
        <v>0</v>
      </c>
      <c r="S86" s="3" t="s">
        <v>81</v>
      </c>
      <c r="T86" s="3" t="s">
        <v>81</v>
      </c>
      <c r="U86" s="3" t="s">
        <v>81</v>
      </c>
      <c r="V86" s="3" t="s">
        <v>81</v>
      </c>
      <c r="W86" s="3" t="s">
        <v>81</v>
      </c>
      <c r="X86" s="3" t="s">
        <v>81</v>
      </c>
      <c r="Y86" s="3" t="s">
        <v>81</v>
      </c>
      <c r="Z86" s="3" t="s">
        <v>81</v>
      </c>
      <c r="AA86" s="3" t="s">
        <v>81</v>
      </c>
      <c r="AB86" s="3">
        <v>20.873999999999999</v>
      </c>
      <c r="AC86" s="3">
        <v>0</v>
      </c>
      <c r="AD86" s="3" t="s">
        <v>81</v>
      </c>
      <c r="AE86" s="3" t="s">
        <v>81</v>
      </c>
      <c r="AF86" s="3" t="s">
        <v>81</v>
      </c>
      <c r="AG86" s="3" t="s">
        <v>81</v>
      </c>
      <c r="AH86" s="3" t="s">
        <v>81</v>
      </c>
      <c r="AI86" s="3" t="s">
        <v>81</v>
      </c>
      <c r="AJ86" s="3" t="s">
        <v>81</v>
      </c>
      <c r="AK86" s="3" t="s">
        <v>81</v>
      </c>
      <c r="AL86" s="3" t="s">
        <v>81</v>
      </c>
      <c r="AM86" s="3" t="s">
        <v>81</v>
      </c>
      <c r="AN86" s="3" t="s">
        <v>81</v>
      </c>
      <c r="AO86" s="3" t="s">
        <v>81</v>
      </c>
      <c r="AP86" s="3" t="s">
        <v>81</v>
      </c>
      <c r="AQ86" s="3" t="s">
        <v>81</v>
      </c>
      <c r="AR86" s="3" t="s">
        <v>81</v>
      </c>
      <c r="AS86" s="3" t="s">
        <v>81</v>
      </c>
      <c r="AT86" s="3" t="s">
        <v>81</v>
      </c>
      <c r="AU86" s="3" t="s">
        <v>81</v>
      </c>
      <c r="AV86" s="3" t="s">
        <v>81</v>
      </c>
      <c r="AW86" s="3" t="s">
        <v>81</v>
      </c>
      <c r="AX86" s="3" t="s">
        <v>81</v>
      </c>
      <c r="AY86" s="3" t="s">
        <v>81</v>
      </c>
      <c r="AZ86" s="3" t="s">
        <v>81</v>
      </c>
      <c r="BA86" s="3" t="s">
        <v>81</v>
      </c>
      <c r="BB86" s="3" t="s">
        <v>81</v>
      </c>
      <c r="BC86" s="3" t="s">
        <v>81</v>
      </c>
      <c r="BD86" s="3" t="s">
        <v>81</v>
      </c>
      <c r="BE86" s="3" t="s">
        <v>81</v>
      </c>
      <c r="BF86" s="3" t="s">
        <v>81</v>
      </c>
      <c r="BG86" s="3" t="s">
        <v>81</v>
      </c>
      <c r="BH86" s="3" t="s">
        <v>81</v>
      </c>
      <c r="BI86" s="3" t="s">
        <v>82</v>
      </c>
      <c r="BJ86" s="3" t="s">
        <v>84</v>
      </c>
      <c r="BK86" s="3" t="s">
        <v>82</v>
      </c>
      <c r="BL86" s="3" t="s">
        <v>82</v>
      </c>
      <c r="BM86" s="3" t="s">
        <v>83</v>
      </c>
      <c r="BN86" s="3" t="s">
        <v>84</v>
      </c>
      <c r="BO86" s="3" t="s">
        <v>82</v>
      </c>
      <c r="BP86" s="3" t="s">
        <v>87</v>
      </c>
      <c r="BQ86" s="3" t="s">
        <v>87</v>
      </c>
      <c r="BR86" s="3" t="s">
        <v>87</v>
      </c>
      <c r="BS86" s="3" t="s">
        <v>87</v>
      </c>
      <c r="BT86" s="3" t="s">
        <v>87</v>
      </c>
      <c r="BU86" s="3" t="s">
        <v>81</v>
      </c>
      <c r="BV86" s="3" t="s">
        <v>83</v>
      </c>
      <c r="BW86" s="3" t="s">
        <v>83</v>
      </c>
      <c r="BX86" s="3" t="s">
        <v>83</v>
      </c>
      <c r="BZ86" s="3" t="s">
        <v>86</v>
      </c>
      <c r="CB86" s="3" t="s">
        <v>84</v>
      </c>
      <c r="CD86" s="9">
        <v>3</v>
      </c>
      <c r="CE86" s="9">
        <v>3</v>
      </c>
      <c r="CF86" s="19">
        <v>3</v>
      </c>
      <c r="CG86" s="18"/>
      <c r="CH86" s="18"/>
      <c r="CI86" s="18"/>
    </row>
    <row r="87" spans="1:87" x14ac:dyDescent="0.15">
      <c r="A87" s="3">
        <v>1320921389</v>
      </c>
      <c r="B87" s="3" t="s">
        <v>274</v>
      </c>
      <c r="C87" s="3" t="s">
        <v>268</v>
      </c>
      <c r="D87" s="3">
        <v>2</v>
      </c>
      <c r="E87" s="3">
        <v>3</v>
      </c>
      <c r="F87" s="3">
        <v>15.051</v>
      </c>
      <c r="G87" s="3">
        <v>0</v>
      </c>
      <c r="H87" s="3" t="s">
        <v>81</v>
      </c>
      <c r="I87" s="3" t="s">
        <v>81</v>
      </c>
      <c r="J87" s="3" t="s">
        <v>81</v>
      </c>
      <c r="K87" s="3" t="s">
        <v>81</v>
      </c>
      <c r="L87" s="3" t="s">
        <v>81</v>
      </c>
      <c r="M87" s="3" t="s">
        <v>81</v>
      </c>
      <c r="N87" s="3" t="s">
        <v>81</v>
      </c>
      <c r="O87" s="3" t="s">
        <v>81</v>
      </c>
      <c r="P87" s="3" t="s">
        <v>81</v>
      </c>
      <c r="Q87" s="3">
        <v>17.367999999999999</v>
      </c>
      <c r="R87" s="3">
        <v>0</v>
      </c>
      <c r="S87" s="3" t="s">
        <v>81</v>
      </c>
      <c r="T87" s="3" t="s">
        <v>81</v>
      </c>
      <c r="U87" s="3" t="s">
        <v>81</v>
      </c>
      <c r="V87" s="3" t="s">
        <v>81</v>
      </c>
      <c r="W87" s="3" t="s">
        <v>81</v>
      </c>
      <c r="X87" s="3" t="s">
        <v>81</v>
      </c>
      <c r="Y87" s="3" t="s">
        <v>81</v>
      </c>
      <c r="Z87" s="3" t="s">
        <v>81</v>
      </c>
      <c r="AA87" s="3" t="s">
        <v>81</v>
      </c>
      <c r="AB87" s="3">
        <v>16.111999999999998</v>
      </c>
      <c r="AC87" s="3">
        <v>0</v>
      </c>
      <c r="AD87" s="3" t="s">
        <v>81</v>
      </c>
      <c r="AE87" s="3" t="s">
        <v>81</v>
      </c>
      <c r="AF87" s="3" t="s">
        <v>81</v>
      </c>
      <c r="AG87" s="3" t="s">
        <v>81</v>
      </c>
      <c r="AH87" s="3" t="s">
        <v>81</v>
      </c>
      <c r="AI87" s="3" t="s">
        <v>81</v>
      </c>
      <c r="AJ87" s="3" t="s">
        <v>81</v>
      </c>
      <c r="AK87" s="3" t="s">
        <v>81</v>
      </c>
      <c r="AL87" s="3" t="s">
        <v>81</v>
      </c>
      <c r="AM87" s="3" t="s">
        <v>81</v>
      </c>
      <c r="AN87" s="3" t="s">
        <v>81</v>
      </c>
      <c r="AO87" s="3" t="s">
        <v>81</v>
      </c>
      <c r="AP87" s="3" t="s">
        <v>81</v>
      </c>
      <c r="AQ87" s="3" t="s">
        <v>81</v>
      </c>
      <c r="AR87" s="3" t="s">
        <v>81</v>
      </c>
      <c r="AS87" s="3" t="s">
        <v>81</v>
      </c>
      <c r="AT87" s="3" t="s">
        <v>81</v>
      </c>
      <c r="AU87" s="3" t="s">
        <v>81</v>
      </c>
      <c r="AV87" s="3" t="s">
        <v>81</v>
      </c>
      <c r="AW87" s="3" t="s">
        <v>81</v>
      </c>
      <c r="AX87" s="3" t="s">
        <v>81</v>
      </c>
      <c r="AY87" s="3" t="s">
        <v>81</v>
      </c>
      <c r="AZ87" s="3" t="s">
        <v>81</v>
      </c>
      <c r="BA87" s="3" t="s">
        <v>81</v>
      </c>
      <c r="BB87" s="3" t="s">
        <v>81</v>
      </c>
      <c r="BC87" s="3" t="s">
        <v>81</v>
      </c>
      <c r="BD87" s="3" t="s">
        <v>81</v>
      </c>
      <c r="BE87" s="3" t="s">
        <v>81</v>
      </c>
      <c r="BF87" s="3" t="s">
        <v>81</v>
      </c>
      <c r="BG87" s="3" t="s">
        <v>81</v>
      </c>
      <c r="BH87" s="3" t="s">
        <v>81</v>
      </c>
      <c r="BI87" s="3" t="s">
        <v>82</v>
      </c>
      <c r="BJ87" s="3" t="s">
        <v>84</v>
      </c>
      <c r="BK87" s="3" t="s">
        <v>82</v>
      </c>
      <c r="BL87" s="3" t="s">
        <v>84</v>
      </c>
      <c r="BM87" s="3" t="s">
        <v>84</v>
      </c>
      <c r="BN87" s="3" t="s">
        <v>84</v>
      </c>
      <c r="BO87" s="3" t="s">
        <v>82</v>
      </c>
      <c r="BP87" s="3" t="s">
        <v>87</v>
      </c>
      <c r="BQ87" s="3" t="s">
        <v>87</v>
      </c>
      <c r="BR87" s="3" t="s">
        <v>87</v>
      </c>
      <c r="BS87" s="3" t="s">
        <v>87</v>
      </c>
      <c r="BT87" s="3" t="s">
        <v>87</v>
      </c>
      <c r="BU87" s="3" t="s">
        <v>81</v>
      </c>
      <c r="BV87" s="3" t="s">
        <v>84</v>
      </c>
      <c r="BW87" s="3" t="s">
        <v>83</v>
      </c>
      <c r="BX87" s="3" t="s">
        <v>82</v>
      </c>
      <c r="BZ87" s="3" t="s">
        <v>86</v>
      </c>
      <c r="CB87" s="3" t="s">
        <v>84</v>
      </c>
      <c r="CD87" s="9">
        <v>3</v>
      </c>
      <c r="CE87" s="9"/>
      <c r="CF87" s="19"/>
      <c r="CG87" s="18"/>
      <c r="CH87" s="18"/>
      <c r="CI87" s="18"/>
    </row>
    <row r="88" spans="1:87" s="18" customFormat="1" x14ac:dyDescent="0.15">
      <c r="A88" s="17">
        <v>1320783842</v>
      </c>
      <c r="B88" s="17" t="s">
        <v>281</v>
      </c>
      <c r="C88" s="17" t="s">
        <v>282</v>
      </c>
      <c r="D88" s="17" t="s">
        <v>81</v>
      </c>
      <c r="E88" s="17">
        <v>11</v>
      </c>
      <c r="F88" s="17">
        <v>85.872</v>
      </c>
      <c r="G88" s="17">
        <v>1</v>
      </c>
      <c r="H88" s="17">
        <v>59.33</v>
      </c>
      <c r="I88" s="17">
        <v>27.379000000000001</v>
      </c>
      <c r="J88" s="17">
        <v>26.119</v>
      </c>
      <c r="K88" s="17" t="s">
        <v>81</v>
      </c>
      <c r="L88" s="17" t="s">
        <v>81</v>
      </c>
      <c r="M88" s="17" t="s">
        <v>81</v>
      </c>
      <c r="N88" s="17" t="s">
        <v>81</v>
      </c>
      <c r="O88" s="17" t="s">
        <v>81</v>
      </c>
      <c r="P88" s="17" t="s">
        <v>81</v>
      </c>
      <c r="Q88" s="17">
        <v>81.117000000000004</v>
      </c>
      <c r="R88" s="17">
        <v>1</v>
      </c>
      <c r="S88" s="17">
        <v>65.655000000000001</v>
      </c>
      <c r="T88" s="17">
        <v>30.4</v>
      </c>
      <c r="U88" s="17">
        <v>15.138</v>
      </c>
      <c r="V88" s="17" t="s">
        <v>81</v>
      </c>
      <c r="W88" s="17" t="s">
        <v>81</v>
      </c>
      <c r="X88" s="17" t="s">
        <v>81</v>
      </c>
      <c r="Y88" s="17" t="s">
        <v>81</v>
      </c>
      <c r="Z88" s="17" t="s">
        <v>81</v>
      </c>
      <c r="AA88" s="17" t="s">
        <v>81</v>
      </c>
      <c r="AB88" s="17">
        <v>89.414000000000001</v>
      </c>
      <c r="AC88" s="17">
        <v>1</v>
      </c>
      <c r="AD88" s="17">
        <v>63.692999999999998</v>
      </c>
      <c r="AE88" s="17">
        <v>28.012</v>
      </c>
      <c r="AF88" s="17">
        <v>24.472000000000001</v>
      </c>
      <c r="AG88" s="17" t="s">
        <v>81</v>
      </c>
      <c r="AH88" s="17" t="s">
        <v>81</v>
      </c>
      <c r="AI88" s="17" t="s">
        <v>81</v>
      </c>
      <c r="AJ88" s="17" t="s">
        <v>81</v>
      </c>
      <c r="AK88" s="17" t="s">
        <v>81</v>
      </c>
      <c r="AL88" s="17" t="s">
        <v>81</v>
      </c>
      <c r="AM88" s="17">
        <v>86.450999999999993</v>
      </c>
      <c r="AN88" s="17">
        <v>1</v>
      </c>
      <c r="AO88" s="17">
        <v>56.738999999999997</v>
      </c>
      <c r="AP88" s="17">
        <v>27.5</v>
      </c>
      <c r="AQ88" s="17">
        <v>29.888999999999999</v>
      </c>
      <c r="AR88" s="17" t="s">
        <v>81</v>
      </c>
      <c r="AS88" s="17" t="s">
        <v>81</v>
      </c>
      <c r="AT88" s="17" t="s">
        <v>81</v>
      </c>
      <c r="AU88" s="17" t="s">
        <v>81</v>
      </c>
      <c r="AV88" s="17" t="s">
        <v>81</v>
      </c>
      <c r="AW88" s="17" t="s">
        <v>81</v>
      </c>
      <c r="AX88" s="17">
        <v>84.382000000000005</v>
      </c>
      <c r="AY88" s="17">
        <v>1</v>
      </c>
      <c r="AZ88" s="17">
        <v>63.511000000000003</v>
      </c>
      <c r="BA88" s="17">
        <v>26.138999999999999</v>
      </c>
      <c r="BB88" s="17">
        <v>21.134</v>
      </c>
      <c r="BC88" s="17" t="s">
        <v>81</v>
      </c>
      <c r="BD88" s="17" t="s">
        <v>81</v>
      </c>
      <c r="BE88" s="17" t="s">
        <v>81</v>
      </c>
      <c r="BF88" s="17" t="s">
        <v>81</v>
      </c>
      <c r="BG88" s="17" t="s">
        <v>81</v>
      </c>
      <c r="BH88" s="17" t="s">
        <v>81</v>
      </c>
      <c r="BI88" s="17" t="s">
        <v>84</v>
      </c>
      <c r="BJ88" s="17" t="s">
        <v>82</v>
      </c>
      <c r="BK88" s="17" t="s">
        <v>83</v>
      </c>
      <c r="BL88" s="17" t="s">
        <v>84</v>
      </c>
      <c r="BM88" s="17" t="s">
        <v>84</v>
      </c>
      <c r="BN88" s="17" t="s">
        <v>82</v>
      </c>
      <c r="BO88" s="17" t="s">
        <v>84</v>
      </c>
      <c r="BP88" s="17" t="s">
        <v>81</v>
      </c>
      <c r="BQ88" s="17" t="s">
        <v>81</v>
      </c>
      <c r="BR88" s="17" t="s">
        <v>81</v>
      </c>
      <c r="BS88" s="17" t="s">
        <v>81</v>
      </c>
      <c r="BT88" s="17" t="s">
        <v>81</v>
      </c>
      <c r="BU88" s="17" t="s">
        <v>81</v>
      </c>
      <c r="BV88" s="17" t="s">
        <v>82</v>
      </c>
      <c r="BW88" s="17" t="s">
        <v>91</v>
      </c>
      <c r="BX88" s="17" t="s">
        <v>82</v>
      </c>
      <c r="BY88" s="17" t="s">
        <v>283</v>
      </c>
      <c r="BZ88" s="17" t="s">
        <v>86</v>
      </c>
      <c r="CB88" s="17" t="s">
        <v>84</v>
      </c>
      <c r="CD88" s="19">
        <v>33</v>
      </c>
      <c r="CE88" s="19"/>
      <c r="CF88" s="19"/>
      <c r="CI88" s="17"/>
    </row>
    <row r="89" spans="1:87" s="18" customFormat="1" x14ac:dyDescent="0.15">
      <c r="A89" s="17">
        <v>1322566171</v>
      </c>
      <c r="B89" s="17" t="s">
        <v>284</v>
      </c>
      <c r="C89" s="17" t="s">
        <v>282</v>
      </c>
      <c r="D89" s="17">
        <v>4</v>
      </c>
      <c r="E89" s="17">
        <v>4</v>
      </c>
      <c r="F89" s="17">
        <v>294.03399999999999</v>
      </c>
      <c r="G89" s="17">
        <v>1</v>
      </c>
      <c r="H89" s="17">
        <v>156.523</v>
      </c>
      <c r="I89" s="17" t="s">
        <v>81</v>
      </c>
      <c r="J89" s="17">
        <v>137.32400000000001</v>
      </c>
      <c r="K89" s="17" t="s">
        <v>81</v>
      </c>
      <c r="L89" s="17" t="s">
        <v>81</v>
      </c>
      <c r="M89" s="17" t="s">
        <v>81</v>
      </c>
      <c r="N89" s="17" t="s">
        <v>81</v>
      </c>
      <c r="O89" s="17" t="s">
        <v>81</v>
      </c>
      <c r="P89" s="17" t="s">
        <v>81</v>
      </c>
      <c r="Q89" s="17">
        <v>220.55699999999999</v>
      </c>
      <c r="R89" s="17">
        <v>1</v>
      </c>
      <c r="S89" s="17">
        <v>146.809</v>
      </c>
      <c r="T89" s="17">
        <v>40.835000000000001</v>
      </c>
      <c r="U89" s="17">
        <v>72.796999999999997</v>
      </c>
      <c r="V89" s="17" t="s">
        <v>81</v>
      </c>
      <c r="W89" s="17" t="s">
        <v>81</v>
      </c>
      <c r="X89" s="17" t="s">
        <v>81</v>
      </c>
      <c r="Y89" s="17" t="s">
        <v>81</v>
      </c>
      <c r="Z89" s="17" t="s">
        <v>81</v>
      </c>
      <c r="AA89" s="17" t="s">
        <v>81</v>
      </c>
      <c r="AB89" s="17">
        <v>215.51900000000001</v>
      </c>
      <c r="AC89" s="17">
        <v>1</v>
      </c>
      <c r="AD89" s="17">
        <v>126.907</v>
      </c>
      <c r="AE89" s="17" t="s">
        <v>81</v>
      </c>
      <c r="AF89" s="17">
        <v>88.034000000000006</v>
      </c>
      <c r="AG89" s="17" t="s">
        <v>81</v>
      </c>
      <c r="AH89" s="17" t="s">
        <v>81</v>
      </c>
      <c r="AI89" s="17" t="s">
        <v>81</v>
      </c>
      <c r="AJ89" s="17" t="s">
        <v>81</v>
      </c>
      <c r="AK89" s="17" t="s">
        <v>81</v>
      </c>
      <c r="AL89" s="17" t="s">
        <v>81</v>
      </c>
      <c r="AM89" s="17" t="s">
        <v>81</v>
      </c>
      <c r="AN89" s="17" t="s">
        <v>81</v>
      </c>
      <c r="AO89" s="17" t="s">
        <v>81</v>
      </c>
      <c r="AP89" s="17" t="s">
        <v>81</v>
      </c>
      <c r="AQ89" s="17" t="s">
        <v>81</v>
      </c>
      <c r="AR89" s="17" t="s">
        <v>81</v>
      </c>
      <c r="AS89" s="17" t="s">
        <v>81</v>
      </c>
      <c r="AT89" s="17" t="s">
        <v>81</v>
      </c>
      <c r="AU89" s="17" t="s">
        <v>81</v>
      </c>
      <c r="AV89" s="17" t="s">
        <v>81</v>
      </c>
      <c r="AW89" s="17" t="s">
        <v>81</v>
      </c>
      <c r="AX89" s="17" t="s">
        <v>81</v>
      </c>
      <c r="AY89" s="17" t="s">
        <v>81</v>
      </c>
      <c r="AZ89" s="17" t="s">
        <v>81</v>
      </c>
      <c r="BA89" s="17" t="s">
        <v>81</v>
      </c>
      <c r="BB89" s="17" t="s">
        <v>81</v>
      </c>
      <c r="BC89" s="17" t="s">
        <v>81</v>
      </c>
      <c r="BD89" s="17" t="s">
        <v>81</v>
      </c>
      <c r="BE89" s="17" t="s">
        <v>81</v>
      </c>
      <c r="BF89" s="17" t="s">
        <v>81</v>
      </c>
      <c r="BG89" s="17" t="s">
        <v>81</v>
      </c>
      <c r="BH89" s="17" t="s">
        <v>81</v>
      </c>
      <c r="BI89" s="17" t="s">
        <v>84</v>
      </c>
      <c r="BJ89" s="17" t="s">
        <v>84</v>
      </c>
      <c r="BK89" s="17" t="s">
        <v>82</v>
      </c>
      <c r="BL89" s="17" t="s">
        <v>84</v>
      </c>
      <c r="BM89" s="17" t="s">
        <v>84</v>
      </c>
      <c r="BN89" s="17" t="s">
        <v>82</v>
      </c>
      <c r="BO89" s="17" t="s">
        <v>84</v>
      </c>
      <c r="BP89" s="17" t="s">
        <v>162</v>
      </c>
      <c r="BQ89" s="17" t="s">
        <v>98</v>
      </c>
      <c r="BR89" s="17" t="s">
        <v>285</v>
      </c>
      <c r="BS89" s="17" t="s">
        <v>286</v>
      </c>
      <c r="BT89" s="17" t="s">
        <v>98</v>
      </c>
      <c r="BU89" s="17" t="s">
        <v>85</v>
      </c>
      <c r="BV89" s="17" t="s">
        <v>82</v>
      </c>
      <c r="BW89" s="17" t="s">
        <v>111</v>
      </c>
      <c r="BX89" s="17" t="s">
        <v>82</v>
      </c>
      <c r="BY89" s="17" t="s">
        <v>161</v>
      </c>
      <c r="BZ89" s="17" t="s">
        <v>86</v>
      </c>
      <c r="CB89" s="17" t="s">
        <v>84</v>
      </c>
      <c r="CD89" s="19">
        <v>7</v>
      </c>
      <c r="CE89" s="19"/>
      <c r="CF89" s="19"/>
    </row>
    <row r="90" spans="1:87" s="18" customFormat="1" x14ac:dyDescent="0.15">
      <c r="A90" s="17">
        <v>1228292367</v>
      </c>
      <c r="B90" s="17" t="s">
        <v>282</v>
      </c>
      <c r="C90" s="17" t="s">
        <v>282</v>
      </c>
      <c r="D90" s="17">
        <v>6</v>
      </c>
      <c r="E90" s="17">
        <v>7</v>
      </c>
      <c r="F90" s="17">
        <v>114.623</v>
      </c>
      <c r="G90" s="17">
        <v>2</v>
      </c>
      <c r="H90" s="17">
        <v>91.730999999999995</v>
      </c>
      <c r="I90" s="17">
        <v>26.975000000000001</v>
      </c>
      <c r="J90" s="17">
        <v>20.565000000000001</v>
      </c>
      <c r="K90" s="17">
        <v>22.065000000000001</v>
      </c>
      <c r="L90" s="17">
        <v>0.17</v>
      </c>
      <c r="M90" s="17" t="s">
        <v>81</v>
      </c>
      <c r="N90" s="17" t="s">
        <v>81</v>
      </c>
      <c r="O90" s="17" t="s">
        <v>81</v>
      </c>
      <c r="P90" s="17" t="s">
        <v>81</v>
      </c>
      <c r="Q90" s="17">
        <v>85.844999999999999</v>
      </c>
      <c r="R90" s="17">
        <v>2</v>
      </c>
      <c r="S90" s="17">
        <v>63.652000000000001</v>
      </c>
      <c r="T90" s="17">
        <v>23.510999999999999</v>
      </c>
      <c r="U90" s="17">
        <v>19.84</v>
      </c>
      <c r="V90" s="17">
        <v>20.015999999999998</v>
      </c>
      <c r="W90" s="17">
        <v>0.76</v>
      </c>
      <c r="X90" s="17" t="s">
        <v>81</v>
      </c>
      <c r="Y90" s="17" t="s">
        <v>81</v>
      </c>
      <c r="Z90" s="17" t="s">
        <v>81</v>
      </c>
      <c r="AA90" s="17" t="s">
        <v>81</v>
      </c>
      <c r="AB90" s="17">
        <v>44.098999999999997</v>
      </c>
      <c r="AC90" s="17">
        <v>1</v>
      </c>
      <c r="AD90" s="17">
        <v>42.192999999999998</v>
      </c>
      <c r="AE90" s="17">
        <v>34.572000000000003</v>
      </c>
      <c r="AF90" s="17">
        <v>1.0249999999999999</v>
      </c>
      <c r="AG90" s="17" t="s">
        <v>81</v>
      </c>
      <c r="AH90" s="17" t="s">
        <v>81</v>
      </c>
      <c r="AI90" s="17" t="s">
        <v>81</v>
      </c>
      <c r="AJ90" s="17" t="s">
        <v>81</v>
      </c>
      <c r="AK90" s="17" t="s">
        <v>81</v>
      </c>
      <c r="AL90" s="17" t="s">
        <v>81</v>
      </c>
      <c r="AM90" s="17">
        <v>38.097000000000001</v>
      </c>
      <c r="AN90" s="17">
        <v>1</v>
      </c>
      <c r="AO90" s="17">
        <v>36.229999999999997</v>
      </c>
      <c r="AP90" s="17">
        <v>29.405999999999999</v>
      </c>
      <c r="AQ90" s="17">
        <v>0.79100000000000004</v>
      </c>
      <c r="AR90" s="17" t="s">
        <v>81</v>
      </c>
      <c r="AS90" s="17" t="s">
        <v>81</v>
      </c>
      <c r="AT90" s="17" t="s">
        <v>81</v>
      </c>
      <c r="AU90" s="17" t="s">
        <v>81</v>
      </c>
      <c r="AV90" s="17" t="s">
        <v>81</v>
      </c>
      <c r="AW90" s="17" t="s">
        <v>81</v>
      </c>
      <c r="AX90" s="17">
        <v>72.933999999999997</v>
      </c>
      <c r="AY90" s="17">
        <v>2</v>
      </c>
      <c r="AZ90" s="17">
        <v>20.864000000000001</v>
      </c>
      <c r="BA90" s="17">
        <v>21.3</v>
      </c>
      <c r="BB90" s="17">
        <v>6.242</v>
      </c>
      <c r="BC90" s="17" t="s">
        <v>81</v>
      </c>
      <c r="BD90" s="17">
        <v>4.07</v>
      </c>
      <c r="BE90" s="17" t="s">
        <v>81</v>
      </c>
      <c r="BF90" s="17" t="s">
        <v>81</v>
      </c>
      <c r="BG90" s="17" t="s">
        <v>81</v>
      </c>
      <c r="BH90" s="17" t="s">
        <v>81</v>
      </c>
      <c r="BI90" s="17" t="s">
        <v>84</v>
      </c>
      <c r="BJ90" s="17" t="s">
        <v>82</v>
      </c>
      <c r="BK90" s="17" t="s">
        <v>83</v>
      </c>
      <c r="BL90" s="17" t="s">
        <v>84</v>
      </c>
      <c r="BM90" s="17" t="s">
        <v>84</v>
      </c>
      <c r="BN90" s="17" t="s">
        <v>82</v>
      </c>
      <c r="BO90" s="17" t="s">
        <v>84</v>
      </c>
      <c r="BP90" s="17" t="s">
        <v>87</v>
      </c>
      <c r="BQ90" s="17" t="s">
        <v>87</v>
      </c>
      <c r="BR90" s="17" t="s">
        <v>87</v>
      </c>
      <c r="BS90" s="17" t="s">
        <v>87</v>
      </c>
      <c r="BT90" s="17" t="s">
        <v>87</v>
      </c>
      <c r="BU90" s="17" t="s">
        <v>81</v>
      </c>
      <c r="BV90" s="17" t="s">
        <v>84</v>
      </c>
      <c r="BW90" s="17" t="s">
        <v>83</v>
      </c>
      <c r="BX90" s="17" t="s">
        <v>82</v>
      </c>
      <c r="BY90" s="17" t="s">
        <v>287</v>
      </c>
      <c r="BZ90" s="17" t="s">
        <v>93</v>
      </c>
      <c r="CA90" s="17" t="s">
        <v>84</v>
      </c>
      <c r="CB90" s="17" t="s">
        <v>84</v>
      </c>
      <c r="CD90" s="19">
        <v>11</v>
      </c>
      <c r="CE90" s="19"/>
      <c r="CF90" s="19"/>
    </row>
    <row r="91" spans="1:87" s="18" customFormat="1" x14ac:dyDescent="0.15">
      <c r="A91" s="17">
        <v>1228361723</v>
      </c>
      <c r="B91" s="17" t="s">
        <v>282</v>
      </c>
      <c r="C91" s="17" t="s">
        <v>282</v>
      </c>
      <c r="D91" s="17">
        <v>9</v>
      </c>
      <c r="E91" s="17">
        <v>11</v>
      </c>
      <c r="F91" s="17">
        <v>186.18299999999999</v>
      </c>
      <c r="G91" s="17">
        <v>3</v>
      </c>
      <c r="H91" s="17">
        <v>113.276</v>
      </c>
      <c r="I91" s="17">
        <v>22.972000000000001</v>
      </c>
      <c r="J91" s="17">
        <v>53.954999999999998</v>
      </c>
      <c r="K91" s="17">
        <v>7.7560000000000002</v>
      </c>
      <c r="L91" s="17">
        <v>11.198</v>
      </c>
      <c r="M91" s="17">
        <v>3.431</v>
      </c>
      <c r="N91" s="17">
        <v>2.1070000000000002</v>
      </c>
      <c r="O91" s="17" t="s">
        <v>81</v>
      </c>
      <c r="P91" s="17" t="s">
        <v>81</v>
      </c>
      <c r="Q91" s="17">
        <v>182.059</v>
      </c>
      <c r="R91" s="17">
        <v>3</v>
      </c>
      <c r="S91" s="17">
        <v>110.226</v>
      </c>
      <c r="T91" s="17">
        <v>21.152000000000001</v>
      </c>
      <c r="U91" s="17">
        <v>53.290999999999997</v>
      </c>
      <c r="V91" s="17">
        <v>7.3280000000000003</v>
      </c>
      <c r="W91" s="17">
        <v>10.641</v>
      </c>
      <c r="X91" s="17">
        <v>2.8809999999999998</v>
      </c>
      <c r="Y91" s="17">
        <v>2.9780000000000002</v>
      </c>
      <c r="Z91" s="17" t="s">
        <v>81</v>
      </c>
      <c r="AA91" s="17" t="s">
        <v>81</v>
      </c>
      <c r="AB91" s="17">
        <v>172.03</v>
      </c>
      <c r="AC91" s="17">
        <v>3</v>
      </c>
      <c r="AD91" s="17">
        <v>105.79600000000001</v>
      </c>
      <c r="AE91" s="17">
        <v>19.062999999999999</v>
      </c>
      <c r="AF91" s="17">
        <v>50.914000000000001</v>
      </c>
      <c r="AG91" s="17">
        <v>6.4740000000000002</v>
      </c>
      <c r="AH91" s="17">
        <v>8.9220000000000006</v>
      </c>
      <c r="AI91" s="17">
        <v>3.7869999999999999</v>
      </c>
      <c r="AJ91" s="17">
        <v>3.4689999999999999</v>
      </c>
      <c r="AK91" s="17" t="s">
        <v>81</v>
      </c>
      <c r="AL91" s="17" t="s">
        <v>81</v>
      </c>
      <c r="AM91" s="17">
        <v>168.81</v>
      </c>
      <c r="AN91" s="17">
        <v>3</v>
      </c>
      <c r="AO91" s="17">
        <v>106.976</v>
      </c>
      <c r="AP91" s="17">
        <v>14.593999999999999</v>
      </c>
      <c r="AQ91" s="17">
        <v>45.493000000000002</v>
      </c>
      <c r="AR91" s="17">
        <v>5.9450000000000003</v>
      </c>
      <c r="AS91" s="17">
        <v>8.4949999999999992</v>
      </c>
      <c r="AT91" s="17">
        <v>3.7519999999999998</v>
      </c>
      <c r="AU91" s="17">
        <v>3.4060000000000001</v>
      </c>
      <c r="AV91" s="17" t="s">
        <v>81</v>
      </c>
      <c r="AW91" s="17" t="s">
        <v>81</v>
      </c>
      <c r="AX91" s="17">
        <v>189.983</v>
      </c>
      <c r="AY91" s="17">
        <v>3</v>
      </c>
      <c r="AZ91" s="17">
        <v>125.468</v>
      </c>
      <c r="BA91" s="17">
        <v>15.414</v>
      </c>
      <c r="BB91" s="17">
        <v>45.765999999999998</v>
      </c>
      <c r="BC91" s="17">
        <v>6.0339999999999998</v>
      </c>
      <c r="BD91" s="17">
        <v>7.8460000000000001</v>
      </c>
      <c r="BE91" s="17">
        <v>3.411</v>
      </c>
      <c r="BF91" s="17">
        <v>2.504</v>
      </c>
      <c r="BG91" s="17" t="s">
        <v>81</v>
      </c>
      <c r="BH91" s="17" t="s">
        <v>81</v>
      </c>
      <c r="BI91" s="17" t="s">
        <v>84</v>
      </c>
      <c r="BJ91" s="17" t="s">
        <v>82</v>
      </c>
      <c r="BK91" s="17" t="s">
        <v>83</v>
      </c>
      <c r="BL91" s="17" t="s">
        <v>84</v>
      </c>
      <c r="BM91" s="17" t="s">
        <v>84</v>
      </c>
      <c r="BN91" s="17" t="s">
        <v>82</v>
      </c>
      <c r="BO91" s="17" t="s">
        <v>84</v>
      </c>
      <c r="BP91" s="17" t="s">
        <v>137</v>
      </c>
      <c r="BQ91" s="17" t="s">
        <v>137</v>
      </c>
      <c r="BR91" s="17" t="s">
        <v>288</v>
      </c>
      <c r="BS91" s="17" t="s">
        <v>289</v>
      </c>
      <c r="BT91" s="17" t="s">
        <v>106</v>
      </c>
      <c r="BU91" s="17" t="s">
        <v>98</v>
      </c>
      <c r="BV91" s="17" t="s">
        <v>84</v>
      </c>
      <c r="BW91" s="17" t="s">
        <v>83</v>
      </c>
      <c r="BX91" s="17" t="s">
        <v>82</v>
      </c>
      <c r="BZ91" s="17" t="s">
        <v>93</v>
      </c>
      <c r="CB91" s="17" t="s">
        <v>84</v>
      </c>
      <c r="CD91" s="19">
        <v>33</v>
      </c>
      <c r="CE91" s="19"/>
      <c r="CF91" s="19"/>
      <c r="CI91" s="17"/>
    </row>
    <row r="92" spans="1:87" s="18" customFormat="1" x14ac:dyDescent="0.15">
      <c r="A92" s="17">
        <v>1847936322</v>
      </c>
      <c r="B92" s="17" t="s">
        <v>282</v>
      </c>
      <c r="C92" s="17" t="s">
        <v>282</v>
      </c>
      <c r="D92" s="17">
        <v>6</v>
      </c>
      <c r="E92" s="17">
        <v>7</v>
      </c>
      <c r="F92" s="17">
        <v>88.671999999999997</v>
      </c>
      <c r="G92" s="17">
        <v>2</v>
      </c>
      <c r="H92" s="17">
        <v>71.808000000000007</v>
      </c>
      <c r="I92" s="17">
        <v>38.783000000000001</v>
      </c>
      <c r="J92" s="17">
        <v>16.576000000000001</v>
      </c>
      <c r="K92" s="17">
        <v>27.93</v>
      </c>
      <c r="L92" s="17">
        <v>0.51900000000000002</v>
      </c>
      <c r="M92" s="17" t="s">
        <v>81</v>
      </c>
      <c r="N92" s="17" t="s">
        <v>81</v>
      </c>
      <c r="O92" s="17" t="s">
        <v>81</v>
      </c>
      <c r="P92" s="17" t="s">
        <v>81</v>
      </c>
      <c r="Q92" s="17">
        <v>75.78</v>
      </c>
      <c r="R92" s="17">
        <v>2</v>
      </c>
      <c r="S92" s="17">
        <v>59.207000000000001</v>
      </c>
      <c r="T92" s="17">
        <v>36.243000000000002</v>
      </c>
      <c r="U92" s="17">
        <v>14.154999999999999</v>
      </c>
      <c r="V92" s="17">
        <v>13.823</v>
      </c>
      <c r="W92" s="17">
        <v>0.497</v>
      </c>
      <c r="X92" s="17" t="s">
        <v>81</v>
      </c>
      <c r="Y92" s="17" t="s">
        <v>81</v>
      </c>
      <c r="Z92" s="17" t="s">
        <v>81</v>
      </c>
      <c r="AA92" s="17" t="s">
        <v>81</v>
      </c>
      <c r="AB92" s="17">
        <v>48.779000000000003</v>
      </c>
      <c r="AC92" s="17">
        <v>1</v>
      </c>
      <c r="AD92" s="17">
        <v>47.76</v>
      </c>
      <c r="AE92" s="17">
        <v>36.033000000000001</v>
      </c>
      <c r="AF92" s="17">
        <v>1.639</v>
      </c>
      <c r="AG92" s="17" t="s">
        <v>81</v>
      </c>
      <c r="AH92" s="17" t="s">
        <v>81</v>
      </c>
      <c r="AI92" s="17" t="s">
        <v>81</v>
      </c>
      <c r="AJ92" s="17" t="s">
        <v>81</v>
      </c>
      <c r="AK92" s="17" t="s">
        <v>81</v>
      </c>
      <c r="AL92" s="17" t="s">
        <v>81</v>
      </c>
      <c r="AM92" s="17" t="s">
        <v>81</v>
      </c>
      <c r="AN92" s="17" t="s">
        <v>81</v>
      </c>
      <c r="AO92" s="17" t="s">
        <v>81</v>
      </c>
      <c r="AP92" s="17" t="s">
        <v>81</v>
      </c>
      <c r="AQ92" s="17" t="s">
        <v>81</v>
      </c>
      <c r="AR92" s="17" t="s">
        <v>81</v>
      </c>
      <c r="AS92" s="17" t="s">
        <v>81</v>
      </c>
      <c r="AT92" s="17" t="s">
        <v>81</v>
      </c>
      <c r="AU92" s="17" t="s">
        <v>81</v>
      </c>
      <c r="AV92" s="17" t="s">
        <v>81</v>
      </c>
      <c r="AW92" s="17" t="s">
        <v>81</v>
      </c>
      <c r="AX92" s="17" t="s">
        <v>81</v>
      </c>
      <c r="AY92" s="17" t="s">
        <v>81</v>
      </c>
      <c r="AZ92" s="17" t="s">
        <v>81</v>
      </c>
      <c r="BA92" s="17" t="s">
        <v>81</v>
      </c>
      <c r="BB92" s="17" t="s">
        <v>81</v>
      </c>
      <c r="BC92" s="17" t="s">
        <v>81</v>
      </c>
      <c r="BD92" s="17" t="s">
        <v>81</v>
      </c>
      <c r="BE92" s="17" t="s">
        <v>81</v>
      </c>
      <c r="BF92" s="17" t="s">
        <v>81</v>
      </c>
      <c r="BG92" s="17" t="s">
        <v>81</v>
      </c>
      <c r="BH92" s="17" t="s">
        <v>81</v>
      </c>
      <c r="BI92" s="17" t="s">
        <v>84</v>
      </c>
      <c r="BJ92" s="17" t="s">
        <v>84</v>
      </c>
      <c r="BK92" s="17" t="s">
        <v>82</v>
      </c>
      <c r="BL92" s="17" t="s">
        <v>84</v>
      </c>
      <c r="BM92" s="17" t="s">
        <v>84</v>
      </c>
      <c r="BN92" s="17" t="s">
        <v>82</v>
      </c>
      <c r="BO92" s="17" t="s">
        <v>84</v>
      </c>
      <c r="BP92" s="17" t="s">
        <v>106</v>
      </c>
      <c r="BQ92" s="17" t="s">
        <v>106</v>
      </c>
      <c r="BR92" s="17" t="s">
        <v>106</v>
      </c>
      <c r="BS92" s="17" t="s">
        <v>106</v>
      </c>
      <c r="BT92" s="17" t="s">
        <v>106</v>
      </c>
      <c r="BU92" s="17" t="s">
        <v>81</v>
      </c>
      <c r="BV92" s="17" t="s">
        <v>84</v>
      </c>
      <c r="BW92" s="17" t="s">
        <v>83</v>
      </c>
      <c r="BX92" s="17" t="s">
        <v>82</v>
      </c>
      <c r="BY92" s="17" t="s">
        <v>290</v>
      </c>
      <c r="BZ92" s="17" t="s">
        <v>93</v>
      </c>
      <c r="CB92" s="17" t="s">
        <v>84</v>
      </c>
      <c r="CD92" s="19">
        <v>13</v>
      </c>
      <c r="CE92" s="19">
        <v>11</v>
      </c>
      <c r="CF92" s="19"/>
    </row>
    <row r="93" spans="1:87" s="18" customFormat="1" x14ac:dyDescent="0.15">
      <c r="A93" s="17">
        <v>1228373158</v>
      </c>
      <c r="B93" s="17" t="s">
        <v>282</v>
      </c>
      <c r="C93" s="17" t="s">
        <v>282</v>
      </c>
      <c r="D93" s="17">
        <v>6</v>
      </c>
      <c r="E93" s="17">
        <v>6</v>
      </c>
      <c r="F93" s="17">
        <v>60.456000000000003</v>
      </c>
      <c r="G93" s="17">
        <v>2</v>
      </c>
      <c r="H93" s="17">
        <v>45.965000000000003</v>
      </c>
      <c r="I93" s="17">
        <v>12.9</v>
      </c>
      <c r="J93" s="17">
        <v>13.569000000000001</v>
      </c>
      <c r="K93" s="17">
        <v>4.0910000000000002</v>
      </c>
      <c r="L93" s="17">
        <v>1.222</v>
      </c>
      <c r="M93" s="17" t="s">
        <v>81</v>
      </c>
      <c r="N93" s="17" t="s">
        <v>81</v>
      </c>
      <c r="O93" s="17" t="s">
        <v>81</v>
      </c>
      <c r="P93" s="17" t="s">
        <v>81</v>
      </c>
      <c r="Q93" s="17">
        <v>59.715000000000003</v>
      </c>
      <c r="R93" s="17">
        <v>2</v>
      </c>
      <c r="S93" s="17">
        <v>43.387999999999998</v>
      </c>
      <c r="T93" s="17">
        <v>14.988</v>
      </c>
      <c r="U93" s="17">
        <v>13.881</v>
      </c>
      <c r="V93" s="17">
        <v>4.8739999999999997</v>
      </c>
      <c r="W93" s="17">
        <v>1.609</v>
      </c>
      <c r="X93" s="17" t="s">
        <v>81</v>
      </c>
      <c r="Y93" s="17" t="s">
        <v>81</v>
      </c>
      <c r="Z93" s="17" t="s">
        <v>81</v>
      </c>
      <c r="AA93" s="17" t="s">
        <v>81</v>
      </c>
      <c r="AB93" s="17">
        <v>59.781999999999996</v>
      </c>
      <c r="AC93" s="17">
        <v>1</v>
      </c>
      <c r="AD93" s="17">
        <v>42.548999999999999</v>
      </c>
      <c r="AE93" s="17">
        <v>15.573</v>
      </c>
      <c r="AF93" s="17">
        <v>16.91</v>
      </c>
      <c r="AG93" s="17" t="s">
        <v>81</v>
      </c>
      <c r="AH93" s="17" t="s">
        <v>81</v>
      </c>
      <c r="AI93" s="17" t="s">
        <v>81</v>
      </c>
      <c r="AJ93" s="17" t="s">
        <v>81</v>
      </c>
      <c r="AK93" s="17" t="s">
        <v>81</v>
      </c>
      <c r="AL93" s="17" t="s">
        <v>81</v>
      </c>
      <c r="AM93" s="17">
        <v>40.448</v>
      </c>
      <c r="AN93" s="17">
        <v>1</v>
      </c>
      <c r="AO93" s="17">
        <v>39.700000000000003</v>
      </c>
      <c r="AP93" s="17">
        <v>16.675000000000001</v>
      </c>
      <c r="AQ93" s="17">
        <v>0.73899999999999999</v>
      </c>
      <c r="AR93" s="17" t="s">
        <v>81</v>
      </c>
      <c r="AS93" s="17" t="s">
        <v>81</v>
      </c>
      <c r="AT93" s="17" t="s">
        <v>81</v>
      </c>
      <c r="AU93" s="17" t="s">
        <v>81</v>
      </c>
      <c r="AV93" s="17" t="s">
        <v>81</v>
      </c>
      <c r="AW93" s="17" t="s">
        <v>81</v>
      </c>
      <c r="AX93" s="17">
        <v>53.988999999999997</v>
      </c>
      <c r="AY93" s="17">
        <v>1</v>
      </c>
      <c r="AZ93" s="17">
        <v>53.156999999999996</v>
      </c>
      <c r="BA93" s="17">
        <v>13.887</v>
      </c>
      <c r="BB93" s="17">
        <v>0.83199999999999996</v>
      </c>
      <c r="BC93" s="17" t="s">
        <v>81</v>
      </c>
      <c r="BD93" s="17" t="s">
        <v>81</v>
      </c>
      <c r="BE93" s="17" t="s">
        <v>81</v>
      </c>
      <c r="BF93" s="17" t="s">
        <v>81</v>
      </c>
      <c r="BG93" s="17" t="s">
        <v>81</v>
      </c>
      <c r="BH93" s="17" t="s">
        <v>81</v>
      </c>
      <c r="BI93" s="17" t="s">
        <v>84</v>
      </c>
      <c r="BJ93" s="17" t="s">
        <v>82</v>
      </c>
      <c r="BK93" s="17" t="s">
        <v>83</v>
      </c>
      <c r="BL93" s="17" t="s">
        <v>84</v>
      </c>
      <c r="BM93" s="17" t="s">
        <v>84</v>
      </c>
      <c r="BN93" s="17" t="s">
        <v>82</v>
      </c>
      <c r="BO93" s="17" t="s">
        <v>84</v>
      </c>
      <c r="BP93" s="17" t="s">
        <v>85</v>
      </c>
      <c r="BQ93" s="17" t="s">
        <v>85</v>
      </c>
      <c r="BR93" s="17" t="s">
        <v>85</v>
      </c>
      <c r="BS93" s="17" t="s">
        <v>85</v>
      </c>
      <c r="BT93" s="17" t="s">
        <v>85</v>
      </c>
      <c r="BU93" s="17" t="s">
        <v>81</v>
      </c>
      <c r="BV93" s="17" t="s">
        <v>84</v>
      </c>
      <c r="BW93" s="17" t="s">
        <v>83</v>
      </c>
      <c r="BX93" s="17" t="s">
        <v>82</v>
      </c>
      <c r="BZ93" s="17" t="s">
        <v>93</v>
      </c>
      <c r="CB93" s="17" t="s">
        <v>84</v>
      </c>
      <c r="CD93" s="19"/>
      <c r="CE93" s="19">
        <v>10</v>
      </c>
      <c r="CF93" s="19"/>
      <c r="CI93" s="17"/>
    </row>
    <row r="94" spans="1:87" s="18" customFormat="1" x14ac:dyDescent="0.15">
      <c r="A94" s="17">
        <v>1322879785</v>
      </c>
      <c r="B94" s="17" t="s">
        <v>291</v>
      </c>
      <c r="C94" s="17" t="s">
        <v>282</v>
      </c>
      <c r="D94" s="17">
        <v>9</v>
      </c>
      <c r="E94" s="17">
        <v>10</v>
      </c>
      <c r="F94" s="17">
        <v>58.311999999999998</v>
      </c>
      <c r="G94" s="17">
        <v>1</v>
      </c>
      <c r="H94" s="17">
        <v>34.828000000000003</v>
      </c>
      <c r="I94" s="17">
        <v>17.02</v>
      </c>
      <c r="J94" s="17">
        <v>23.510999999999999</v>
      </c>
      <c r="K94" s="17" t="s">
        <v>81</v>
      </c>
      <c r="L94" s="17" t="s">
        <v>81</v>
      </c>
      <c r="M94" s="17" t="s">
        <v>81</v>
      </c>
      <c r="N94" s="17" t="s">
        <v>81</v>
      </c>
      <c r="O94" s="17" t="s">
        <v>81</v>
      </c>
      <c r="P94" s="17" t="s">
        <v>81</v>
      </c>
      <c r="Q94" s="17">
        <v>57.713000000000001</v>
      </c>
      <c r="R94" s="17">
        <v>1</v>
      </c>
      <c r="S94" s="17">
        <v>32.834000000000003</v>
      </c>
      <c r="T94" s="17">
        <v>18.465</v>
      </c>
      <c r="U94" s="17">
        <v>25.084</v>
      </c>
      <c r="V94" s="17" t="s">
        <v>81</v>
      </c>
      <c r="W94" s="17" t="s">
        <v>81</v>
      </c>
      <c r="X94" s="17" t="s">
        <v>81</v>
      </c>
      <c r="Y94" s="17" t="s">
        <v>81</v>
      </c>
      <c r="Z94" s="17" t="s">
        <v>81</v>
      </c>
      <c r="AA94" s="17" t="s">
        <v>81</v>
      </c>
      <c r="AB94" s="17">
        <v>57.381</v>
      </c>
      <c r="AC94" s="17">
        <v>1</v>
      </c>
      <c r="AD94" s="17">
        <v>28.780999999999999</v>
      </c>
      <c r="AE94" s="17">
        <v>22.748000000000001</v>
      </c>
      <c r="AF94" s="17">
        <v>28.378</v>
      </c>
      <c r="AG94" s="17" t="s">
        <v>81</v>
      </c>
      <c r="AH94" s="17" t="s">
        <v>81</v>
      </c>
      <c r="AI94" s="17" t="s">
        <v>81</v>
      </c>
      <c r="AJ94" s="17" t="s">
        <v>81</v>
      </c>
      <c r="AK94" s="17" t="s">
        <v>81</v>
      </c>
      <c r="AL94" s="17" t="s">
        <v>81</v>
      </c>
      <c r="AM94" s="17">
        <v>59.853000000000002</v>
      </c>
      <c r="AN94" s="17">
        <v>1</v>
      </c>
      <c r="AO94" s="17">
        <v>31.483000000000001</v>
      </c>
      <c r="AP94" s="17">
        <v>23.263000000000002</v>
      </c>
      <c r="AQ94" s="17">
        <v>27.699000000000002</v>
      </c>
      <c r="AR94" s="17" t="s">
        <v>81</v>
      </c>
      <c r="AS94" s="17" t="s">
        <v>81</v>
      </c>
      <c r="AT94" s="17" t="s">
        <v>81</v>
      </c>
      <c r="AU94" s="17" t="s">
        <v>81</v>
      </c>
      <c r="AV94" s="17" t="s">
        <v>81</v>
      </c>
      <c r="AW94" s="17" t="s">
        <v>81</v>
      </c>
      <c r="AX94" s="17">
        <v>57.262999999999998</v>
      </c>
      <c r="AY94" s="17">
        <v>1</v>
      </c>
      <c r="AZ94" s="17">
        <v>33.848999999999997</v>
      </c>
      <c r="BA94" s="17">
        <v>16.91</v>
      </c>
      <c r="BB94" s="17">
        <v>24.113</v>
      </c>
      <c r="BC94" s="17" t="s">
        <v>81</v>
      </c>
      <c r="BD94" s="17" t="s">
        <v>81</v>
      </c>
      <c r="BE94" s="17" t="s">
        <v>81</v>
      </c>
      <c r="BF94" s="17" t="s">
        <v>81</v>
      </c>
      <c r="BG94" s="17" t="s">
        <v>81</v>
      </c>
      <c r="BH94" s="17" t="s">
        <v>81</v>
      </c>
      <c r="BI94" s="17" t="s">
        <v>84</v>
      </c>
      <c r="BJ94" s="17" t="s">
        <v>82</v>
      </c>
      <c r="BK94" s="17" t="s">
        <v>83</v>
      </c>
      <c r="BL94" s="17" t="s">
        <v>84</v>
      </c>
      <c r="BM94" s="17" t="s">
        <v>84</v>
      </c>
      <c r="BN94" s="17" t="s">
        <v>82</v>
      </c>
      <c r="BO94" s="17" t="s">
        <v>84</v>
      </c>
      <c r="BP94" s="17" t="s">
        <v>87</v>
      </c>
      <c r="BQ94" s="17" t="s">
        <v>87</v>
      </c>
      <c r="BR94" s="17" t="s">
        <v>87</v>
      </c>
      <c r="BS94" s="17" t="s">
        <v>87</v>
      </c>
      <c r="BT94" s="17" t="s">
        <v>87</v>
      </c>
      <c r="BU94" s="17" t="s">
        <v>81</v>
      </c>
      <c r="BV94" s="17" t="s">
        <v>84</v>
      </c>
      <c r="BW94" s="17" t="s">
        <v>83</v>
      </c>
      <c r="BX94" s="17" t="s">
        <v>82</v>
      </c>
      <c r="BZ94" s="17" t="s">
        <v>86</v>
      </c>
      <c r="CB94" s="17" t="s">
        <v>84</v>
      </c>
      <c r="CD94" s="19">
        <v>20</v>
      </c>
      <c r="CE94" s="19"/>
      <c r="CF94" s="19"/>
      <c r="CI94" s="17"/>
    </row>
    <row r="95" spans="1:87" s="18" customFormat="1" x14ac:dyDescent="0.15">
      <c r="A95" s="17">
        <v>2643311594</v>
      </c>
      <c r="B95" s="17" t="s">
        <v>291</v>
      </c>
      <c r="C95" s="17" t="s">
        <v>282</v>
      </c>
      <c r="D95" s="17">
        <v>8</v>
      </c>
      <c r="E95" s="17">
        <v>10</v>
      </c>
      <c r="F95" s="17">
        <v>85.522999999999996</v>
      </c>
      <c r="G95" s="17">
        <v>1</v>
      </c>
      <c r="H95" s="17">
        <v>52.691000000000003</v>
      </c>
      <c r="I95" s="17">
        <v>23.161000000000001</v>
      </c>
      <c r="J95" s="17">
        <v>32.454000000000001</v>
      </c>
      <c r="K95" s="17" t="s">
        <v>81</v>
      </c>
      <c r="L95" s="17" t="s">
        <v>81</v>
      </c>
      <c r="M95" s="17" t="s">
        <v>81</v>
      </c>
      <c r="N95" s="17" t="s">
        <v>81</v>
      </c>
      <c r="O95" s="17" t="s">
        <v>81</v>
      </c>
      <c r="P95" s="17" t="s">
        <v>81</v>
      </c>
      <c r="Q95" s="17">
        <v>82.350999999999999</v>
      </c>
      <c r="R95" s="17">
        <v>1</v>
      </c>
      <c r="S95" s="17">
        <v>63.798999999999999</v>
      </c>
      <c r="T95" s="17">
        <v>18.132999999999999</v>
      </c>
      <c r="U95" s="17">
        <v>24.622</v>
      </c>
      <c r="V95" s="17" t="s">
        <v>81</v>
      </c>
      <c r="W95" s="17" t="s">
        <v>81</v>
      </c>
      <c r="X95" s="17" t="s">
        <v>81</v>
      </c>
      <c r="Y95" s="17" t="s">
        <v>81</v>
      </c>
      <c r="Z95" s="17" t="s">
        <v>81</v>
      </c>
      <c r="AA95" s="17" t="s">
        <v>81</v>
      </c>
      <c r="AB95" s="17">
        <v>80.957999999999998</v>
      </c>
      <c r="AC95" s="17">
        <v>1</v>
      </c>
      <c r="AD95" s="17">
        <v>52.848999999999997</v>
      </c>
      <c r="AE95" s="17">
        <v>23.081</v>
      </c>
      <c r="AF95" s="17">
        <v>27.759</v>
      </c>
      <c r="AG95" s="17" t="s">
        <v>81</v>
      </c>
      <c r="AH95" s="17" t="s">
        <v>81</v>
      </c>
      <c r="AI95" s="17" t="s">
        <v>81</v>
      </c>
      <c r="AJ95" s="17" t="s">
        <v>81</v>
      </c>
      <c r="AK95" s="17" t="s">
        <v>81</v>
      </c>
      <c r="AL95" s="17" t="s">
        <v>81</v>
      </c>
      <c r="AM95" s="17">
        <v>88.265000000000001</v>
      </c>
      <c r="AN95" s="17">
        <v>1</v>
      </c>
      <c r="AO95" s="17">
        <v>56.71</v>
      </c>
      <c r="AP95" s="17">
        <v>23.055</v>
      </c>
      <c r="AQ95" s="17">
        <v>30.89</v>
      </c>
      <c r="AR95" s="17" t="s">
        <v>81</v>
      </c>
      <c r="AS95" s="17" t="s">
        <v>81</v>
      </c>
      <c r="AT95" s="17" t="s">
        <v>81</v>
      </c>
      <c r="AU95" s="17" t="s">
        <v>81</v>
      </c>
      <c r="AV95" s="17" t="s">
        <v>81</v>
      </c>
      <c r="AW95" s="17" t="s">
        <v>81</v>
      </c>
      <c r="AX95" s="17">
        <v>84.769000000000005</v>
      </c>
      <c r="AY95" s="17">
        <v>1</v>
      </c>
      <c r="AZ95" s="17">
        <v>51.029000000000003</v>
      </c>
      <c r="BA95" s="17">
        <v>26.439</v>
      </c>
      <c r="BB95" s="17">
        <v>32.777000000000001</v>
      </c>
      <c r="BC95" s="17" t="s">
        <v>81</v>
      </c>
      <c r="BD95" s="17" t="s">
        <v>81</v>
      </c>
      <c r="BE95" s="17" t="s">
        <v>81</v>
      </c>
      <c r="BF95" s="17" t="s">
        <v>81</v>
      </c>
      <c r="BG95" s="17" t="s">
        <v>81</v>
      </c>
      <c r="BH95" s="17" t="s">
        <v>81</v>
      </c>
      <c r="BI95" s="17" t="s">
        <v>84</v>
      </c>
      <c r="BJ95" s="17" t="s">
        <v>82</v>
      </c>
      <c r="BK95" s="17" t="s">
        <v>83</v>
      </c>
      <c r="BL95" s="17" t="s">
        <v>84</v>
      </c>
      <c r="BM95" s="17" t="s">
        <v>84</v>
      </c>
      <c r="BN95" s="17" t="s">
        <v>82</v>
      </c>
      <c r="BO95" s="17" t="s">
        <v>84</v>
      </c>
      <c r="BP95" s="17" t="s">
        <v>81</v>
      </c>
      <c r="BQ95" s="17" t="s">
        <v>81</v>
      </c>
      <c r="BR95" s="17" t="s">
        <v>81</v>
      </c>
      <c r="BS95" s="17" t="s">
        <v>81</v>
      </c>
      <c r="BT95" s="17" t="s">
        <v>81</v>
      </c>
      <c r="BU95" s="17" t="s">
        <v>81</v>
      </c>
      <c r="BV95" s="17" t="s">
        <v>84</v>
      </c>
      <c r="BW95" s="17" t="s">
        <v>83</v>
      </c>
      <c r="BX95" s="17" t="s">
        <v>82</v>
      </c>
      <c r="BY95" s="17" t="s">
        <v>173</v>
      </c>
      <c r="BZ95" s="17" t="s">
        <v>86</v>
      </c>
      <c r="CB95" s="17" t="s">
        <v>84</v>
      </c>
      <c r="CD95" s="19">
        <v>20</v>
      </c>
      <c r="CE95" s="19"/>
      <c r="CF95" s="19"/>
    </row>
    <row r="96" spans="1:87" x14ac:dyDescent="0.15">
      <c r="A96" s="3">
        <v>1847924566</v>
      </c>
      <c r="B96" s="3" t="s">
        <v>292</v>
      </c>
      <c r="C96" s="3" t="s">
        <v>292</v>
      </c>
      <c r="D96" s="3">
        <v>4</v>
      </c>
      <c r="E96" s="3">
        <v>4</v>
      </c>
      <c r="F96" s="3">
        <v>24.273</v>
      </c>
      <c r="G96" s="3">
        <v>0</v>
      </c>
      <c r="H96" s="3" t="s">
        <v>81</v>
      </c>
      <c r="I96" s="3" t="s">
        <v>81</v>
      </c>
      <c r="J96" s="3" t="s">
        <v>81</v>
      </c>
      <c r="K96" s="3" t="s">
        <v>81</v>
      </c>
      <c r="L96" s="3" t="s">
        <v>81</v>
      </c>
      <c r="M96" s="3" t="s">
        <v>81</v>
      </c>
      <c r="N96" s="3" t="s">
        <v>81</v>
      </c>
      <c r="O96" s="3" t="s">
        <v>81</v>
      </c>
      <c r="P96" s="3" t="s">
        <v>81</v>
      </c>
      <c r="Q96" s="3">
        <v>29.602</v>
      </c>
      <c r="R96" s="3">
        <v>0</v>
      </c>
      <c r="S96" s="3" t="s">
        <v>81</v>
      </c>
      <c r="T96" s="3" t="s">
        <v>81</v>
      </c>
      <c r="U96" s="3" t="s">
        <v>81</v>
      </c>
      <c r="V96" s="3" t="s">
        <v>81</v>
      </c>
      <c r="W96" s="3" t="s">
        <v>81</v>
      </c>
      <c r="X96" s="3" t="s">
        <v>81</v>
      </c>
      <c r="Y96" s="3" t="s">
        <v>81</v>
      </c>
      <c r="Z96" s="3" t="s">
        <v>81</v>
      </c>
      <c r="AA96" s="3" t="s">
        <v>81</v>
      </c>
      <c r="AB96" s="3">
        <v>24.981999999999999</v>
      </c>
      <c r="AC96" s="3">
        <v>0</v>
      </c>
      <c r="AD96" s="3" t="s">
        <v>81</v>
      </c>
      <c r="AE96" s="3" t="s">
        <v>81</v>
      </c>
      <c r="AF96" s="3" t="s">
        <v>81</v>
      </c>
      <c r="AG96" s="3" t="s">
        <v>81</v>
      </c>
      <c r="AH96" s="3" t="s">
        <v>81</v>
      </c>
      <c r="AI96" s="3" t="s">
        <v>81</v>
      </c>
      <c r="AJ96" s="3" t="s">
        <v>81</v>
      </c>
      <c r="AK96" s="3" t="s">
        <v>81</v>
      </c>
      <c r="AL96" s="3" t="s">
        <v>81</v>
      </c>
      <c r="AM96" s="3">
        <v>25.114000000000001</v>
      </c>
      <c r="AN96" s="3">
        <v>0</v>
      </c>
      <c r="AO96" s="3" t="s">
        <v>81</v>
      </c>
      <c r="AP96" s="3" t="s">
        <v>81</v>
      </c>
      <c r="AQ96" s="3" t="s">
        <v>81</v>
      </c>
      <c r="AR96" s="3" t="s">
        <v>81</v>
      </c>
      <c r="AS96" s="3" t="s">
        <v>81</v>
      </c>
      <c r="AT96" s="3" t="s">
        <v>81</v>
      </c>
      <c r="AU96" s="3" t="s">
        <v>81</v>
      </c>
      <c r="AV96" s="3" t="s">
        <v>81</v>
      </c>
      <c r="AW96" s="3" t="s">
        <v>81</v>
      </c>
      <c r="AX96" s="3" t="s">
        <v>81</v>
      </c>
      <c r="AY96" s="3" t="s">
        <v>81</v>
      </c>
      <c r="AZ96" s="3" t="s">
        <v>81</v>
      </c>
      <c r="BA96" s="3" t="s">
        <v>81</v>
      </c>
      <c r="BB96" s="3" t="s">
        <v>81</v>
      </c>
      <c r="BC96" s="3" t="s">
        <v>81</v>
      </c>
      <c r="BD96" s="3" t="s">
        <v>81</v>
      </c>
      <c r="BE96" s="3" t="s">
        <v>81</v>
      </c>
      <c r="BF96" s="3" t="s">
        <v>81</v>
      </c>
      <c r="BG96" s="3" t="s">
        <v>81</v>
      </c>
      <c r="BH96" s="3" t="s">
        <v>81</v>
      </c>
      <c r="BI96" s="3" t="s">
        <v>84</v>
      </c>
      <c r="BJ96" s="3" t="s">
        <v>84</v>
      </c>
      <c r="BK96" s="3" t="s">
        <v>84</v>
      </c>
      <c r="BL96" s="3" t="s">
        <v>84</v>
      </c>
      <c r="BM96" s="3" t="s">
        <v>84</v>
      </c>
      <c r="BN96" s="3" t="s">
        <v>84</v>
      </c>
      <c r="BO96" s="3" t="s">
        <v>82</v>
      </c>
      <c r="BP96" s="3" t="s">
        <v>218</v>
      </c>
      <c r="BQ96" s="3" t="s">
        <v>218</v>
      </c>
      <c r="BR96" s="3" t="s">
        <v>218</v>
      </c>
      <c r="BS96" s="3" t="s">
        <v>218</v>
      </c>
      <c r="BT96" s="3" t="s">
        <v>85</v>
      </c>
      <c r="BU96" s="3" t="s">
        <v>81</v>
      </c>
      <c r="BV96" s="3" t="s">
        <v>84</v>
      </c>
      <c r="BW96" s="3" t="s">
        <v>83</v>
      </c>
      <c r="BX96" s="3" t="s">
        <v>82</v>
      </c>
      <c r="BY96" s="3" t="s">
        <v>293</v>
      </c>
      <c r="BZ96" s="3" t="s">
        <v>93</v>
      </c>
      <c r="CA96" s="3"/>
      <c r="CB96" s="3" t="s">
        <v>84</v>
      </c>
      <c r="CC96" s="3"/>
      <c r="CD96" s="9">
        <v>4</v>
      </c>
      <c r="CE96" s="9"/>
      <c r="CF96" s="17"/>
      <c r="CG96" s="17"/>
      <c r="CH96" s="17"/>
      <c r="CI96" s="18"/>
    </row>
    <row r="97" spans="1:87" x14ac:dyDescent="0.15">
      <c r="A97" s="3">
        <v>1228603246</v>
      </c>
      <c r="B97" s="3" t="s">
        <v>294</v>
      </c>
      <c r="C97" s="3" t="s">
        <v>292</v>
      </c>
      <c r="D97" s="3">
        <v>7</v>
      </c>
      <c r="E97" s="3">
        <v>7</v>
      </c>
      <c r="F97" s="3">
        <v>16.704999999999998</v>
      </c>
      <c r="G97" s="3">
        <v>0</v>
      </c>
      <c r="H97" s="3" t="s">
        <v>81</v>
      </c>
      <c r="I97" s="3" t="s">
        <v>81</v>
      </c>
      <c r="J97" s="3" t="s">
        <v>81</v>
      </c>
      <c r="K97" s="3" t="s">
        <v>81</v>
      </c>
      <c r="L97" s="3" t="s">
        <v>81</v>
      </c>
      <c r="M97" s="3" t="s">
        <v>81</v>
      </c>
      <c r="N97" s="3" t="s">
        <v>81</v>
      </c>
      <c r="O97" s="3" t="s">
        <v>81</v>
      </c>
      <c r="P97" s="3" t="s">
        <v>81</v>
      </c>
      <c r="Q97" s="3">
        <v>12.236000000000001</v>
      </c>
      <c r="R97" s="3">
        <v>0</v>
      </c>
      <c r="S97" s="3" t="s">
        <v>81</v>
      </c>
      <c r="T97" s="3" t="s">
        <v>81</v>
      </c>
      <c r="U97" s="3" t="s">
        <v>81</v>
      </c>
      <c r="V97" s="3" t="s">
        <v>81</v>
      </c>
      <c r="W97" s="3" t="s">
        <v>81</v>
      </c>
      <c r="X97" s="3" t="s">
        <v>81</v>
      </c>
      <c r="Y97" s="3" t="s">
        <v>81</v>
      </c>
      <c r="Z97" s="3" t="s">
        <v>81</v>
      </c>
      <c r="AA97" s="3" t="s">
        <v>81</v>
      </c>
      <c r="AB97" s="3">
        <v>14.311999999999999</v>
      </c>
      <c r="AC97" s="3">
        <v>0</v>
      </c>
      <c r="AD97" s="3" t="s">
        <v>81</v>
      </c>
      <c r="AE97" s="3" t="s">
        <v>81</v>
      </c>
      <c r="AF97" s="3" t="s">
        <v>81</v>
      </c>
      <c r="AG97" s="3" t="s">
        <v>81</v>
      </c>
      <c r="AH97" s="3" t="s">
        <v>81</v>
      </c>
      <c r="AI97" s="3" t="s">
        <v>81</v>
      </c>
      <c r="AJ97" s="3" t="s">
        <v>81</v>
      </c>
      <c r="AK97" s="3" t="s">
        <v>81</v>
      </c>
      <c r="AL97" s="3" t="s">
        <v>81</v>
      </c>
      <c r="AM97" s="3">
        <v>10.646000000000001</v>
      </c>
      <c r="AN97" s="3">
        <v>0</v>
      </c>
      <c r="AO97" s="3" t="s">
        <v>81</v>
      </c>
      <c r="AP97" s="3" t="s">
        <v>81</v>
      </c>
      <c r="AQ97" s="3" t="s">
        <v>81</v>
      </c>
      <c r="AR97" s="3" t="s">
        <v>81</v>
      </c>
      <c r="AS97" s="3" t="s">
        <v>81</v>
      </c>
      <c r="AT97" s="3" t="s">
        <v>81</v>
      </c>
      <c r="AU97" s="3" t="s">
        <v>81</v>
      </c>
      <c r="AV97" s="3" t="s">
        <v>81</v>
      </c>
      <c r="AW97" s="3" t="s">
        <v>81</v>
      </c>
      <c r="AX97" s="3">
        <v>14.614000000000001</v>
      </c>
      <c r="AY97" s="3">
        <v>0</v>
      </c>
      <c r="AZ97" s="3" t="s">
        <v>81</v>
      </c>
      <c r="BA97" s="3" t="s">
        <v>81</v>
      </c>
      <c r="BB97" s="3" t="s">
        <v>81</v>
      </c>
      <c r="BC97" s="3" t="s">
        <v>81</v>
      </c>
      <c r="BD97" s="3" t="s">
        <v>81</v>
      </c>
      <c r="BE97" s="3" t="s">
        <v>81</v>
      </c>
      <c r="BF97" s="3" t="s">
        <v>81</v>
      </c>
      <c r="BG97" s="3" t="s">
        <v>81</v>
      </c>
      <c r="BH97" s="3" t="s">
        <v>81</v>
      </c>
      <c r="BI97" s="3" t="s">
        <v>84</v>
      </c>
      <c r="BJ97" s="3" t="s">
        <v>82</v>
      </c>
      <c r="BK97" s="3" t="s">
        <v>83</v>
      </c>
      <c r="BL97" s="3" t="s">
        <v>84</v>
      </c>
      <c r="BM97" s="3" t="s">
        <v>84</v>
      </c>
      <c r="BN97" s="3" t="s">
        <v>84</v>
      </c>
      <c r="BO97" s="3" t="s">
        <v>82</v>
      </c>
      <c r="BP97" s="3" t="s">
        <v>81</v>
      </c>
      <c r="BQ97" s="3" t="s">
        <v>81</v>
      </c>
      <c r="BR97" s="3" t="s">
        <v>81</v>
      </c>
      <c r="BS97" s="3" t="s">
        <v>81</v>
      </c>
      <c r="BT97" s="3" t="s">
        <v>81</v>
      </c>
      <c r="BU97" s="3" t="s">
        <v>81</v>
      </c>
      <c r="BV97" s="3" t="s">
        <v>84</v>
      </c>
      <c r="BW97" s="3" t="s">
        <v>83</v>
      </c>
      <c r="BX97" s="3" t="s">
        <v>82</v>
      </c>
      <c r="BZ97" s="3" t="s">
        <v>93</v>
      </c>
      <c r="CB97" s="3" t="s">
        <v>84</v>
      </c>
      <c r="CD97" s="9"/>
      <c r="CE97" s="9"/>
      <c r="CF97" s="18"/>
      <c r="CG97" s="18"/>
      <c r="CH97" s="18"/>
      <c r="CI97" s="18"/>
    </row>
    <row r="98" spans="1:87" x14ac:dyDescent="0.15">
      <c r="A98" s="3">
        <v>1228368826</v>
      </c>
      <c r="B98" s="3" t="s">
        <v>294</v>
      </c>
      <c r="C98" s="3" t="s">
        <v>292</v>
      </c>
      <c r="D98" s="3">
        <v>4</v>
      </c>
      <c r="E98" s="3">
        <v>10</v>
      </c>
      <c r="F98" s="3">
        <v>29.163</v>
      </c>
      <c r="G98" s="3">
        <v>0</v>
      </c>
      <c r="H98" s="3" t="s">
        <v>81</v>
      </c>
      <c r="I98" s="3" t="s">
        <v>81</v>
      </c>
      <c r="J98" s="3" t="s">
        <v>81</v>
      </c>
      <c r="K98" s="3" t="s">
        <v>81</v>
      </c>
      <c r="L98" s="3" t="s">
        <v>81</v>
      </c>
      <c r="M98" s="3" t="s">
        <v>81</v>
      </c>
      <c r="N98" s="3" t="s">
        <v>81</v>
      </c>
      <c r="O98" s="3" t="s">
        <v>81</v>
      </c>
      <c r="P98" s="3" t="s">
        <v>81</v>
      </c>
      <c r="Q98" s="3">
        <v>26.446999999999999</v>
      </c>
      <c r="R98" s="3">
        <v>0</v>
      </c>
      <c r="S98" s="3" t="s">
        <v>81</v>
      </c>
      <c r="T98" s="3" t="s">
        <v>81</v>
      </c>
      <c r="U98" s="3" t="s">
        <v>81</v>
      </c>
      <c r="V98" s="3" t="s">
        <v>81</v>
      </c>
      <c r="W98" s="3" t="s">
        <v>81</v>
      </c>
      <c r="X98" s="3" t="s">
        <v>81</v>
      </c>
      <c r="Y98" s="3" t="s">
        <v>81</v>
      </c>
      <c r="Z98" s="3" t="s">
        <v>81</v>
      </c>
      <c r="AA98" s="3" t="s">
        <v>81</v>
      </c>
      <c r="AB98" s="3">
        <v>31.611999999999998</v>
      </c>
      <c r="AC98" s="3">
        <v>0</v>
      </c>
      <c r="AD98" s="3" t="s">
        <v>81</v>
      </c>
      <c r="AE98" s="3" t="s">
        <v>81</v>
      </c>
      <c r="AF98" s="3" t="s">
        <v>81</v>
      </c>
      <c r="AG98" s="3" t="s">
        <v>81</v>
      </c>
      <c r="AH98" s="3" t="s">
        <v>81</v>
      </c>
      <c r="AI98" s="3" t="s">
        <v>81</v>
      </c>
      <c r="AJ98" s="3" t="s">
        <v>81</v>
      </c>
      <c r="AK98" s="3" t="s">
        <v>81</v>
      </c>
      <c r="AL98" s="3" t="s">
        <v>81</v>
      </c>
      <c r="AM98" s="3">
        <v>30.303000000000001</v>
      </c>
      <c r="AN98" s="3">
        <v>0</v>
      </c>
      <c r="AO98" s="3" t="s">
        <v>81</v>
      </c>
      <c r="AP98" s="3" t="s">
        <v>81</v>
      </c>
      <c r="AQ98" s="3" t="s">
        <v>81</v>
      </c>
      <c r="AR98" s="3" t="s">
        <v>81</v>
      </c>
      <c r="AS98" s="3" t="s">
        <v>81</v>
      </c>
      <c r="AT98" s="3" t="s">
        <v>81</v>
      </c>
      <c r="AU98" s="3" t="s">
        <v>81</v>
      </c>
      <c r="AV98" s="3" t="s">
        <v>81</v>
      </c>
      <c r="AW98" s="3" t="s">
        <v>81</v>
      </c>
      <c r="AX98" s="3">
        <v>31.555</v>
      </c>
      <c r="AY98" s="3">
        <v>0</v>
      </c>
      <c r="AZ98" s="3" t="s">
        <v>81</v>
      </c>
      <c r="BA98" s="3" t="s">
        <v>81</v>
      </c>
      <c r="BB98" s="3" t="s">
        <v>81</v>
      </c>
      <c r="BC98" s="3" t="s">
        <v>81</v>
      </c>
      <c r="BD98" s="3" t="s">
        <v>81</v>
      </c>
      <c r="BE98" s="3" t="s">
        <v>81</v>
      </c>
      <c r="BF98" s="3" t="s">
        <v>81</v>
      </c>
      <c r="BG98" s="3" t="s">
        <v>81</v>
      </c>
      <c r="BH98" s="3" t="s">
        <v>81</v>
      </c>
      <c r="BI98" s="3" t="s">
        <v>84</v>
      </c>
      <c r="BJ98" s="3" t="s">
        <v>82</v>
      </c>
      <c r="BK98" s="3" t="s">
        <v>83</v>
      </c>
      <c r="BL98" s="3" t="s">
        <v>84</v>
      </c>
      <c r="BM98" s="3" t="s">
        <v>84</v>
      </c>
      <c r="BN98" s="3" t="s">
        <v>84</v>
      </c>
      <c r="BO98" s="3" t="s">
        <v>83</v>
      </c>
      <c r="BP98" s="3" t="s">
        <v>81</v>
      </c>
      <c r="BQ98" s="3" t="s">
        <v>81</v>
      </c>
      <c r="BR98" s="3" t="s">
        <v>81</v>
      </c>
      <c r="BS98" s="3" t="s">
        <v>81</v>
      </c>
      <c r="BT98" s="3" t="s">
        <v>81</v>
      </c>
      <c r="BU98" s="3" t="s">
        <v>81</v>
      </c>
      <c r="BV98" s="3" t="s">
        <v>84</v>
      </c>
      <c r="BW98" s="3" t="s">
        <v>83</v>
      </c>
      <c r="BX98" s="3" t="s">
        <v>82</v>
      </c>
      <c r="BY98" s="3" t="s">
        <v>295</v>
      </c>
      <c r="BZ98" s="3" t="s">
        <v>93</v>
      </c>
      <c r="CB98" s="3" t="s">
        <v>84</v>
      </c>
      <c r="CD98" s="9">
        <v>10</v>
      </c>
      <c r="CE98" s="9">
        <v>7</v>
      </c>
      <c r="CF98" s="18"/>
      <c r="CG98" s="18"/>
      <c r="CH98" s="18"/>
      <c r="CI98" s="18"/>
    </row>
    <row r="99" spans="1:87" x14ac:dyDescent="0.15">
      <c r="A99" s="9" t="s">
        <v>537</v>
      </c>
      <c r="B99" s="9" t="s">
        <v>538</v>
      </c>
      <c r="C99" s="9" t="s">
        <v>538</v>
      </c>
      <c r="D99">
        <v>2</v>
      </c>
      <c r="E99">
        <v>3</v>
      </c>
      <c r="F99" s="9">
        <v>108.77</v>
      </c>
      <c r="G99" s="3">
        <v>0</v>
      </c>
      <c r="H99" s="3" t="s">
        <v>81</v>
      </c>
      <c r="I99" s="3" t="s">
        <v>81</v>
      </c>
      <c r="J99" s="3" t="s">
        <v>81</v>
      </c>
      <c r="K99" s="3" t="s">
        <v>81</v>
      </c>
      <c r="L99" s="3" t="s">
        <v>81</v>
      </c>
      <c r="M99" s="3" t="s">
        <v>81</v>
      </c>
      <c r="N99" s="3" t="s">
        <v>81</v>
      </c>
      <c r="O99" s="3" t="s">
        <v>81</v>
      </c>
      <c r="P99" s="3" t="s">
        <v>81</v>
      </c>
      <c r="Q99">
        <v>114.94</v>
      </c>
      <c r="R99" s="3">
        <v>0</v>
      </c>
      <c r="S99" s="3" t="s">
        <v>81</v>
      </c>
      <c r="T99" s="3" t="s">
        <v>81</v>
      </c>
      <c r="U99" s="3" t="s">
        <v>81</v>
      </c>
      <c r="V99" s="3" t="s">
        <v>81</v>
      </c>
      <c r="W99" s="3" t="s">
        <v>81</v>
      </c>
      <c r="X99" s="3" t="s">
        <v>81</v>
      </c>
      <c r="Y99" s="3" t="s">
        <v>81</v>
      </c>
      <c r="Z99" s="3" t="s">
        <v>81</v>
      </c>
      <c r="AA99" s="3" t="s">
        <v>81</v>
      </c>
      <c r="AB99">
        <v>103.24000000000001</v>
      </c>
      <c r="AC99" s="3">
        <v>0</v>
      </c>
      <c r="AD99" s="3" t="s">
        <v>81</v>
      </c>
      <c r="AE99" s="3" t="s">
        <v>81</v>
      </c>
      <c r="AF99" s="3" t="s">
        <v>81</v>
      </c>
      <c r="AG99" s="3" t="s">
        <v>81</v>
      </c>
      <c r="AH99" s="3" t="s">
        <v>81</v>
      </c>
      <c r="AI99" s="3" t="s">
        <v>81</v>
      </c>
      <c r="AJ99" s="3" t="s">
        <v>81</v>
      </c>
      <c r="AK99" s="3" t="s">
        <v>81</v>
      </c>
      <c r="AL99" s="3" t="s">
        <v>81</v>
      </c>
      <c r="AM99" s="3" t="s">
        <v>81</v>
      </c>
      <c r="AN99" s="3">
        <v>0</v>
      </c>
      <c r="AO99" s="3" t="s">
        <v>81</v>
      </c>
      <c r="AP99" s="3" t="s">
        <v>81</v>
      </c>
      <c r="AQ99" s="3" t="s">
        <v>81</v>
      </c>
      <c r="AR99" s="3" t="s">
        <v>81</v>
      </c>
      <c r="AS99" s="3" t="s">
        <v>81</v>
      </c>
      <c r="AT99" s="3" t="s">
        <v>81</v>
      </c>
      <c r="AU99" s="3" t="s">
        <v>81</v>
      </c>
      <c r="AV99" s="3" t="s">
        <v>81</v>
      </c>
      <c r="AW99" s="3" t="s">
        <v>81</v>
      </c>
      <c r="AX99" s="3" t="s">
        <v>81</v>
      </c>
      <c r="AY99" s="3" t="s">
        <v>81</v>
      </c>
      <c r="AZ99" s="3" t="s">
        <v>81</v>
      </c>
      <c r="BA99" s="3" t="s">
        <v>81</v>
      </c>
      <c r="BB99" s="3" t="s">
        <v>81</v>
      </c>
      <c r="BC99" s="3" t="s">
        <v>81</v>
      </c>
      <c r="BD99" s="3" t="s">
        <v>81</v>
      </c>
      <c r="BE99" s="3" t="s">
        <v>81</v>
      </c>
      <c r="BF99" s="3" t="s">
        <v>81</v>
      </c>
      <c r="BG99" s="3" t="s">
        <v>81</v>
      </c>
      <c r="BH99" s="3" t="s">
        <v>81</v>
      </c>
      <c r="BI99" s="3" t="s">
        <v>84</v>
      </c>
      <c r="BJ99" s="3" t="s">
        <v>82</v>
      </c>
      <c r="BK99" s="3" t="s">
        <v>83</v>
      </c>
      <c r="BL99" s="3" t="s">
        <v>84</v>
      </c>
      <c r="BM99" s="3" t="s">
        <v>84</v>
      </c>
      <c r="BN99" s="3" t="s">
        <v>84</v>
      </c>
      <c r="BO99" s="3" t="s">
        <v>84</v>
      </c>
      <c r="BV99" s="3"/>
      <c r="BW99" s="3"/>
      <c r="BX99" s="3"/>
      <c r="BZ99" s="9" t="s">
        <v>540</v>
      </c>
      <c r="CB99" s="9" t="s">
        <v>84</v>
      </c>
      <c r="CF99" s="18"/>
      <c r="CG99" s="18">
        <v>3</v>
      </c>
      <c r="CH99" s="18"/>
      <c r="CI99" s="18"/>
    </row>
    <row r="100" spans="1:87" x14ac:dyDescent="0.15">
      <c r="A100" s="9" t="s">
        <v>539</v>
      </c>
      <c r="B100" s="9" t="s">
        <v>538</v>
      </c>
      <c r="C100" s="9" t="s">
        <v>538</v>
      </c>
      <c r="D100">
        <v>1</v>
      </c>
      <c r="E100">
        <v>5</v>
      </c>
      <c r="F100">
        <v>101.12</v>
      </c>
      <c r="G100" s="3">
        <v>0</v>
      </c>
      <c r="H100" s="3" t="s">
        <v>81</v>
      </c>
      <c r="I100" s="3" t="s">
        <v>81</v>
      </c>
      <c r="J100" s="3" t="s">
        <v>81</v>
      </c>
      <c r="K100" s="3" t="s">
        <v>81</v>
      </c>
      <c r="L100" s="3" t="s">
        <v>81</v>
      </c>
      <c r="M100" s="3" t="s">
        <v>81</v>
      </c>
      <c r="N100" s="3" t="s">
        <v>81</v>
      </c>
      <c r="O100" s="3" t="s">
        <v>81</v>
      </c>
      <c r="P100" s="3" t="s">
        <v>81</v>
      </c>
      <c r="Q100">
        <v>101.19000000000001</v>
      </c>
      <c r="R100" s="3">
        <v>0</v>
      </c>
      <c r="S100" s="3" t="s">
        <v>81</v>
      </c>
      <c r="T100" s="3" t="s">
        <v>81</v>
      </c>
      <c r="U100" s="3" t="s">
        <v>81</v>
      </c>
      <c r="V100" s="3" t="s">
        <v>81</v>
      </c>
      <c r="W100" s="3" t="s">
        <v>81</v>
      </c>
      <c r="X100" s="3" t="s">
        <v>81</v>
      </c>
      <c r="Y100" s="3" t="s">
        <v>81</v>
      </c>
      <c r="Z100" s="3" t="s">
        <v>81</v>
      </c>
      <c r="AA100" s="3" t="s">
        <v>81</v>
      </c>
      <c r="AB100" s="3">
        <v>101.10000000000001</v>
      </c>
      <c r="AC100" s="3">
        <v>0</v>
      </c>
      <c r="AD100" s="3" t="s">
        <v>81</v>
      </c>
      <c r="AE100" s="3" t="s">
        <v>81</v>
      </c>
      <c r="AF100" s="3" t="s">
        <v>81</v>
      </c>
      <c r="AG100" s="3" t="s">
        <v>81</v>
      </c>
      <c r="AH100" s="3" t="s">
        <v>81</v>
      </c>
      <c r="AI100" s="3" t="s">
        <v>81</v>
      </c>
      <c r="AJ100" s="3" t="s">
        <v>81</v>
      </c>
      <c r="AK100" s="3" t="s">
        <v>81</v>
      </c>
      <c r="AL100" s="3" t="s">
        <v>81</v>
      </c>
      <c r="AM100" s="3">
        <v>89.73</v>
      </c>
      <c r="AN100" s="3">
        <v>0</v>
      </c>
      <c r="AO100" s="3" t="s">
        <v>81</v>
      </c>
      <c r="AP100" s="3" t="s">
        <v>81</v>
      </c>
      <c r="AQ100" s="3" t="s">
        <v>81</v>
      </c>
      <c r="AR100" s="3" t="s">
        <v>81</v>
      </c>
      <c r="AS100" s="3" t="s">
        <v>81</v>
      </c>
      <c r="AT100" s="3" t="s">
        <v>81</v>
      </c>
      <c r="AU100" s="3" t="s">
        <v>81</v>
      </c>
      <c r="AV100" s="3" t="s">
        <v>81</v>
      </c>
      <c r="AW100" s="3" t="s">
        <v>81</v>
      </c>
      <c r="AX100" s="3" t="s">
        <v>81</v>
      </c>
      <c r="AY100" s="3">
        <v>63.14</v>
      </c>
      <c r="AZ100" s="3" t="s">
        <v>81</v>
      </c>
      <c r="BA100" s="3" t="s">
        <v>81</v>
      </c>
      <c r="BB100" s="3" t="s">
        <v>81</v>
      </c>
      <c r="BC100" s="3" t="s">
        <v>81</v>
      </c>
      <c r="BD100" s="3" t="s">
        <v>81</v>
      </c>
      <c r="BE100" s="3" t="s">
        <v>81</v>
      </c>
      <c r="BF100" s="3" t="s">
        <v>81</v>
      </c>
      <c r="BG100" s="3" t="s">
        <v>81</v>
      </c>
      <c r="BH100" s="3" t="s">
        <v>81</v>
      </c>
      <c r="BI100" s="3" t="s">
        <v>84</v>
      </c>
      <c r="BJ100" s="3" t="s">
        <v>82</v>
      </c>
      <c r="BK100" s="3" t="s">
        <v>83</v>
      </c>
      <c r="BL100" s="3" t="s">
        <v>84</v>
      </c>
      <c r="BM100" s="3" t="s">
        <v>84</v>
      </c>
      <c r="BN100" s="3" t="s">
        <v>84</v>
      </c>
      <c r="BO100" s="3"/>
      <c r="BV100" s="3"/>
      <c r="BW100" s="3"/>
      <c r="BX100" s="3"/>
      <c r="BZ100" s="9" t="s">
        <v>540</v>
      </c>
      <c r="CB100" s="9" t="s">
        <v>84</v>
      </c>
      <c r="CD100">
        <v>5</v>
      </c>
      <c r="CF100" s="18"/>
      <c r="CG100" s="18">
        <v>5</v>
      </c>
      <c r="CH100" s="18"/>
      <c r="CI100" s="17"/>
    </row>
    <row r="101" spans="1:87" x14ac:dyDescent="0.15">
      <c r="A101" s="3">
        <v>2643392942</v>
      </c>
      <c r="B101" s="3" t="s">
        <v>332</v>
      </c>
      <c r="C101" s="3" t="s">
        <v>561</v>
      </c>
      <c r="D101" s="3" t="s">
        <v>81</v>
      </c>
      <c r="E101" s="3">
        <v>59</v>
      </c>
      <c r="F101" s="3">
        <v>51.27</v>
      </c>
      <c r="G101" s="3">
        <v>0</v>
      </c>
      <c r="H101" s="3" t="s">
        <v>81</v>
      </c>
      <c r="I101" s="3" t="s">
        <v>81</v>
      </c>
      <c r="J101" s="3" t="s">
        <v>81</v>
      </c>
      <c r="K101" s="3" t="s">
        <v>81</v>
      </c>
      <c r="L101" s="3" t="s">
        <v>81</v>
      </c>
      <c r="M101" s="3" t="s">
        <v>81</v>
      </c>
      <c r="N101" s="3" t="s">
        <v>81</v>
      </c>
      <c r="O101" s="3" t="s">
        <v>81</v>
      </c>
      <c r="P101" s="3" t="s">
        <v>81</v>
      </c>
      <c r="Q101" s="3">
        <v>53.011000000000003</v>
      </c>
      <c r="R101" s="3">
        <v>0</v>
      </c>
      <c r="S101" s="3" t="s">
        <v>81</v>
      </c>
      <c r="T101" s="3" t="s">
        <v>81</v>
      </c>
      <c r="U101" s="3" t="s">
        <v>81</v>
      </c>
      <c r="V101" s="3" t="s">
        <v>81</v>
      </c>
      <c r="W101" s="3" t="s">
        <v>81</v>
      </c>
      <c r="X101" s="3" t="s">
        <v>81</v>
      </c>
      <c r="Y101" s="3" t="s">
        <v>81</v>
      </c>
      <c r="Z101" s="3" t="s">
        <v>81</v>
      </c>
      <c r="AA101" s="3" t="s">
        <v>81</v>
      </c>
      <c r="AB101" s="3">
        <v>58.597999999999999</v>
      </c>
      <c r="AC101" s="3">
        <v>0</v>
      </c>
      <c r="AD101" s="3" t="s">
        <v>81</v>
      </c>
      <c r="AE101" s="3" t="s">
        <v>81</v>
      </c>
      <c r="AF101" s="3" t="s">
        <v>81</v>
      </c>
      <c r="AG101" s="3" t="s">
        <v>81</v>
      </c>
      <c r="AH101" s="3" t="s">
        <v>81</v>
      </c>
      <c r="AI101" s="3" t="s">
        <v>81</v>
      </c>
      <c r="AJ101" s="3" t="s">
        <v>81</v>
      </c>
      <c r="AK101" s="3" t="s">
        <v>81</v>
      </c>
      <c r="AL101" s="3" t="s">
        <v>81</v>
      </c>
      <c r="AM101" s="3">
        <v>44.433</v>
      </c>
      <c r="AN101" s="3">
        <v>0</v>
      </c>
      <c r="AO101" s="3" t="s">
        <v>81</v>
      </c>
      <c r="AP101" s="3" t="s">
        <v>81</v>
      </c>
      <c r="AQ101" s="3" t="s">
        <v>81</v>
      </c>
      <c r="AR101" s="3" t="s">
        <v>81</v>
      </c>
      <c r="AS101" s="3" t="s">
        <v>81</v>
      </c>
      <c r="AT101" s="3" t="s">
        <v>81</v>
      </c>
      <c r="AU101" s="3" t="s">
        <v>81</v>
      </c>
      <c r="AV101" s="3" t="s">
        <v>81</v>
      </c>
      <c r="AW101" s="3" t="s">
        <v>81</v>
      </c>
      <c r="AX101" s="3">
        <v>50.73</v>
      </c>
      <c r="AY101" s="3">
        <v>0</v>
      </c>
      <c r="AZ101" s="3" t="s">
        <v>81</v>
      </c>
      <c r="BA101" s="3" t="s">
        <v>81</v>
      </c>
      <c r="BB101" s="3" t="s">
        <v>81</v>
      </c>
      <c r="BC101" s="3" t="s">
        <v>81</v>
      </c>
      <c r="BD101" s="3" t="s">
        <v>81</v>
      </c>
      <c r="BE101" s="3" t="s">
        <v>81</v>
      </c>
      <c r="BF101" s="3" t="s">
        <v>81</v>
      </c>
      <c r="BG101" s="3" t="s">
        <v>81</v>
      </c>
      <c r="BH101" s="3" t="s">
        <v>81</v>
      </c>
      <c r="BI101" s="3" t="s">
        <v>84</v>
      </c>
      <c r="BJ101" s="3" t="s">
        <v>82</v>
      </c>
      <c r="BK101" s="3" t="s">
        <v>83</v>
      </c>
      <c r="BL101" s="3" t="s">
        <v>84</v>
      </c>
      <c r="BM101" s="3" t="s">
        <v>84</v>
      </c>
      <c r="BN101" s="3" t="s">
        <v>84</v>
      </c>
      <c r="BO101" s="3" t="s">
        <v>82</v>
      </c>
      <c r="BP101" s="3" t="s">
        <v>334</v>
      </c>
      <c r="BQ101" s="3" t="s">
        <v>334</v>
      </c>
      <c r="BR101" s="3" t="s">
        <v>335</v>
      </c>
      <c r="BS101" s="3" t="s">
        <v>335</v>
      </c>
      <c r="BT101" s="3" t="s">
        <v>98</v>
      </c>
      <c r="BU101" s="3" t="s">
        <v>85</v>
      </c>
      <c r="BV101" s="3" t="s">
        <v>82</v>
      </c>
      <c r="BW101" s="3" t="s">
        <v>91</v>
      </c>
      <c r="BX101" s="3" t="s">
        <v>82</v>
      </c>
      <c r="BY101" s="3" t="s">
        <v>336</v>
      </c>
      <c r="BZ101" s="3" t="s">
        <v>86</v>
      </c>
      <c r="CA101" s="3"/>
      <c r="CB101" s="3" t="s">
        <v>84</v>
      </c>
      <c r="CC101" s="3"/>
      <c r="CD101" s="9">
        <v>60</v>
      </c>
      <c r="CE101" s="9"/>
      <c r="CF101" s="17"/>
      <c r="CG101" s="17"/>
      <c r="CH101" s="17"/>
      <c r="CI101" s="18"/>
    </row>
    <row r="102" spans="1:87" x14ac:dyDescent="0.15">
      <c r="A102" s="3">
        <v>2625858594</v>
      </c>
      <c r="B102" s="3" t="s">
        <v>561</v>
      </c>
      <c r="C102" s="3" t="s">
        <v>561</v>
      </c>
      <c r="D102" s="3">
        <v>11</v>
      </c>
      <c r="E102" s="3">
        <v>28</v>
      </c>
      <c r="F102" s="3">
        <v>63.253</v>
      </c>
      <c r="G102" s="3">
        <v>0</v>
      </c>
      <c r="H102" s="3" t="s">
        <v>81</v>
      </c>
      <c r="I102" s="3" t="s">
        <v>81</v>
      </c>
      <c r="J102" s="3" t="s">
        <v>81</v>
      </c>
      <c r="K102" s="3" t="s">
        <v>81</v>
      </c>
      <c r="L102" s="3" t="s">
        <v>81</v>
      </c>
      <c r="M102" s="3" t="s">
        <v>81</v>
      </c>
      <c r="N102" s="3" t="s">
        <v>81</v>
      </c>
      <c r="O102" s="3" t="s">
        <v>81</v>
      </c>
      <c r="P102" s="3" t="s">
        <v>81</v>
      </c>
      <c r="Q102" s="3">
        <v>67.495999999999995</v>
      </c>
      <c r="R102" s="3">
        <v>0</v>
      </c>
      <c r="S102" s="3" t="s">
        <v>81</v>
      </c>
      <c r="T102" s="3" t="s">
        <v>81</v>
      </c>
      <c r="U102" s="3" t="s">
        <v>81</v>
      </c>
      <c r="V102" s="3" t="s">
        <v>81</v>
      </c>
      <c r="W102" s="3" t="s">
        <v>81</v>
      </c>
      <c r="X102" s="3" t="s">
        <v>81</v>
      </c>
      <c r="Y102" s="3" t="s">
        <v>81</v>
      </c>
      <c r="Z102" s="3" t="s">
        <v>81</v>
      </c>
      <c r="AA102" s="3" t="s">
        <v>81</v>
      </c>
      <c r="AB102" s="3">
        <v>63.136000000000003</v>
      </c>
      <c r="AC102" s="3">
        <v>0</v>
      </c>
      <c r="AD102" s="3" t="s">
        <v>81</v>
      </c>
      <c r="AE102" s="3" t="s">
        <v>81</v>
      </c>
      <c r="AF102" s="3" t="s">
        <v>81</v>
      </c>
      <c r="AG102" s="3" t="s">
        <v>81</v>
      </c>
      <c r="AH102" s="3" t="s">
        <v>81</v>
      </c>
      <c r="AI102" s="3" t="s">
        <v>81</v>
      </c>
      <c r="AJ102" s="3" t="s">
        <v>81</v>
      </c>
      <c r="AK102" s="3" t="s">
        <v>81</v>
      </c>
      <c r="AL102" s="3" t="s">
        <v>81</v>
      </c>
      <c r="AM102" s="3">
        <v>67.685000000000002</v>
      </c>
      <c r="AN102" s="3">
        <v>0</v>
      </c>
      <c r="AO102" s="3" t="s">
        <v>81</v>
      </c>
      <c r="AP102" s="3" t="s">
        <v>81</v>
      </c>
      <c r="AQ102" s="3" t="s">
        <v>81</v>
      </c>
      <c r="AR102" s="3" t="s">
        <v>81</v>
      </c>
      <c r="AS102" s="3" t="s">
        <v>81</v>
      </c>
      <c r="AT102" s="3" t="s">
        <v>81</v>
      </c>
      <c r="AU102" s="3" t="s">
        <v>81</v>
      </c>
      <c r="AV102" s="3" t="s">
        <v>81</v>
      </c>
      <c r="AW102" s="3" t="s">
        <v>81</v>
      </c>
      <c r="AX102" s="3">
        <v>67.284000000000006</v>
      </c>
      <c r="AY102" s="3">
        <v>0</v>
      </c>
      <c r="AZ102" s="3" t="s">
        <v>81</v>
      </c>
      <c r="BA102" s="3" t="s">
        <v>81</v>
      </c>
      <c r="BB102" s="3" t="s">
        <v>81</v>
      </c>
      <c r="BC102" s="3" t="s">
        <v>81</v>
      </c>
      <c r="BD102" s="3" t="s">
        <v>81</v>
      </c>
      <c r="BE102" s="3" t="s">
        <v>81</v>
      </c>
      <c r="BF102" s="3" t="s">
        <v>81</v>
      </c>
      <c r="BG102" s="3" t="s">
        <v>81</v>
      </c>
      <c r="BH102" s="3" t="s">
        <v>81</v>
      </c>
      <c r="BI102" s="3" t="s">
        <v>84</v>
      </c>
      <c r="BJ102" s="3" t="s">
        <v>82</v>
      </c>
      <c r="BK102" s="3" t="s">
        <v>83</v>
      </c>
      <c r="BL102" s="3" t="s">
        <v>84</v>
      </c>
      <c r="BM102" s="3" t="s">
        <v>84</v>
      </c>
      <c r="BN102" s="3" t="s">
        <v>82</v>
      </c>
      <c r="BO102" s="3" t="s">
        <v>84</v>
      </c>
      <c r="BP102" s="3" t="s">
        <v>414</v>
      </c>
      <c r="BQ102" s="3" t="s">
        <v>414</v>
      </c>
      <c r="BR102" s="3" t="s">
        <v>415</v>
      </c>
      <c r="BS102" s="3" t="s">
        <v>415</v>
      </c>
      <c r="BT102" s="3" t="s">
        <v>85</v>
      </c>
      <c r="BU102" s="3" t="s">
        <v>81</v>
      </c>
      <c r="BV102" s="3" t="s">
        <v>82</v>
      </c>
      <c r="BW102" s="3" t="s">
        <v>91</v>
      </c>
      <c r="BX102" s="3" t="s">
        <v>82</v>
      </c>
      <c r="BY102" s="3" t="s">
        <v>416</v>
      </c>
      <c r="BZ102" s="3" t="s">
        <v>86</v>
      </c>
      <c r="CA102" s="3"/>
      <c r="CB102" s="3" t="s">
        <v>84</v>
      </c>
      <c r="CC102" s="3"/>
      <c r="CD102" s="9">
        <v>26</v>
      </c>
      <c r="CE102" s="3"/>
      <c r="CF102" s="17"/>
      <c r="CG102" s="17"/>
      <c r="CH102" s="17"/>
      <c r="CI102" s="18"/>
    </row>
    <row r="103" spans="1:87" x14ac:dyDescent="0.15">
      <c r="A103" s="3">
        <v>2643330572</v>
      </c>
      <c r="B103" s="3" t="s">
        <v>302</v>
      </c>
      <c r="C103" s="3" t="s">
        <v>302</v>
      </c>
      <c r="D103" s="3">
        <v>5</v>
      </c>
      <c r="E103" s="3">
        <v>6</v>
      </c>
      <c r="F103" s="3">
        <v>10.67</v>
      </c>
      <c r="G103" s="3">
        <v>0</v>
      </c>
      <c r="H103" s="3" t="s">
        <v>81</v>
      </c>
      <c r="I103" s="3" t="s">
        <v>81</v>
      </c>
      <c r="J103" s="3" t="s">
        <v>81</v>
      </c>
      <c r="K103" s="3" t="s">
        <v>81</v>
      </c>
      <c r="L103" s="3" t="s">
        <v>81</v>
      </c>
      <c r="M103" s="3" t="s">
        <v>81</v>
      </c>
      <c r="N103" s="3" t="s">
        <v>81</v>
      </c>
      <c r="O103" s="3" t="s">
        <v>81</v>
      </c>
      <c r="P103" s="3" t="s">
        <v>81</v>
      </c>
      <c r="Q103" s="3">
        <v>10.913</v>
      </c>
      <c r="R103" s="3">
        <v>0</v>
      </c>
      <c r="S103" s="3" t="s">
        <v>81</v>
      </c>
      <c r="T103" s="3" t="s">
        <v>81</v>
      </c>
      <c r="U103" s="3" t="s">
        <v>81</v>
      </c>
      <c r="V103" s="3" t="s">
        <v>81</v>
      </c>
      <c r="W103" s="3" t="s">
        <v>81</v>
      </c>
      <c r="X103" s="3" t="s">
        <v>81</v>
      </c>
      <c r="Y103" s="3" t="s">
        <v>81</v>
      </c>
      <c r="Z103" s="3" t="s">
        <v>81</v>
      </c>
      <c r="AA103" s="3" t="s">
        <v>81</v>
      </c>
      <c r="AB103" s="3">
        <v>7.8079999999999998</v>
      </c>
      <c r="AC103" s="3">
        <v>0</v>
      </c>
      <c r="AD103" s="3" t="s">
        <v>81</v>
      </c>
      <c r="AE103" s="3" t="s">
        <v>81</v>
      </c>
      <c r="AF103" s="3" t="s">
        <v>81</v>
      </c>
      <c r="AG103" s="3" t="s">
        <v>81</v>
      </c>
      <c r="AH103" s="3" t="s">
        <v>81</v>
      </c>
      <c r="AI103" s="3" t="s">
        <v>81</v>
      </c>
      <c r="AJ103" s="3" t="s">
        <v>81</v>
      </c>
      <c r="AK103" s="3" t="s">
        <v>81</v>
      </c>
      <c r="AL103" s="3" t="s">
        <v>81</v>
      </c>
      <c r="AM103" s="3">
        <v>11.462</v>
      </c>
      <c r="AN103" s="3">
        <v>0</v>
      </c>
      <c r="AO103" s="3" t="s">
        <v>81</v>
      </c>
      <c r="AP103" s="3" t="s">
        <v>81</v>
      </c>
      <c r="AQ103" s="3" t="s">
        <v>81</v>
      </c>
      <c r="AR103" s="3" t="s">
        <v>81</v>
      </c>
      <c r="AS103" s="3" t="s">
        <v>81</v>
      </c>
      <c r="AT103" s="3" t="s">
        <v>81</v>
      </c>
      <c r="AU103" s="3" t="s">
        <v>81</v>
      </c>
      <c r="AV103" s="3" t="s">
        <v>81</v>
      </c>
      <c r="AW103" s="3" t="s">
        <v>81</v>
      </c>
      <c r="AX103" s="3">
        <v>6.6379999999999999</v>
      </c>
      <c r="AY103" s="3">
        <v>0</v>
      </c>
      <c r="AZ103" s="3" t="s">
        <v>81</v>
      </c>
      <c r="BA103" s="3" t="s">
        <v>81</v>
      </c>
      <c r="BB103" s="3" t="s">
        <v>81</v>
      </c>
      <c r="BC103" s="3" t="s">
        <v>81</v>
      </c>
      <c r="BD103" s="3" t="s">
        <v>81</v>
      </c>
      <c r="BE103" s="3" t="s">
        <v>81</v>
      </c>
      <c r="BF103" s="3" t="s">
        <v>81</v>
      </c>
      <c r="BG103" s="3" t="s">
        <v>81</v>
      </c>
      <c r="BH103" s="3" t="s">
        <v>81</v>
      </c>
      <c r="BI103" s="3" t="s">
        <v>82</v>
      </c>
      <c r="BJ103" s="3" t="s">
        <v>84</v>
      </c>
      <c r="BK103" s="3" t="s">
        <v>82</v>
      </c>
      <c r="BL103" s="3" t="s">
        <v>84</v>
      </c>
      <c r="BM103" s="3" t="s">
        <v>84</v>
      </c>
      <c r="BN103" s="3" t="s">
        <v>82</v>
      </c>
      <c r="BO103" s="3" t="s">
        <v>82</v>
      </c>
      <c r="BP103" s="3" t="s">
        <v>81</v>
      </c>
      <c r="BQ103" s="3" t="s">
        <v>81</v>
      </c>
      <c r="BR103" s="3" t="s">
        <v>81</v>
      </c>
      <c r="BS103" s="3" t="s">
        <v>81</v>
      </c>
      <c r="BT103" s="3" t="s">
        <v>81</v>
      </c>
      <c r="BU103" s="3" t="s">
        <v>81</v>
      </c>
      <c r="BV103" s="3" t="s">
        <v>84</v>
      </c>
      <c r="BW103" s="3" t="s">
        <v>83</v>
      </c>
      <c r="BX103" s="3" t="s">
        <v>82</v>
      </c>
      <c r="BY103" s="3"/>
      <c r="BZ103" s="3" t="s">
        <v>86</v>
      </c>
      <c r="CA103" s="3"/>
      <c r="CB103" s="3" t="s">
        <v>84</v>
      </c>
      <c r="CC103" s="3"/>
      <c r="CD103" s="9">
        <v>6</v>
      </c>
      <c r="CE103" s="3"/>
      <c r="CF103" s="17"/>
      <c r="CG103" s="17"/>
      <c r="CH103" s="17"/>
      <c r="CI103" s="18"/>
    </row>
    <row r="104" spans="1:87" x14ac:dyDescent="0.15">
      <c r="A104" s="3">
        <v>1847936596</v>
      </c>
      <c r="B104" s="3" t="s">
        <v>309</v>
      </c>
      <c r="C104" s="3" t="s">
        <v>309</v>
      </c>
      <c r="D104" s="3">
        <v>3</v>
      </c>
      <c r="E104" s="3">
        <v>3</v>
      </c>
      <c r="F104" s="3">
        <v>167.48500000000001</v>
      </c>
      <c r="G104" s="3">
        <v>3</v>
      </c>
      <c r="H104" s="3">
        <v>66.647999999999996</v>
      </c>
      <c r="I104" s="3">
        <v>19.128</v>
      </c>
      <c r="J104" s="3">
        <v>46.524999999999999</v>
      </c>
      <c r="K104" s="3">
        <v>12.513</v>
      </c>
      <c r="L104" s="3">
        <v>34.116</v>
      </c>
      <c r="M104" s="3">
        <v>9.5939999999999994</v>
      </c>
      <c r="N104" s="3">
        <v>16.175000000000001</v>
      </c>
      <c r="O104" s="3" t="s">
        <v>81</v>
      </c>
      <c r="P104" s="3" t="s">
        <v>81</v>
      </c>
      <c r="Q104" s="3">
        <v>142.328</v>
      </c>
      <c r="R104" s="3">
        <v>3</v>
      </c>
      <c r="S104" s="3">
        <v>64.085999999999999</v>
      </c>
      <c r="T104" s="3" t="s">
        <v>81</v>
      </c>
      <c r="U104" s="3">
        <v>42.375999999999998</v>
      </c>
      <c r="V104" s="3">
        <v>12.766</v>
      </c>
      <c r="W104" s="3">
        <v>29.18</v>
      </c>
      <c r="X104" s="3">
        <v>10.039999999999999</v>
      </c>
      <c r="Y104" s="3">
        <v>3.367</v>
      </c>
      <c r="Z104" s="3" t="s">
        <v>81</v>
      </c>
      <c r="AA104" s="3" t="s">
        <v>81</v>
      </c>
      <c r="AB104" s="3">
        <v>140.904</v>
      </c>
      <c r="AC104" s="3">
        <v>3</v>
      </c>
      <c r="AD104" s="3">
        <v>62.261000000000003</v>
      </c>
      <c r="AE104" s="3">
        <v>15.076000000000001</v>
      </c>
      <c r="AF104" s="3">
        <v>41.756</v>
      </c>
      <c r="AG104" s="3">
        <v>13.433999999999999</v>
      </c>
      <c r="AH104" s="3">
        <v>34.929000000000002</v>
      </c>
      <c r="AI104" s="3" t="s">
        <v>81</v>
      </c>
      <c r="AJ104" s="3" t="s">
        <v>81</v>
      </c>
      <c r="AK104" s="3" t="s">
        <v>81</v>
      </c>
      <c r="AL104" s="3" t="s">
        <v>81</v>
      </c>
      <c r="AM104" s="3" t="s">
        <v>81</v>
      </c>
      <c r="AN104" s="3" t="s">
        <v>81</v>
      </c>
      <c r="AO104" s="3" t="s">
        <v>81</v>
      </c>
      <c r="AP104" s="3" t="s">
        <v>81</v>
      </c>
      <c r="AQ104" s="3" t="s">
        <v>81</v>
      </c>
      <c r="AR104" s="3" t="s">
        <v>81</v>
      </c>
      <c r="AS104" s="3" t="s">
        <v>81</v>
      </c>
      <c r="AT104" s="3" t="s">
        <v>81</v>
      </c>
      <c r="AU104" s="3" t="s">
        <v>81</v>
      </c>
      <c r="AV104" s="3" t="s">
        <v>81</v>
      </c>
      <c r="AW104" s="3" t="s">
        <v>81</v>
      </c>
      <c r="AX104" s="3" t="s">
        <v>81</v>
      </c>
      <c r="AY104" s="3" t="s">
        <v>81</v>
      </c>
      <c r="AZ104" s="3" t="s">
        <v>81</v>
      </c>
      <c r="BA104" s="3" t="s">
        <v>81</v>
      </c>
      <c r="BB104" s="3" t="s">
        <v>81</v>
      </c>
      <c r="BC104" s="3" t="s">
        <v>81</v>
      </c>
      <c r="BD104" s="3" t="s">
        <v>81</v>
      </c>
      <c r="BE104" s="3" t="s">
        <v>81</v>
      </c>
      <c r="BF104" s="3" t="s">
        <v>81</v>
      </c>
      <c r="BG104" s="3" t="s">
        <v>81</v>
      </c>
      <c r="BH104" s="3" t="s">
        <v>81</v>
      </c>
      <c r="BI104" s="3" t="s">
        <v>84</v>
      </c>
      <c r="BJ104" s="3" t="s">
        <v>84</v>
      </c>
      <c r="BK104" s="3" t="s">
        <v>82</v>
      </c>
      <c r="BL104" s="3" t="s">
        <v>84</v>
      </c>
      <c r="BM104" s="3" t="s">
        <v>84</v>
      </c>
      <c r="BN104" s="3" t="s">
        <v>82</v>
      </c>
      <c r="BO104" s="3" t="s">
        <v>84</v>
      </c>
      <c r="BP104" s="3" t="s">
        <v>133</v>
      </c>
      <c r="BQ104" s="3" t="s">
        <v>133</v>
      </c>
      <c r="BR104" s="3" t="s">
        <v>129</v>
      </c>
      <c r="BS104" s="3" t="s">
        <v>129</v>
      </c>
      <c r="BT104" s="3" t="s">
        <v>87</v>
      </c>
      <c r="BU104" s="3" t="s">
        <v>129</v>
      </c>
      <c r="BV104" s="3" t="s">
        <v>82</v>
      </c>
      <c r="BW104" s="3" t="s">
        <v>91</v>
      </c>
      <c r="BX104" s="3" t="s">
        <v>84</v>
      </c>
      <c r="BY104" s="3" t="s">
        <v>310</v>
      </c>
      <c r="BZ104" s="3" t="s">
        <v>93</v>
      </c>
      <c r="CB104" s="3" t="s">
        <v>84</v>
      </c>
      <c r="CD104" s="9"/>
      <c r="CE104" s="9"/>
      <c r="CF104" s="19"/>
      <c r="CG104" s="18"/>
      <c r="CH104" s="18"/>
      <c r="CI104" s="18"/>
    </row>
    <row r="105" spans="1:87" x14ac:dyDescent="0.15">
      <c r="A105" s="3">
        <v>2625862353</v>
      </c>
      <c r="B105" s="3" t="s">
        <v>309</v>
      </c>
      <c r="C105" s="3" t="s">
        <v>309</v>
      </c>
      <c r="D105" s="3">
        <v>2</v>
      </c>
      <c r="E105" s="3">
        <v>2</v>
      </c>
      <c r="F105" s="3">
        <v>59.671999999999997</v>
      </c>
      <c r="G105" s="3">
        <v>2</v>
      </c>
      <c r="H105" s="3">
        <v>37.362000000000002</v>
      </c>
      <c r="I105" s="3">
        <v>30.408000000000001</v>
      </c>
      <c r="J105" s="3">
        <v>20.917000000000002</v>
      </c>
      <c r="K105" s="3">
        <v>20.024000000000001</v>
      </c>
      <c r="L105" s="3">
        <v>0.67</v>
      </c>
      <c r="M105" s="3" t="s">
        <v>81</v>
      </c>
      <c r="N105" s="3" t="s">
        <v>81</v>
      </c>
      <c r="O105" s="3" t="s">
        <v>81</v>
      </c>
      <c r="P105" s="3" t="s">
        <v>81</v>
      </c>
      <c r="Q105" s="3">
        <v>64.197999999999993</v>
      </c>
      <c r="R105" s="3">
        <v>2</v>
      </c>
      <c r="S105" s="3">
        <v>47.82</v>
      </c>
      <c r="T105" s="3">
        <v>25.81</v>
      </c>
      <c r="U105" s="3">
        <v>15.832000000000001</v>
      </c>
      <c r="V105" s="3">
        <v>15.968999999999999</v>
      </c>
      <c r="W105" s="3">
        <v>0.51500000000000001</v>
      </c>
      <c r="X105" s="3" t="s">
        <v>81</v>
      </c>
      <c r="Y105" s="3" t="s">
        <v>81</v>
      </c>
      <c r="Z105" s="3" t="s">
        <v>81</v>
      </c>
      <c r="AA105" s="3" t="s">
        <v>81</v>
      </c>
      <c r="AB105" s="3" t="s">
        <v>81</v>
      </c>
      <c r="AC105" s="3" t="s">
        <v>81</v>
      </c>
      <c r="AD105" s="3" t="s">
        <v>81</v>
      </c>
      <c r="AE105" s="3" t="s">
        <v>81</v>
      </c>
      <c r="AF105" s="3" t="s">
        <v>81</v>
      </c>
      <c r="AG105" s="3" t="s">
        <v>81</v>
      </c>
      <c r="AH105" s="3" t="s">
        <v>81</v>
      </c>
      <c r="AI105" s="3" t="s">
        <v>81</v>
      </c>
      <c r="AJ105" s="3" t="s">
        <v>81</v>
      </c>
      <c r="AK105" s="3" t="s">
        <v>81</v>
      </c>
      <c r="AL105" s="3" t="s">
        <v>81</v>
      </c>
      <c r="AM105" s="3" t="s">
        <v>81</v>
      </c>
      <c r="AN105" s="3" t="s">
        <v>81</v>
      </c>
      <c r="AO105" s="3" t="s">
        <v>81</v>
      </c>
      <c r="AP105" s="3" t="s">
        <v>81</v>
      </c>
      <c r="AQ105" s="3" t="s">
        <v>81</v>
      </c>
      <c r="AR105" s="3" t="s">
        <v>81</v>
      </c>
      <c r="AS105" s="3" t="s">
        <v>81</v>
      </c>
      <c r="AT105" s="3" t="s">
        <v>81</v>
      </c>
      <c r="AU105" s="3" t="s">
        <v>81</v>
      </c>
      <c r="AV105" s="3" t="s">
        <v>81</v>
      </c>
      <c r="AW105" s="3" t="s">
        <v>81</v>
      </c>
      <c r="AX105" s="3" t="s">
        <v>81</v>
      </c>
      <c r="AY105" s="3" t="s">
        <v>81</v>
      </c>
      <c r="AZ105" s="3" t="s">
        <v>81</v>
      </c>
      <c r="BA105" s="3" t="s">
        <v>81</v>
      </c>
      <c r="BB105" s="3" t="s">
        <v>81</v>
      </c>
      <c r="BC105" s="3" t="s">
        <v>81</v>
      </c>
      <c r="BD105" s="3" t="s">
        <v>81</v>
      </c>
      <c r="BE105" s="3" t="s">
        <v>81</v>
      </c>
      <c r="BF105" s="3" t="s">
        <v>81</v>
      </c>
      <c r="BG105" s="3" t="s">
        <v>81</v>
      </c>
      <c r="BH105" s="3" t="s">
        <v>81</v>
      </c>
      <c r="BI105" s="3" t="s">
        <v>84</v>
      </c>
      <c r="BJ105" s="3" t="s">
        <v>82</v>
      </c>
      <c r="BK105" s="3" t="s">
        <v>83</v>
      </c>
      <c r="BL105" s="3" t="s">
        <v>84</v>
      </c>
      <c r="BM105" s="3" t="s">
        <v>84</v>
      </c>
      <c r="BN105" s="3" t="s">
        <v>82</v>
      </c>
      <c r="BO105" s="3" t="s">
        <v>84</v>
      </c>
      <c r="BP105" s="3" t="s">
        <v>311</v>
      </c>
      <c r="BQ105" s="3" t="s">
        <v>311</v>
      </c>
      <c r="BR105" s="3" t="s">
        <v>311</v>
      </c>
      <c r="BS105" s="3" t="s">
        <v>311</v>
      </c>
      <c r="BT105" s="3" t="s">
        <v>87</v>
      </c>
      <c r="BU105" s="3" t="s">
        <v>129</v>
      </c>
      <c r="BV105" s="3" t="s">
        <v>84</v>
      </c>
      <c r="BW105" s="3" t="s">
        <v>83</v>
      </c>
      <c r="BX105" s="3" t="s">
        <v>82</v>
      </c>
      <c r="BY105" s="3" t="s">
        <v>312</v>
      </c>
      <c r="BZ105" s="3" t="s">
        <v>86</v>
      </c>
      <c r="CB105" s="3" t="s">
        <v>84</v>
      </c>
      <c r="CD105" s="9">
        <v>4</v>
      </c>
      <c r="CE105" s="9">
        <v>2</v>
      </c>
      <c r="CF105" s="19"/>
      <c r="CG105" s="18"/>
      <c r="CH105" s="18"/>
      <c r="CI105" s="18"/>
    </row>
    <row r="106" spans="1:87" x14ac:dyDescent="0.15">
      <c r="A106" s="3">
        <v>2643334497</v>
      </c>
      <c r="B106" s="3" t="s">
        <v>309</v>
      </c>
      <c r="C106" s="3" t="s">
        <v>309</v>
      </c>
      <c r="D106" s="3">
        <v>2</v>
      </c>
      <c r="E106" s="3">
        <v>3</v>
      </c>
      <c r="F106" s="3">
        <v>90.468999999999994</v>
      </c>
      <c r="G106" s="3">
        <v>2</v>
      </c>
      <c r="H106" s="3">
        <v>46.491999999999997</v>
      </c>
      <c r="I106" s="3">
        <v>23.972000000000001</v>
      </c>
      <c r="J106" s="3">
        <v>41.64</v>
      </c>
      <c r="K106" s="3">
        <v>17.422999999999998</v>
      </c>
      <c r="L106" s="3">
        <v>2.4359999999999999</v>
      </c>
      <c r="M106" s="3" t="s">
        <v>81</v>
      </c>
      <c r="N106" s="3" t="s">
        <v>81</v>
      </c>
      <c r="O106" s="3" t="s">
        <v>81</v>
      </c>
      <c r="P106" s="3" t="s">
        <v>81</v>
      </c>
      <c r="Q106" s="3">
        <v>94.625</v>
      </c>
      <c r="R106" s="3">
        <v>2</v>
      </c>
      <c r="S106" s="3">
        <v>47.381999999999998</v>
      </c>
      <c r="T106" s="3">
        <v>29.391999999999999</v>
      </c>
      <c r="U106" s="3">
        <v>44.189</v>
      </c>
      <c r="V106" s="3">
        <v>18.414000000000001</v>
      </c>
      <c r="W106" s="3">
        <v>2.8610000000000002</v>
      </c>
      <c r="X106" s="3" t="s">
        <v>81</v>
      </c>
      <c r="Y106" s="3" t="s">
        <v>81</v>
      </c>
      <c r="Z106" s="3" t="s">
        <v>81</v>
      </c>
      <c r="AA106" s="3" t="s">
        <v>81</v>
      </c>
      <c r="AB106" s="3">
        <v>78.132000000000005</v>
      </c>
      <c r="AC106" s="3">
        <v>2</v>
      </c>
      <c r="AD106" s="3">
        <v>39.460999999999999</v>
      </c>
      <c r="AE106" s="3">
        <v>26.562000000000001</v>
      </c>
      <c r="AF106" s="3">
        <v>37.122</v>
      </c>
      <c r="AG106" s="3">
        <v>20.683</v>
      </c>
      <c r="AH106" s="3">
        <v>1.448</v>
      </c>
      <c r="AI106" s="3" t="s">
        <v>81</v>
      </c>
      <c r="AJ106" s="3" t="s">
        <v>81</v>
      </c>
      <c r="AK106" s="3" t="s">
        <v>81</v>
      </c>
      <c r="AL106" s="3" t="s">
        <v>81</v>
      </c>
      <c r="AM106" s="3" t="s">
        <v>81</v>
      </c>
      <c r="AN106" s="3" t="s">
        <v>81</v>
      </c>
      <c r="AO106" s="3" t="s">
        <v>81</v>
      </c>
      <c r="AP106" s="3" t="s">
        <v>81</v>
      </c>
      <c r="AQ106" s="3" t="s">
        <v>81</v>
      </c>
      <c r="AR106" s="3" t="s">
        <v>81</v>
      </c>
      <c r="AS106" s="3" t="s">
        <v>81</v>
      </c>
      <c r="AT106" s="3" t="s">
        <v>81</v>
      </c>
      <c r="AU106" s="3" t="s">
        <v>81</v>
      </c>
      <c r="AV106" s="3" t="s">
        <v>81</v>
      </c>
      <c r="AW106" s="3" t="s">
        <v>81</v>
      </c>
      <c r="AX106" s="3" t="s">
        <v>81</v>
      </c>
      <c r="AY106" s="3" t="s">
        <v>81</v>
      </c>
      <c r="AZ106" s="3" t="s">
        <v>81</v>
      </c>
      <c r="BA106" s="3" t="s">
        <v>81</v>
      </c>
      <c r="BB106" s="3" t="s">
        <v>81</v>
      </c>
      <c r="BC106" s="3" t="s">
        <v>81</v>
      </c>
      <c r="BD106" s="3" t="s">
        <v>81</v>
      </c>
      <c r="BE106" s="3" t="s">
        <v>81</v>
      </c>
      <c r="BF106" s="3" t="s">
        <v>81</v>
      </c>
      <c r="BG106" s="3" t="s">
        <v>81</v>
      </c>
      <c r="BH106" s="3" t="s">
        <v>81</v>
      </c>
      <c r="BI106" s="3" t="s">
        <v>84</v>
      </c>
      <c r="BJ106" s="3" t="s">
        <v>82</v>
      </c>
      <c r="BK106" s="3" t="s">
        <v>83</v>
      </c>
      <c r="BL106" s="3" t="s">
        <v>84</v>
      </c>
      <c r="BM106" s="3" t="s">
        <v>84</v>
      </c>
      <c r="BN106" s="3" t="s">
        <v>82</v>
      </c>
      <c r="BO106" s="3" t="s">
        <v>82</v>
      </c>
      <c r="BP106" s="3" t="s">
        <v>313</v>
      </c>
      <c r="BQ106" s="3" t="s">
        <v>313</v>
      </c>
      <c r="BR106" s="3" t="s">
        <v>313</v>
      </c>
      <c r="BS106" s="3" t="s">
        <v>313</v>
      </c>
      <c r="BT106" s="3" t="s">
        <v>98</v>
      </c>
      <c r="BU106" s="3" t="s">
        <v>87</v>
      </c>
      <c r="BV106" s="3" t="s">
        <v>82</v>
      </c>
      <c r="BW106" s="3" t="s">
        <v>91</v>
      </c>
      <c r="BX106" s="3" t="s">
        <v>82</v>
      </c>
      <c r="BZ106" s="3" t="s">
        <v>86</v>
      </c>
      <c r="CB106" s="3" t="s">
        <v>84</v>
      </c>
      <c r="CD106" s="9">
        <v>6</v>
      </c>
      <c r="CE106" s="9">
        <v>6</v>
      </c>
      <c r="CF106" s="19"/>
      <c r="CG106" s="18"/>
      <c r="CH106" s="18"/>
      <c r="CI106" s="18"/>
    </row>
    <row r="107" spans="1:87" x14ac:dyDescent="0.15">
      <c r="A107" s="3">
        <v>1228503366</v>
      </c>
      <c r="B107" s="3" t="s">
        <v>309</v>
      </c>
      <c r="C107" s="3" t="s">
        <v>309</v>
      </c>
      <c r="D107" s="3">
        <v>3</v>
      </c>
      <c r="E107" s="3">
        <v>4</v>
      </c>
      <c r="F107" s="3">
        <v>273.45499999999998</v>
      </c>
      <c r="G107" s="3">
        <v>4</v>
      </c>
      <c r="H107" s="3">
        <v>86.802999999999997</v>
      </c>
      <c r="I107" s="3">
        <v>64.853999999999999</v>
      </c>
      <c r="J107" s="3">
        <v>59.088000000000001</v>
      </c>
      <c r="K107" s="3">
        <v>61.406999999999996</v>
      </c>
      <c r="L107" s="3">
        <v>51.345999999999997</v>
      </c>
      <c r="M107" s="3">
        <v>51.231000000000002</v>
      </c>
      <c r="N107" s="3">
        <v>31.305</v>
      </c>
      <c r="O107" s="3">
        <v>47.075000000000003</v>
      </c>
      <c r="P107" s="3">
        <v>53.670999999999999</v>
      </c>
      <c r="Q107" s="3">
        <v>222.494</v>
      </c>
      <c r="R107" s="3">
        <v>3</v>
      </c>
      <c r="S107" s="3">
        <v>71.012</v>
      </c>
      <c r="T107" s="3">
        <v>60.381</v>
      </c>
      <c r="U107" s="3">
        <v>54.935000000000002</v>
      </c>
      <c r="V107" s="3">
        <v>51.436999999999998</v>
      </c>
      <c r="W107" s="3">
        <v>34.643999999999998</v>
      </c>
      <c r="X107" s="3">
        <v>47.468000000000004</v>
      </c>
      <c r="Y107" s="3">
        <v>58.042000000000002</v>
      </c>
      <c r="Z107" s="3" t="s">
        <v>81</v>
      </c>
      <c r="AA107" s="3" t="s">
        <v>81</v>
      </c>
      <c r="AB107" s="3">
        <v>282.47199999999998</v>
      </c>
      <c r="AC107" s="3">
        <v>3</v>
      </c>
      <c r="AD107" s="3">
        <v>90.921999999999997</v>
      </c>
      <c r="AE107" s="3">
        <v>65.296999999999997</v>
      </c>
      <c r="AF107" s="3">
        <v>71.457999999999998</v>
      </c>
      <c r="AG107" s="3">
        <v>61.96</v>
      </c>
      <c r="AH107" s="3">
        <v>50.149000000000001</v>
      </c>
      <c r="AI107" s="3">
        <v>56.718000000000004</v>
      </c>
      <c r="AJ107" s="3">
        <v>69.734999999999999</v>
      </c>
      <c r="AK107" s="3" t="s">
        <v>81</v>
      </c>
      <c r="AL107" s="3" t="s">
        <v>81</v>
      </c>
      <c r="AM107" s="3">
        <v>264.13</v>
      </c>
      <c r="AN107" s="3">
        <v>3</v>
      </c>
      <c r="AO107" s="3">
        <v>76.790000000000006</v>
      </c>
      <c r="AP107" s="3">
        <v>56.225000000000001</v>
      </c>
      <c r="AQ107" s="3">
        <v>66.831000000000003</v>
      </c>
      <c r="AR107" s="3">
        <v>56.277999999999999</v>
      </c>
      <c r="AS107" s="3">
        <v>47.024000000000001</v>
      </c>
      <c r="AT107" s="3">
        <v>40.756999999999998</v>
      </c>
      <c r="AU107" s="3">
        <v>71.010999999999996</v>
      </c>
      <c r="AV107" s="3" t="s">
        <v>81</v>
      </c>
      <c r="AW107" s="3" t="s">
        <v>81</v>
      </c>
      <c r="AX107" s="3" t="s">
        <v>81</v>
      </c>
      <c r="AY107" s="3" t="s">
        <v>81</v>
      </c>
      <c r="AZ107" s="3" t="s">
        <v>81</v>
      </c>
      <c r="BA107" s="3" t="s">
        <v>81</v>
      </c>
      <c r="BB107" s="3" t="s">
        <v>81</v>
      </c>
      <c r="BC107" s="3" t="s">
        <v>81</v>
      </c>
      <c r="BD107" s="3" t="s">
        <v>81</v>
      </c>
      <c r="BE107" s="3" t="s">
        <v>81</v>
      </c>
      <c r="BF107" s="3" t="s">
        <v>81</v>
      </c>
      <c r="BG107" s="3" t="s">
        <v>81</v>
      </c>
      <c r="BH107" s="3" t="s">
        <v>81</v>
      </c>
      <c r="BI107" s="3" t="s">
        <v>84</v>
      </c>
      <c r="BJ107" s="3" t="s">
        <v>84</v>
      </c>
      <c r="BK107" s="3" t="s">
        <v>84</v>
      </c>
      <c r="BL107" s="3" t="s">
        <v>84</v>
      </c>
      <c r="BM107" s="3" t="s">
        <v>84</v>
      </c>
      <c r="BN107" s="3" t="s">
        <v>82</v>
      </c>
      <c r="BO107" s="3" t="s">
        <v>82</v>
      </c>
      <c r="BP107" s="3" t="s">
        <v>133</v>
      </c>
      <c r="BQ107" s="3" t="s">
        <v>133</v>
      </c>
      <c r="BR107" s="3" t="s">
        <v>133</v>
      </c>
      <c r="BS107" s="3" t="s">
        <v>133</v>
      </c>
      <c r="BT107" s="3" t="s">
        <v>87</v>
      </c>
      <c r="BU107" s="3" t="s">
        <v>129</v>
      </c>
      <c r="BV107" s="3" t="s">
        <v>82</v>
      </c>
      <c r="BW107" s="3" t="s">
        <v>91</v>
      </c>
      <c r="BX107" s="3" t="s">
        <v>82</v>
      </c>
      <c r="BZ107" s="3" t="s">
        <v>86</v>
      </c>
      <c r="CB107" s="3" t="s">
        <v>84</v>
      </c>
      <c r="CD107" s="9"/>
      <c r="CE107" s="9"/>
      <c r="CF107" s="19"/>
      <c r="CG107" s="18"/>
      <c r="CH107" s="18"/>
      <c r="CI107" s="18"/>
    </row>
    <row r="108" spans="1:87" x14ac:dyDescent="0.15">
      <c r="A108" s="3">
        <v>1319824351</v>
      </c>
      <c r="B108" s="3" t="s">
        <v>314</v>
      </c>
      <c r="C108" s="3" t="s">
        <v>315</v>
      </c>
      <c r="D108" s="3">
        <v>19</v>
      </c>
      <c r="E108" s="3">
        <v>22</v>
      </c>
      <c r="F108" s="3">
        <v>28.933</v>
      </c>
      <c r="G108" s="3">
        <v>0</v>
      </c>
      <c r="H108" s="3" t="s">
        <v>81</v>
      </c>
      <c r="I108" s="3" t="s">
        <v>81</v>
      </c>
      <c r="J108" s="3" t="s">
        <v>81</v>
      </c>
      <c r="K108" s="3" t="s">
        <v>81</v>
      </c>
      <c r="L108" s="3" t="s">
        <v>81</v>
      </c>
      <c r="M108" s="3" t="s">
        <v>81</v>
      </c>
      <c r="N108" s="3" t="s">
        <v>81</v>
      </c>
      <c r="O108" s="3" t="s">
        <v>81</v>
      </c>
      <c r="P108" s="3" t="s">
        <v>81</v>
      </c>
      <c r="Q108" s="3">
        <v>26.866</v>
      </c>
      <c r="R108" s="3">
        <v>0</v>
      </c>
      <c r="S108" s="3" t="s">
        <v>81</v>
      </c>
      <c r="T108" s="3" t="s">
        <v>81</v>
      </c>
      <c r="U108" s="3" t="s">
        <v>81</v>
      </c>
      <c r="V108" s="3" t="s">
        <v>81</v>
      </c>
      <c r="W108" s="3" t="s">
        <v>81</v>
      </c>
      <c r="X108" s="3" t="s">
        <v>81</v>
      </c>
      <c r="Y108" s="3" t="s">
        <v>81</v>
      </c>
      <c r="Z108" s="3" t="s">
        <v>81</v>
      </c>
      <c r="AA108" s="3" t="s">
        <v>81</v>
      </c>
      <c r="AB108" s="3">
        <v>26.946999999999999</v>
      </c>
      <c r="AC108" s="3">
        <v>0</v>
      </c>
      <c r="AD108" s="3" t="s">
        <v>81</v>
      </c>
      <c r="AE108" s="3" t="s">
        <v>81</v>
      </c>
      <c r="AF108" s="3" t="s">
        <v>81</v>
      </c>
      <c r="AG108" s="3" t="s">
        <v>81</v>
      </c>
      <c r="AH108" s="3" t="s">
        <v>81</v>
      </c>
      <c r="AI108" s="3" t="s">
        <v>81</v>
      </c>
      <c r="AJ108" s="3" t="s">
        <v>81</v>
      </c>
      <c r="AK108" s="3" t="s">
        <v>81</v>
      </c>
      <c r="AL108" s="3" t="s">
        <v>81</v>
      </c>
      <c r="AM108" s="3">
        <v>26.009</v>
      </c>
      <c r="AN108" s="3">
        <v>0</v>
      </c>
      <c r="AO108" s="3" t="s">
        <v>81</v>
      </c>
      <c r="AP108" s="3" t="s">
        <v>81</v>
      </c>
      <c r="AQ108" s="3" t="s">
        <v>81</v>
      </c>
      <c r="AR108" s="3" t="s">
        <v>81</v>
      </c>
      <c r="AS108" s="3" t="s">
        <v>81</v>
      </c>
      <c r="AT108" s="3" t="s">
        <v>81</v>
      </c>
      <c r="AU108" s="3" t="s">
        <v>81</v>
      </c>
      <c r="AV108" s="3" t="s">
        <v>81</v>
      </c>
      <c r="AW108" s="3" t="s">
        <v>81</v>
      </c>
      <c r="AX108" s="3">
        <v>29.992999999999999</v>
      </c>
      <c r="AY108" s="3">
        <v>0</v>
      </c>
      <c r="AZ108" s="3" t="s">
        <v>81</v>
      </c>
      <c r="BA108" s="3" t="s">
        <v>81</v>
      </c>
      <c r="BB108" s="3" t="s">
        <v>81</v>
      </c>
      <c r="BC108" s="3" t="s">
        <v>81</v>
      </c>
      <c r="BD108" s="3" t="s">
        <v>81</v>
      </c>
      <c r="BE108" s="3" t="s">
        <v>81</v>
      </c>
      <c r="BF108" s="3" t="s">
        <v>81</v>
      </c>
      <c r="BG108" s="3" t="s">
        <v>81</v>
      </c>
      <c r="BH108" s="3" t="s">
        <v>81</v>
      </c>
      <c r="BI108" s="3" t="s">
        <v>84</v>
      </c>
      <c r="BJ108" s="3" t="s">
        <v>84</v>
      </c>
      <c r="BK108" s="3" t="s">
        <v>84</v>
      </c>
      <c r="BL108" s="3" t="s">
        <v>82</v>
      </c>
      <c r="BM108" s="3" t="s">
        <v>83</v>
      </c>
      <c r="BN108" s="3" t="s">
        <v>82</v>
      </c>
      <c r="BO108" s="3" t="s">
        <v>83</v>
      </c>
      <c r="BP108" s="3" t="s">
        <v>83</v>
      </c>
      <c r="BQ108" s="3" t="s">
        <v>83</v>
      </c>
      <c r="BR108" s="3" t="s">
        <v>83</v>
      </c>
      <c r="BS108" s="3" t="s">
        <v>83</v>
      </c>
      <c r="BT108" s="3" t="s">
        <v>83</v>
      </c>
      <c r="BU108" s="3" t="s">
        <v>83</v>
      </c>
      <c r="BV108" s="3" t="s">
        <v>83</v>
      </c>
      <c r="BW108" s="3" t="s">
        <v>83</v>
      </c>
      <c r="BX108" s="3" t="s">
        <v>83</v>
      </c>
      <c r="BY108" s="3" t="s">
        <v>316</v>
      </c>
      <c r="BZ108" s="3" t="s">
        <v>86</v>
      </c>
      <c r="CB108" s="3" t="s">
        <v>84</v>
      </c>
      <c r="CD108" s="9">
        <v>22</v>
      </c>
      <c r="CE108" s="9"/>
      <c r="CF108" s="18"/>
      <c r="CG108" s="18">
        <v>21</v>
      </c>
      <c r="CH108" s="18"/>
      <c r="CI108" s="18"/>
    </row>
    <row r="109" spans="1:87" x14ac:dyDescent="0.15">
      <c r="A109" s="3">
        <v>1228321575</v>
      </c>
      <c r="B109" s="3" t="s">
        <v>315</v>
      </c>
      <c r="C109" s="3" t="s">
        <v>315</v>
      </c>
      <c r="D109" s="3">
        <v>9</v>
      </c>
      <c r="E109" s="3">
        <v>11</v>
      </c>
      <c r="F109" s="3">
        <v>28.518999999999998</v>
      </c>
      <c r="G109" s="3">
        <v>0</v>
      </c>
      <c r="H109" s="3" t="s">
        <v>81</v>
      </c>
      <c r="I109" s="3" t="s">
        <v>81</v>
      </c>
      <c r="J109" s="3" t="s">
        <v>81</v>
      </c>
      <c r="K109" s="3" t="s">
        <v>81</v>
      </c>
      <c r="L109" s="3" t="s">
        <v>81</v>
      </c>
      <c r="M109" s="3" t="s">
        <v>81</v>
      </c>
      <c r="N109" s="3" t="s">
        <v>81</v>
      </c>
      <c r="O109" s="3" t="s">
        <v>81</v>
      </c>
      <c r="P109" s="3" t="s">
        <v>81</v>
      </c>
      <c r="Q109" s="3">
        <v>21.247</v>
      </c>
      <c r="R109" s="3">
        <v>0</v>
      </c>
      <c r="S109" s="3" t="s">
        <v>81</v>
      </c>
      <c r="T109" s="3" t="s">
        <v>81</v>
      </c>
      <c r="U109" s="3" t="s">
        <v>81</v>
      </c>
      <c r="V109" s="3" t="s">
        <v>81</v>
      </c>
      <c r="W109" s="3" t="s">
        <v>81</v>
      </c>
      <c r="X109" s="3" t="s">
        <v>81</v>
      </c>
      <c r="Y109" s="3" t="s">
        <v>81</v>
      </c>
      <c r="Z109" s="3" t="s">
        <v>81</v>
      </c>
      <c r="AA109" s="3" t="s">
        <v>81</v>
      </c>
      <c r="AB109" s="3">
        <v>26.701000000000001</v>
      </c>
      <c r="AC109" s="3">
        <v>0</v>
      </c>
      <c r="AD109" s="3" t="s">
        <v>81</v>
      </c>
      <c r="AE109" s="3" t="s">
        <v>81</v>
      </c>
      <c r="AF109" s="3" t="s">
        <v>81</v>
      </c>
      <c r="AG109" s="3" t="s">
        <v>81</v>
      </c>
      <c r="AH109" s="3" t="s">
        <v>81</v>
      </c>
      <c r="AI109" s="3" t="s">
        <v>81</v>
      </c>
      <c r="AJ109" s="3" t="s">
        <v>81</v>
      </c>
      <c r="AK109" s="3" t="s">
        <v>81</v>
      </c>
      <c r="AL109" s="3" t="s">
        <v>81</v>
      </c>
      <c r="AM109" s="3">
        <v>21.663</v>
      </c>
      <c r="AN109" s="3">
        <v>0</v>
      </c>
      <c r="AO109" s="3" t="s">
        <v>81</v>
      </c>
      <c r="AP109" s="3" t="s">
        <v>81</v>
      </c>
      <c r="AQ109" s="3" t="s">
        <v>81</v>
      </c>
      <c r="AR109" s="3" t="s">
        <v>81</v>
      </c>
      <c r="AS109" s="3" t="s">
        <v>81</v>
      </c>
      <c r="AT109" s="3" t="s">
        <v>81</v>
      </c>
      <c r="AU109" s="3" t="s">
        <v>81</v>
      </c>
      <c r="AV109" s="3" t="s">
        <v>81</v>
      </c>
      <c r="AW109" s="3" t="s">
        <v>81</v>
      </c>
      <c r="AX109" s="3" t="s">
        <v>81</v>
      </c>
      <c r="AY109" s="3" t="s">
        <v>81</v>
      </c>
      <c r="AZ109" s="3" t="s">
        <v>81</v>
      </c>
      <c r="BA109" s="3" t="s">
        <v>81</v>
      </c>
      <c r="BB109" s="3" t="s">
        <v>81</v>
      </c>
      <c r="BC109" s="3" t="s">
        <v>81</v>
      </c>
      <c r="BD109" s="3" t="s">
        <v>81</v>
      </c>
      <c r="BE109" s="3" t="s">
        <v>81</v>
      </c>
      <c r="BF109" s="3" t="s">
        <v>81</v>
      </c>
      <c r="BG109" s="3" t="s">
        <v>81</v>
      </c>
      <c r="BH109" s="3" t="s">
        <v>81</v>
      </c>
      <c r="BI109" s="3" t="s">
        <v>82</v>
      </c>
      <c r="BJ109" s="3" t="s">
        <v>82</v>
      </c>
      <c r="BK109" s="3" t="s">
        <v>83</v>
      </c>
      <c r="BL109" s="3" t="s">
        <v>84</v>
      </c>
      <c r="BM109" s="3" t="s">
        <v>84</v>
      </c>
      <c r="BN109" s="3" t="s">
        <v>84</v>
      </c>
      <c r="BO109" s="3" t="s">
        <v>82</v>
      </c>
      <c r="BP109" s="3" t="s">
        <v>87</v>
      </c>
      <c r="BQ109" s="3" t="s">
        <v>87</v>
      </c>
      <c r="BR109" s="3" t="s">
        <v>87</v>
      </c>
      <c r="BS109" s="3" t="s">
        <v>87</v>
      </c>
      <c r="BT109" s="3" t="s">
        <v>87</v>
      </c>
      <c r="BU109" s="3" t="s">
        <v>81</v>
      </c>
      <c r="BV109" s="3" t="s">
        <v>84</v>
      </c>
      <c r="BW109" s="3" t="s">
        <v>83</v>
      </c>
      <c r="BX109" s="3" t="s">
        <v>82</v>
      </c>
      <c r="BY109" s="3" t="s">
        <v>317</v>
      </c>
      <c r="BZ109" s="3" t="s">
        <v>93</v>
      </c>
      <c r="CB109" s="3" t="s">
        <v>84</v>
      </c>
      <c r="CD109" s="9">
        <v>10</v>
      </c>
      <c r="CE109" s="9"/>
      <c r="CF109" s="18"/>
      <c r="CG109" s="18"/>
      <c r="CH109" s="18"/>
      <c r="CI109" s="17"/>
    </row>
    <row r="110" spans="1:87" x14ac:dyDescent="0.15">
      <c r="A110" s="3">
        <v>1322146849</v>
      </c>
      <c r="B110" s="3" t="s">
        <v>315</v>
      </c>
      <c r="C110" s="3" t="s">
        <v>315</v>
      </c>
      <c r="D110" s="3">
        <v>5</v>
      </c>
      <c r="E110" s="3">
        <v>8</v>
      </c>
      <c r="F110" s="3">
        <v>16.991</v>
      </c>
      <c r="G110" s="3">
        <v>0</v>
      </c>
      <c r="H110" s="3" t="s">
        <v>81</v>
      </c>
      <c r="I110" s="3" t="s">
        <v>81</v>
      </c>
      <c r="J110" s="3" t="s">
        <v>81</v>
      </c>
      <c r="K110" s="3" t="s">
        <v>81</v>
      </c>
      <c r="L110" s="3" t="s">
        <v>81</v>
      </c>
      <c r="M110" s="3" t="s">
        <v>81</v>
      </c>
      <c r="N110" s="3" t="s">
        <v>81</v>
      </c>
      <c r="O110" s="3" t="s">
        <v>81</v>
      </c>
      <c r="P110" s="3" t="s">
        <v>81</v>
      </c>
      <c r="Q110" s="3">
        <v>21.699000000000002</v>
      </c>
      <c r="R110" s="3">
        <v>0</v>
      </c>
      <c r="S110" s="3" t="s">
        <v>81</v>
      </c>
      <c r="T110" s="3" t="s">
        <v>81</v>
      </c>
      <c r="U110" s="3" t="s">
        <v>81</v>
      </c>
      <c r="V110" s="3" t="s">
        <v>81</v>
      </c>
      <c r="W110" s="3" t="s">
        <v>81</v>
      </c>
      <c r="X110" s="3" t="s">
        <v>81</v>
      </c>
      <c r="Y110" s="3" t="s">
        <v>81</v>
      </c>
      <c r="Z110" s="3" t="s">
        <v>81</v>
      </c>
      <c r="AA110" s="3" t="s">
        <v>81</v>
      </c>
      <c r="AB110" s="3">
        <v>21.82</v>
      </c>
      <c r="AC110" s="3">
        <v>0</v>
      </c>
      <c r="AD110" s="3" t="s">
        <v>81</v>
      </c>
      <c r="AE110" s="3" t="s">
        <v>81</v>
      </c>
      <c r="AF110" s="3" t="s">
        <v>81</v>
      </c>
      <c r="AG110" s="3" t="s">
        <v>81</v>
      </c>
      <c r="AH110" s="3" t="s">
        <v>81</v>
      </c>
      <c r="AI110" s="3" t="s">
        <v>81</v>
      </c>
      <c r="AJ110" s="3" t="s">
        <v>81</v>
      </c>
      <c r="AK110" s="3" t="s">
        <v>81</v>
      </c>
      <c r="AL110" s="3" t="s">
        <v>81</v>
      </c>
      <c r="AM110" s="3">
        <v>20.827000000000002</v>
      </c>
      <c r="AN110" s="3">
        <v>0</v>
      </c>
      <c r="AO110" s="3" t="s">
        <v>81</v>
      </c>
      <c r="AP110" s="3" t="s">
        <v>81</v>
      </c>
      <c r="AQ110" s="3" t="s">
        <v>81</v>
      </c>
      <c r="AR110" s="3" t="s">
        <v>81</v>
      </c>
      <c r="AS110" s="3" t="s">
        <v>81</v>
      </c>
      <c r="AT110" s="3" t="s">
        <v>81</v>
      </c>
      <c r="AU110" s="3" t="s">
        <v>81</v>
      </c>
      <c r="AV110" s="3" t="s">
        <v>81</v>
      </c>
      <c r="AW110" s="3" t="s">
        <v>81</v>
      </c>
      <c r="AX110" s="3">
        <v>20.895</v>
      </c>
      <c r="AY110" s="3">
        <v>0</v>
      </c>
      <c r="AZ110" s="3" t="s">
        <v>81</v>
      </c>
      <c r="BA110" s="3" t="s">
        <v>81</v>
      </c>
      <c r="BB110" s="3" t="s">
        <v>81</v>
      </c>
      <c r="BC110" s="3" t="s">
        <v>81</v>
      </c>
      <c r="BD110" s="3" t="s">
        <v>81</v>
      </c>
      <c r="BE110" s="3" t="s">
        <v>81</v>
      </c>
      <c r="BF110" s="3" t="s">
        <v>81</v>
      </c>
      <c r="BG110" s="3" t="s">
        <v>81</v>
      </c>
      <c r="BH110" s="3" t="s">
        <v>81</v>
      </c>
      <c r="BI110" s="3" t="s">
        <v>82</v>
      </c>
      <c r="BJ110" s="3" t="s">
        <v>82</v>
      </c>
      <c r="BK110" s="3" t="s">
        <v>83</v>
      </c>
      <c r="BL110" s="3" t="s">
        <v>84</v>
      </c>
      <c r="BM110" s="3" t="s">
        <v>84</v>
      </c>
      <c r="BN110" s="3" t="s">
        <v>84</v>
      </c>
      <c r="BO110" s="3" t="s">
        <v>82</v>
      </c>
      <c r="BP110" s="3" t="s">
        <v>87</v>
      </c>
      <c r="BQ110" s="3" t="s">
        <v>87</v>
      </c>
      <c r="BR110" s="3" t="s">
        <v>85</v>
      </c>
      <c r="BS110" s="3" t="s">
        <v>85</v>
      </c>
      <c r="BT110" s="3" t="s">
        <v>87</v>
      </c>
      <c r="BU110" s="3" t="s">
        <v>85</v>
      </c>
      <c r="BV110" s="3" t="s">
        <v>82</v>
      </c>
      <c r="BW110" s="3" t="s">
        <v>91</v>
      </c>
      <c r="BX110" s="3" t="s">
        <v>82</v>
      </c>
      <c r="BZ110" s="3" t="s">
        <v>86</v>
      </c>
      <c r="CB110" s="3" t="s">
        <v>84</v>
      </c>
      <c r="CD110" s="9">
        <v>10</v>
      </c>
      <c r="CE110" s="9">
        <v>8</v>
      </c>
      <c r="CF110" s="18"/>
      <c r="CG110" s="18"/>
      <c r="CH110" s="18"/>
      <c r="CI110" s="17"/>
    </row>
    <row r="111" spans="1:87" x14ac:dyDescent="0.15">
      <c r="A111" s="3">
        <v>2625858318</v>
      </c>
      <c r="B111" s="3" t="s">
        <v>315</v>
      </c>
      <c r="C111" s="3" t="s">
        <v>315</v>
      </c>
      <c r="D111" s="3">
        <v>13</v>
      </c>
      <c r="E111" s="3">
        <v>14</v>
      </c>
      <c r="F111" s="3">
        <v>29.945</v>
      </c>
      <c r="G111" s="3">
        <v>0</v>
      </c>
      <c r="H111" s="3" t="s">
        <v>81</v>
      </c>
      <c r="I111" s="3" t="s">
        <v>81</v>
      </c>
      <c r="J111" s="3" t="s">
        <v>81</v>
      </c>
      <c r="K111" s="3" t="s">
        <v>81</v>
      </c>
      <c r="L111" s="3" t="s">
        <v>81</v>
      </c>
      <c r="M111" s="3" t="s">
        <v>81</v>
      </c>
      <c r="N111" s="3" t="s">
        <v>81</v>
      </c>
      <c r="O111" s="3" t="s">
        <v>81</v>
      </c>
      <c r="P111" s="3" t="s">
        <v>81</v>
      </c>
      <c r="Q111" s="3">
        <v>32.191000000000003</v>
      </c>
      <c r="R111" s="3">
        <v>0</v>
      </c>
      <c r="S111" s="3" t="s">
        <v>81</v>
      </c>
      <c r="T111" s="3" t="s">
        <v>81</v>
      </c>
      <c r="U111" s="3" t="s">
        <v>81</v>
      </c>
      <c r="V111" s="3" t="s">
        <v>81</v>
      </c>
      <c r="W111" s="3" t="s">
        <v>81</v>
      </c>
      <c r="X111" s="3" t="s">
        <v>81</v>
      </c>
      <c r="Y111" s="3" t="s">
        <v>81</v>
      </c>
      <c r="Z111" s="3" t="s">
        <v>81</v>
      </c>
      <c r="AA111" s="3" t="s">
        <v>81</v>
      </c>
      <c r="AB111" s="3">
        <v>29.789000000000001</v>
      </c>
      <c r="AC111" s="3">
        <v>0</v>
      </c>
      <c r="AD111" s="3" t="s">
        <v>81</v>
      </c>
      <c r="AE111" s="3" t="s">
        <v>81</v>
      </c>
      <c r="AF111" s="3" t="s">
        <v>81</v>
      </c>
      <c r="AG111" s="3" t="s">
        <v>81</v>
      </c>
      <c r="AH111" s="3" t="s">
        <v>81</v>
      </c>
      <c r="AI111" s="3" t="s">
        <v>81</v>
      </c>
      <c r="AJ111" s="3" t="s">
        <v>81</v>
      </c>
      <c r="AK111" s="3" t="s">
        <v>81</v>
      </c>
      <c r="AL111" s="3" t="s">
        <v>81</v>
      </c>
      <c r="AM111" s="3">
        <v>29.21</v>
      </c>
      <c r="AN111" s="3">
        <v>0</v>
      </c>
      <c r="AO111" s="3" t="s">
        <v>81</v>
      </c>
      <c r="AP111" s="3" t="s">
        <v>81</v>
      </c>
      <c r="AQ111" s="3" t="s">
        <v>81</v>
      </c>
      <c r="AR111" s="3" t="s">
        <v>81</v>
      </c>
      <c r="AS111" s="3" t="s">
        <v>81</v>
      </c>
      <c r="AT111" s="3" t="s">
        <v>81</v>
      </c>
      <c r="AU111" s="3" t="s">
        <v>81</v>
      </c>
      <c r="AV111" s="3" t="s">
        <v>81</v>
      </c>
      <c r="AW111" s="3" t="s">
        <v>81</v>
      </c>
      <c r="AX111" s="3">
        <v>27.847999999999999</v>
      </c>
      <c r="AY111" s="3">
        <v>0</v>
      </c>
      <c r="AZ111" s="3" t="s">
        <v>81</v>
      </c>
      <c r="BA111" s="3" t="s">
        <v>81</v>
      </c>
      <c r="BB111" s="3" t="s">
        <v>81</v>
      </c>
      <c r="BC111" s="3" t="s">
        <v>81</v>
      </c>
      <c r="BD111" s="3" t="s">
        <v>81</v>
      </c>
      <c r="BE111" s="3" t="s">
        <v>81</v>
      </c>
      <c r="BF111" s="3" t="s">
        <v>81</v>
      </c>
      <c r="BG111" s="3" t="s">
        <v>81</v>
      </c>
      <c r="BH111" s="3" t="s">
        <v>81</v>
      </c>
      <c r="BI111" s="3" t="s">
        <v>82</v>
      </c>
      <c r="BJ111" s="3" t="s">
        <v>82</v>
      </c>
      <c r="BK111" s="3" t="s">
        <v>83</v>
      </c>
      <c r="BL111" s="3" t="s">
        <v>84</v>
      </c>
      <c r="BM111" s="3" t="s">
        <v>84</v>
      </c>
      <c r="BN111" s="3" t="s">
        <v>82</v>
      </c>
      <c r="BO111" s="3" t="s">
        <v>82</v>
      </c>
      <c r="BP111" s="3" t="s">
        <v>218</v>
      </c>
      <c r="BQ111" s="3" t="s">
        <v>218</v>
      </c>
      <c r="BR111" s="3" t="s">
        <v>218</v>
      </c>
      <c r="BS111" s="3" t="s">
        <v>218</v>
      </c>
      <c r="BT111" s="3" t="s">
        <v>85</v>
      </c>
      <c r="BU111" s="3" t="s">
        <v>81</v>
      </c>
      <c r="BV111" s="3" t="s">
        <v>82</v>
      </c>
      <c r="BW111" s="3" t="s">
        <v>91</v>
      </c>
      <c r="BX111" s="3" t="s">
        <v>82</v>
      </c>
      <c r="BZ111" s="3" t="s">
        <v>86</v>
      </c>
      <c r="CB111" s="3" t="s">
        <v>84</v>
      </c>
      <c r="CD111" s="9">
        <v>15</v>
      </c>
      <c r="CE111" s="9"/>
      <c r="CF111" s="18"/>
      <c r="CG111" s="18"/>
      <c r="CH111" s="18"/>
      <c r="CI111" s="18"/>
    </row>
    <row r="112" spans="1:87" x14ac:dyDescent="0.15">
      <c r="A112" s="3">
        <v>2625895494</v>
      </c>
      <c r="B112" s="3" t="s">
        <v>320</v>
      </c>
      <c r="C112" s="3" t="s">
        <v>320</v>
      </c>
      <c r="D112" s="3" t="s">
        <v>81</v>
      </c>
      <c r="E112" s="3">
        <v>7</v>
      </c>
      <c r="F112" s="3">
        <v>8.5289999999999999</v>
      </c>
      <c r="G112" s="3">
        <v>1</v>
      </c>
      <c r="H112" s="3">
        <v>4.2910000000000004</v>
      </c>
      <c r="I112" s="3">
        <v>5.6639999999999997</v>
      </c>
      <c r="J112" s="3">
        <v>5.0659999999999998</v>
      </c>
      <c r="K112" s="3" t="s">
        <v>81</v>
      </c>
      <c r="L112" s="3" t="s">
        <v>81</v>
      </c>
      <c r="M112" s="3" t="s">
        <v>81</v>
      </c>
      <c r="N112" s="3" t="s">
        <v>81</v>
      </c>
      <c r="O112" s="3" t="s">
        <v>81</v>
      </c>
      <c r="P112" s="3" t="s">
        <v>81</v>
      </c>
      <c r="Q112" s="3">
        <v>11.272</v>
      </c>
      <c r="R112" s="3">
        <v>1</v>
      </c>
      <c r="S112" s="3">
        <v>3.706</v>
      </c>
      <c r="T112" s="3">
        <v>9.6920000000000002</v>
      </c>
      <c r="U112" s="3">
        <v>7.633</v>
      </c>
      <c r="V112" s="3" t="s">
        <v>81</v>
      </c>
      <c r="W112" s="3" t="s">
        <v>81</v>
      </c>
      <c r="X112" s="3" t="s">
        <v>81</v>
      </c>
      <c r="Y112" s="3" t="s">
        <v>81</v>
      </c>
      <c r="Z112" s="3" t="s">
        <v>81</v>
      </c>
      <c r="AA112" s="3" t="s">
        <v>81</v>
      </c>
      <c r="AB112" s="3">
        <v>11.763999999999999</v>
      </c>
      <c r="AC112" s="3">
        <v>1</v>
      </c>
      <c r="AD112" s="3">
        <v>4.8419999999999996</v>
      </c>
      <c r="AE112" s="3">
        <v>11.606999999999999</v>
      </c>
      <c r="AF112" s="3">
        <v>6.5049999999999999</v>
      </c>
      <c r="AG112" s="3" t="s">
        <v>81</v>
      </c>
      <c r="AH112" s="3" t="s">
        <v>81</v>
      </c>
      <c r="AI112" s="3" t="s">
        <v>81</v>
      </c>
      <c r="AJ112" s="3" t="s">
        <v>81</v>
      </c>
      <c r="AK112" s="3" t="s">
        <v>81</v>
      </c>
      <c r="AL112" s="3" t="s">
        <v>81</v>
      </c>
      <c r="AM112" s="3" t="s">
        <v>81</v>
      </c>
      <c r="AN112" s="3" t="s">
        <v>81</v>
      </c>
      <c r="AO112" s="3" t="s">
        <v>81</v>
      </c>
      <c r="AP112" s="3" t="s">
        <v>81</v>
      </c>
      <c r="AQ112" s="3" t="s">
        <v>81</v>
      </c>
      <c r="AR112" s="3" t="s">
        <v>81</v>
      </c>
      <c r="AS112" s="3" t="s">
        <v>81</v>
      </c>
      <c r="AT112" s="3" t="s">
        <v>81</v>
      </c>
      <c r="AU112" s="3" t="s">
        <v>81</v>
      </c>
      <c r="AV112" s="3" t="s">
        <v>81</v>
      </c>
      <c r="AW112" s="3" t="s">
        <v>81</v>
      </c>
      <c r="AX112" s="3" t="s">
        <v>81</v>
      </c>
      <c r="AY112" s="3" t="s">
        <v>81</v>
      </c>
      <c r="AZ112" s="3" t="s">
        <v>81</v>
      </c>
      <c r="BA112" s="3" t="s">
        <v>81</v>
      </c>
      <c r="BB112" s="3" t="s">
        <v>81</v>
      </c>
      <c r="BC112" s="3" t="s">
        <v>81</v>
      </c>
      <c r="BD112" s="3" t="s">
        <v>81</v>
      </c>
      <c r="BE112" s="3" t="s">
        <v>81</v>
      </c>
      <c r="BF112" s="3" t="s">
        <v>81</v>
      </c>
      <c r="BG112" s="3" t="s">
        <v>81</v>
      </c>
      <c r="BH112" s="3" t="s">
        <v>81</v>
      </c>
      <c r="BI112" s="3" t="s">
        <v>84</v>
      </c>
      <c r="BJ112" s="3" t="s">
        <v>82</v>
      </c>
      <c r="BK112" s="3" t="s">
        <v>83</v>
      </c>
      <c r="BL112" s="3" t="s">
        <v>84</v>
      </c>
      <c r="BM112" s="3" t="s">
        <v>84</v>
      </c>
      <c r="BN112" s="3" t="s">
        <v>82</v>
      </c>
      <c r="BO112" s="3" t="s">
        <v>82</v>
      </c>
      <c r="BP112" s="3" t="s">
        <v>321</v>
      </c>
      <c r="BQ112" s="3" t="s">
        <v>321</v>
      </c>
      <c r="BR112" s="3" t="s">
        <v>98</v>
      </c>
      <c r="BS112" s="3" t="s">
        <v>98</v>
      </c>
      <c r="BT112" s="3" t="s">
        <v>98</v>
      </c>
      <c r="BU112" s="3" t="s">
        <v>81</v>
      </c>
      <c r="BV112" s="3" t="s">
        <v>84</v>
      </c>
      <c r="BW112" s="3" t="s">
        <v>83</v>
      </c>
      <c r="BX112" s="3" t="s">
        <v>84</v>
      </c>
      <c r="BY112" s="3" t="s">
        <v>322</v>
      </c>
      <c r="BZ112" s="3" t="s">
        <v>86</v>
      </c>
      <c r="CA112" s="3"/>
      <c r="CB112" s="3" t="s">
        <v>84</v>
      </c>
      <c r="CC112" s="3"/>
      <c r="CD112" s="9">
        <v>6</v>
      </c>
      <c r="CE112" s="9">
        <v>7</v>
      </c>
      <c r="CF112" s="17"/>
      <c r="CG112" s="17"/>
      <c r="CH112" s="17"/>
      <c r="CI112" s="18"/>
    </row>
    <row r="113" spans="1:87" x14ac:dyDescent="0.15">
      <c r="A113" s="3">
        <v>1318752169</v>
      </c>
      <c r="B113" s="3" t="s">
        <v>320</v>
      </c>
      <c r="C113" s="3" t="s">
        <v>320</v>
      </c>
      <c r="D113" s="3" t="s">
        <v>81</v>
      </c>
      <c r="E113" s="3">
        <v>4</v>
      </c>
      <c r="F113" s="3">
        <v>18.623000000000001</v>
      </c>
      <c r="G113" s="3">
        <v>1</v>
      </c>
      <c r="H113" s="3" t="s">
        <v>81</v>
      </c>
      <c r="I113" s="3" t="s">
        <v>81</v>
      </c>
      <c r="J113" s="3" t="s">
        <v>81</v>
      </c>
      <c r="K113" s="3" t="s">
        <v>81</v>
      </c>
      <c r="L113" s="3" t="s">
        <v>81</v>
      </c>
      <c r="M113" s="3" t="s">
        <v>81</v>
      </c>
      <c r="N113" s="3" t="s">
        <v>81</v>
      </c>
      <c r="O113" s="3" t="s">
        <v>81</v>
      </c>
      <c r="P113" s="3" t="s">
        <v>81</v>
      </c>
      <c r="Q113" s="3">
        <v>10.739000000000001</v>
      </c>
      <c r="R113" s="3">
        <v>1</v>
      </c>
      <c r="S113" s="3" t="s">
        <v>81</v>
      </c>
      <c r="T113" s="3" t="s">
        <v>81</v>
      </c>
      <c r="U113" s="3" t="s">
        <v>81</v>
      </c>
      <c r="V113" s="3" t="s">
        <v>81</v>
      </c>
      <c r="W113" s="3" t="s">
        <v>81</v>
      </c>
      <c r="X113" s="3" t="s">
        <v>81</v>
      </c>
      <c r="Y113" s="3" t="s">
        <v>81</v>
      </c>
      <c r="Z113" s="3" t="s">
        <v>81</v>
      </c>
      <c r="AA113" s="3" t="s">
        <v>81</v>
      </c>
      <c r="AB113" s="3">
        <v>24.468</v>
      </c>
      <c r="AC113" s="3">
        <v>1</v>
      </c>
      <c r="AD113" s="3" t="s">
        <v>81</v>
      </c>
      <c r="AE113" s="3" t="s">
        <v>81</v>
      </c>
      <c r="AF113" s="3" t="s">
        <v>81</v>
      </c>
      <c r="AG113" s="3" t="s">
        <v>81</v>
      </c>
      <c r="AH113" s="3" t="s">
        <v>81</v>
      </c>
      <c r="AI113" s="3" t="s">
        <v>81</v>
      </c>
      <c r="AJ113" s="3" t="s">
        <v>81</v>
      </c>
      <c r="AK113" s="3" t="s">
        <v>81</v>
      </c>
      <c r="AL113" s="3" t="s">
        <v>81</v>
      </c>
      <c r="AM113" s="3">
        <v>10.775</v>
      </c>
      <c r="AN113" s="3">
        <v>1</v>
      </c>
      <c r="AO113" s="3">
        <v>7.36</v>
      </c>
      <c r="AP113" s="3">
        <v>7.91</v>
      </c>
      <c r="AQ113" s="3">
        <v>5.141</v>
      </c>
      <c r="AR113" s="3" t="s">
        <v>81</v>
      </c>
      <c r="AS113" s="3" t="s">
        <v>81</v>
      </c>
      <c r="AT113" s="3" t="s">
        <v>81</v>
      </c>
      <c r="AU113" s="3" t="s">
        <v>81</v>
      </c>
      <c r="AV113" s="3" t="s">
        <v>81</v>
      </c>
      <c r="AW113" s="3" t="s">
        <v>81</v>
      </c>
      <c r="AX113" s="3" t="s">
        <v>81</v>
      </c>
      <c r="AY113" s="3" t="s">
        <v>81</v>
      </c>
      <c r="AZ113" s="3" t="s">
        <v>81</v>
      </c>
      <c r="BA113" s="3" t="s">
        <v>81</v>
      </c>
      <c r="BB113" s="3" t="s">
        <v>81</v>
      </c>
      <c r="BC113" s="3" t="s">
        <v>81</v>
      </c>
      <c r="BD113" s="3" t="s">
        <v>81</v>
      </c>
      <c r="BE113" s="3" t="s">
        <v>81</v>
      </c>
      <c r="BF113" s="3" t="s">
        <v>81</v>
      </c>
      <c r="BG113" s="3" t="s">
        <v>81</v>
      </c>
      <c r="BH113" s="3" t="s">
        <v>81</v>
      </c>
      <c r="BI113" s="3" t="s">
        <v>84</v>
      </c>
      <c r="BJ113" s="3" t="s">
        <v>82</v>
      </c>
      <c r="BK113" s="3" t="s">
        <v>83</v>
      </c>
      <c r="BL113" s="3" t="s">
        <v>84</v>
      </c>
      <c r="BM113" s="3" t="s">
        <v>84</v>
      </c>
      <c r="BN113" s="3" t="s">
        <v>82</v>
      </c>
      <c r="BO113" s="3" t="s">
        <v>82</v>
      </c>
      <c r="BP113" s="3" t="s">
        <v>263</v>
      </c>
      <c r="BQ113" s="3" t="s">
        <v>263</v>
      </c>
      <c r="BR113" s="3" t="s">
        <v>263</v>
      </c>
      <c r="BS113" s="3" t="s">
        <v>263</v>
      </c>
      <c r="BT113" s="3" t="s">
        <v>98</v>
      </c>
      <c r="BU113" s="3" t="s">
        <v>81</v>
      </c>
      <c r="BV113" s="3" t="s">
        <v>84</v>
      </c>
      <c r="BW113" s="3" t="s">
        <v>83</v>
      </c>
      <c r="BX113" s="3" t="s">
        <v>84</v>
      </c>
      <c r="BY113" s="3" t="s">
        <v>322</v>
      </c>
      <c r="BZ113" s="3" t="s">
        <v>86</v>
      </c>
      <c r="CB113" s="3" t="s">
        <v>84</v>
      </c>
      <c r="CD113" s="9">
        <v>6</v>
      </c>
      <c r="CE113" s="9"/>
      <c r="CF113" s="18"/>
      <c r="CG113" s="18"/>
      <c r="CH113" s="18"/>
      <c r="CI113" s="18"/>
    </row>
    <row r="114" spans="1:87" x14ac:dyDescent="0.15">
      <c r="A114" s="3">
        <v>1847938673</v>
      </c>
      <c r="B114" s="3" t="s">
        <v>323</v>
      </c>
      <c r="C114" s="3" t="s">
        <v>323</v>
      </c>
      <c r="D114" s="3">
        <v>10</v>
      </c>
      <c r="E114" s="3">
        <v>12</v>
      </c>
      <c r="F114" s="3">
        <v>20.149000000000001</v>
      </c>
      <c r="G114" s="3">
        <v>0</v>
      </c>
      <c r="H114" s="3" t="s">
        <v>81</v>
      </c>
      <c r="I114" s="3" t="s">
        <v>81</v>
      </c>
      <c r="J114" s="3" t="s">
        <v>81</v>
      </c>
      <c r="K114" s="3" t="s">
        <v>81</v>
      </c>
      <c r="L114" s="3" t="s">
        <v>81</v>
      </c>
      <c r="M114" s="3" t="s">
        <v>81</v>
      </c>
      <c r="N114" s="3" t="s">
        <v>81</v>
      </c>
      <c r="O114" s="3" t="s">
        <v>81</v>
      </c>
      <c r="P114" s="3" t="s">
        <v>81</v>
      </c>
      <c r="Q114" s="3">
        <v>22.823</v>
      </c>
      <c r="R114" s="3">
        <v>0</v>
      </c>
      <c r="S114" s="3" t="s">
        <v>81</v>
      </c>
      <c r="T114" s="3" t="s">
        <v>81</v>
      </c>
      <c r="U114" s="3" t="s">
        <v>81</v>
      </c>
      <c r="V114" s="3" t="s">
        <v>81</v>
      </c>
      <c r="W114" s="3" t="s">
        <v>81</v>
      </c>
      <c r="X114" s="3" t="s">
        <v>81</v>
      </c>
      <c r="Y114" s="3" t="s">
        <v>81</v>
      </c>
      <c r="Z114" s="3" t="s">
        <v>81</v>
      </c>
      <c r="AA114" s="3" t="s">
        <v>81</v>
      </c>
      <c r="AB114" s="3">
        <v>21.58</v>
      </c>
      <c r="AC114" s="3">
        <v>0</v>
      </c>
      <c r="AD114" s="3" t="s">
        <v>81</v>
      </c>
      <c r="AE114" s="3" t="s">
        <v>81</v>
      </c>
      <c r="AF114" s="3" t="s">
        <v>81</v>
      </c>
      <c r="AG114" s="3" t="s">
        <v>81</v>
      </c>
      <c r="AH114" s="3" t="s">
        <v>81</v>
      </c>
      <c r="AI114" s="3" t="s">
        <v>81</v>
      </c>
      <c r="AJ114" s="3" t="s">
        <v>81</v>
      </c>
      <c r="AK114" s="3" t="s">
        <v>81</v>
      </c>
      <c r="AL114" s="3" t="s">
        <v>81</v>
      </c>
      <c r="AM114" s="3">
        <v>21.742999999999999</v>
      </c>
      <c r="AN114" s="3">
        <v>0</v>
      </c>
      <c r="AO114" s="3" t="s">
        <v>81</v>
      </c>
      <c r="AP114" s="3" t="s">
        <v>81</v>
      </c>
      <c r="AQ114" s="3" t="s">
        <v>81</v>
      </c>
      <c r="AR114" s="3" t="s">
        <v>81</v>
      </c>
      <c r="AS114" s="3" t="s">
        <v>81</v>
      </c>
      <c r="AT114" s="3" t="s">
        <v>81</v>
      </c>
      <c r="AU114" s="3" t="s">
        <v>81</v>
      </c>
      <c r="AV114" s="3" t="s">
        <v>81</v>
      </c>
      <c r="AW114" s="3" t="s">
        <v>81</v>
      </c>
      <c r="AX114" s="3" t="s">
        <v>81</v>
      </c>
      <c r="AY114" s="3">
        <v>0</v>
      </c>
      <c r="AZ114" s="3" t="s">
        <v>81</v>
      </c>
      <c r="BA114" s="3" t="s">
        <v>81</v>
      </c>
      <c r="BB114" s="3" t="s">
        <v>81</v>
      </c>
      <c r="BC114" s="3" t="s">
        <v>81</v>
      </c>
      <c r="BD114" s="3" t="s">
        <v>81</v>
      </c>
      <c r="BE114" s="3" t="s">
        <v>81</v>
      </c>
      <c r="BF114" s="3" t="s">
        <v>81</v>
      </c>
      <c r="BG114" s="3" t="s">
        <v>81</v>
      </c>
      <c r="BH114" s="3" t="s">
        <v>81</v>
      </c>
      <c r="BI114" s="3" t="s">
        <v>84</v>
      </c>
      <c r="BJ114" s="3" t="s">
        <v>82</v>
      </c>
      <c r="BK114" s="3" t="s">
        <v>83</v>
      </c>
      <c r="BL114" s="3" t="s">
        <v>84</v>
      </c>
      <c r="BM114" s="3" t="s">
        <v>84</v>
      </c>
      <c r="BN114" s="3" t="s">
        <v>84</v>
      </c>
      <c r="BO114" s="3" t="s">
        <v>84</v>
      </c>
      <c r="BP114" s="3" t="s">
        <v>87</v>
      </c>
      <c r="BQ114" s="3" t="s">
        <v>87</v>
      </c>
      <c r="BR114" s="3" t="s">
        <v>87</v>
      </c>
      <c r="BS114" s="3" t="s">
        <v>87</v>
      </c>
      <c r="BT114" s="3" t="s">
        <v>87</v>
      </c>
      <c r="BU114" s="3" t="s">
        <v>81</v>
      </c>
      <c r="BV114" s="3" t="s">
        <v>82</v>
      </c>
      <c r="BW114" s="3" t="s">
        <v>111</v>
      </c>
      <c r="BX114" s="3" t="s">
        <v>82</v>
      </c>
      <c r="BY114" s="3" t="s">
        <v>324</v>
      </c>
      <c r="BZ114" s="3" t="s">
        <v>93</v>
      </c>
      <c r="CA114" s="3" t="s">
        <v>103</v>
      </c>
      <c r="CB114" s="3" t="s">
        <v>84</v>
      </c>
      <c r="CC114" s="3"/>
      <c r="CD114" s="9">
        <v>12</v>
      </c>
      <c r="CE114" s="9">
        <v>2</v>
      </c>
      <c r="CF114" s="17"/>
      <c r="CG114" s="17"/>
      <c r="CH114" s="17"/>
      <c r="CI114" s="18"/>
    </row>
    <row r="115" spans="1:87" x14ac:dyDescent="0.15">
      <c r="A115" s="3">
        <v>1847936610</v>
      </c>
      <c r="B115" s="3" t="s">
        <v>325</v>
      </c>
      <c r="C115" s="3" t="s">
        <v>325</v>
      </c>
      <c r="D115" s="3">
        <v>3</v>
      </c>
      <c r="E115" s="3">
        <v>2</v>
      </c>
      <c r="F115" s="3">
        <v>37.33</v>
      </c>
      <c r="G115" s="3">
        <v>0</v>
      </c>
      <c r="H115" s="3" t="s">
        <v>81</v>
      </c>
      <c r="I115" s="3" t="s">
        <v>81</v>
      </c>
      <c r="J115" s="3" t="s">
        <v>81</v>
      </c>
      <c r="K115" s="3" t="s">
        <v>81</v>
      </c>
      <c r="L115" s="3" t="s">
        <v>81</v>
      </c>
      <c r="M115" s="3" t="s">
        <v>81</v>
      </c>
      <c r="N115" s="3" t="s">
        <v>81</v>
      </c>
      <c r="O115" s="3" t="s">
        <v>81</v>
      </c>
      <c r="P115" s="3" t="s">
        <v>81</v>
      </c>
      <c r="Q115" s="3">
        <v>37.697000000000003</v>
      </c>
      <c r="R115" s="3">
        <v>0</v>
      </c>
      <c r="S115" s="3" t="s">
        <v>81</v>
      </c>
      <c r="T115" s="3" t="s">
        <v>81</v>
      </c>
      <c r="U115" s="3" t="s">
        <v>81</v>
      </c>
      <c r="V115" s="3" t="s">
        <v>81</v>
      </c>
      <c r="W115" s="3" t="s">
        <v>81</v>
      </c>
      <c r="X115" s="3" t="s">
        <v>81</v>
      </c>
      <c r="Y115" s="3" t="s">
        <v>81</v>
      </c>
      <c r="Z115" s="3" t="s">
        <v>81</v>
      </c>
      <c r="AA115" s="3" t="s">
        <v>81</v>
      </c>
      <c r="AB115" s="3" t="s">
        <v>81</v>
      </c>
      <c r="AC115" s="3" t="s">
        <v>81</v>
      </c>
      <c r="AD115" s="3" t="s">
        <v>81</v>
      </c>
      <c r="AE115" s="3" t="s">
        <v>81</v>
      </c>
      <c r="AF115" s="3" t="s">
        <v>81</v>
      </c>
      <c r="AG115" s="3" t="s">
        <v>81</v>
      </c>
      <c r="AH115" s="3" t="s">
        <v>81</v>
      </c>
      <c r="AI115" s="3" t="s">
        <v>81</v>
      </c>
      <c r="AJ115" s="3" t="s">
        <v>81</v>
      </c>
      <c r="AK115" s="3" t="s">
        <v>81</v>
      </c>
      <c r="AL115" s="3" t="s">
        <v>81</v>
      </c>
      <c r="AM115" s="3" t="s">
        <v>81</v>
      </c>
      <c r="AN115" s="3" t="s">
        <v>81</v>
      </c>
      <c r="AO115" s="3" t="s">
        <v>81</v>
      </c>
      <c r="AP115" s="3" t="s">
        <v>81</v>
      </c>
      <c r="AQ115" s="3" t="s">
        <v>81</v>
      </c>
      <c r="AR115" s="3" t="s">
        <v>81</v>
      </c>
      <c r="AS115" s="3" t="s">
        <v>81</v>
      </c>
      <c r="AT115" s="3" t="s">
        <v>81</v>
      </c>
      <c r="AU115" s="3" t="s">
        <v>81</v>
      </c>
      <c r="AV115" s="3" t="s">
        <v>81</v>
      </c>
      <c r="AW115" s="3" t="s">
        <v>81</v>
      </c>
      <c r="AX115" s="3" t="s">
        <v>81</v>
      </c>
      <c r="AY115" s="3" t="s">
        <v>81</v>
      </c>
      <c r="AZ115" s="3" t="s">
        <v>81</v>
      </c>
      <c r="BA115" s="3" t="s">
        <v>81</v>
      </c>
      <c r="BB115" s="3" t="s">
        <v>81</v>
      </c>
      <c r="BC115" s="3" t="s">
        <v>81</v>
      </c>
      <c r="BD115" s="3" t="s">
        <v>81</v>
      </c>
      <c r="BE115" s="3" t="s">
        <v>81</v>
      </c>
      <c r="BF115" s="3" t="s">
        <v>81</v>
      </c>
      <c r="BG115" s="3" t="s">
        <v>81</v>
      </c>
      <c r="BH115" s="3" t="s">
        <v>81</v>
      </c>
      <c r="BI115" s="3" t="s">
        <v>84</v>
      </c>
      <c r="BJ115" s="3" t="s">
        <v>84</v>
      </c>
      <c r="BK115" s="3" t="s">
        <v>82</v>
      </c>
      <c r="BL115" s="3" t="s">
        <v>84</v>
      </c>
      <c r="BM115" s="3" t="s">
        <v>84</v>
      </c>
      <c r="BN115" s="3" t="s">
        <v>84</v>
      </c>
      <c r="BO115" s="3" t="s">
        <v>84</v>
      </c>
      <c r="BP115" s="3" t="s">
        <v>218</v>
      </c>
      <c r="BQ115" s="3" t="s">
        <v>218</v>
      </c>
      <c r="BR115" s="3" t="s">
        <v>326</v>
      </c>
      <c r="BS115" s="3" t="s">
        <v>327</v>
      </c>
      <c r="BT115" s="3" t="s">
        <v>85</v>
      </c>
      <c r="BU115" s="3" t="s">
        <v>98</v>
      </c>
      <c r="BV115" s="3" t="s">
        <v>84</v>
      </c>
      <c r="BW115" s="3" t="s">
        <v>83</v>
      </c>
      <c r="BX115" s="3" t="s">
        <v>82</v>
      </c>
      <c r="BZ115" s="3" t="s">
        <v>93</v>
      </c>
      <c r="CB115" s="3" t="s">
        <v>84</v>
      </c>
      <c r="CD115" s="9">
        <v>2</v>
      </c>
      <c r="CE115" s="9">
        <v>2</v>
      </c>
      <c r="CF115" s="19">
        <v>2</v>
      </c>
      <c r="CG115" s="18"/>
      <c r="CH115" s="18"/>
      <c r="CI115" s="17"/>
    </row>
    <row r="116" spans="1:87" x14ac:dyDescent="0.15">
      <c r="A116" s="3">
        <v>1319276233</v>
      </c>
      <c r="B116" s="3" t="s">
        <v>325</v>
      </c>
      <c r="C116" s="3" t="s">
        <v>325</v>
      </c>
      <c r="D116" s="3">
        <v>6</v>
      </c>
      <c r="E116" s="3">
        <v>6</v>
      </c>
      <c r="F116" s="3">
        <v>21.518000000000001</v>
      </c>
      <c r="G116" s="3">
        <v>0</v>
      </c>
      <c r="H116" s="3" t="s">
        <v>81</v>
      </c>
      <c r="I116" s="3" t="s">
        <v>81</v>
      </c>
      <c r="J116" s="3" t="s">
        <v>81</v>
      </c>
      <c r="K116" s="3" t="s">
        <v>81</v>
      </c>
      <c r="L116" s="3" t="s">
        <v>81</v>
      </c>
      <c r="M116" s="3" t="s">
        <v>81</v>
      </c>
      <c r="N116" s="3" t="s">
        <v>81</v>
      </c>
      <c r="O116" s="3" t="s">
        <v>81</v>
      </c>
      <c r="P116" s="3" t="s">
        <v>81</v>
      </c>
      <c r="Q116" s="3">
        <v>24.213000000000001</v>
      </c>
      <c r="R116" s="3">
        <v>0</v>
      </c>
      <c r="S116" s="3" t="s">
        <v>81</v>
      </c>
      <c r="T116" s="3" t="s">
        <v>81</v>
      </c>
      <c r="U116" s="3" t="s">
        <v>81</v>
      </c>
      <c r="V116" s="3" t="s">
        <v>81</v>
      </c>
      <c r="W116" s="3" t="s">
        <v>81</v>
      </c>
      <c r="X116" s="3" t="s">
        <v>81</v>
      </c>
      <c r="Y116" s="3" t="s">
        <v>81</v>
      </c>
      <c r="Z116" s="3" t="s">
        <v>81</v>
      </c>
      <c r="AA116" s="3" t="s">
        <v>81</v>
      </c>
      <c r="AB116" s="3">
        <v>25.771999999999998</v>
      </c>
      <c r="AC116" s="3">
        <v>0</v>
      </c>
      <c r="AD116" s="3" t="s">
        <v>81</v>
      </c>
      <c r="AE116" s="3" t="s">
        <v>81</v>
      </c>
      <c r="AF116" s="3" t="s">
        <v>81</v>
      </c>
      <c r="AG116" s="3" t="s">
        <v>81</v>
      </c>
      <c r="AH116" s="3" t="s">
        <v>81</v>
      </c>
      <c r="AI116" s="3" t="s">
        <v>81</v>
      </c>
      <c r="AJ116" s="3" t="s">
        <v>81</v>
      </c>
      <c r="AK116" s="3" t="s">
        <v>81</v>
      </c>
      <c r="AL116" s="3" t="s">
        <v>81</v>
      </c>
      <c r="AM116" s="3">
        <v>24.562999999999999</v>
      </c>
      <c r="AN116" s="3">
        <v>0</v>
      </c>
      <c r="AO116" s="3" t="s">
        <v>81</v>
      </c>
      <c r="AP116" s="3" t="s">
        <v>81</v>
      </c>
      <c r="AQ116" s="3" t="s">
        <v>81</v>
      </c>
      <c r="AR116" s="3" t="s">
        <v>81</v>
      </c>
      <c r="AS116" s="3" t="s">
        <v>81</v>
      </c>
      <c r="AT116" s="3" t="s">
        <v>81</v>
      </c>
      <c r="AU116" s="3" t="s">
        <v>81</v>
      </c>
      <c r="AV116" s="3" t="s">
        <v>81</v>
      </c>
      <c r="AW116" s="3" t="s">
        <v>81</v>
      </c>
      <c r="AX116" s="3">
        <v>24.274999999999999</v>
      </c>
      <c r="AY116" s="3">
        <v>0</v>
      </c>
      <c r="AZ116" s="3" t="s">
        <v>81</v>
      </c>
      <c r="BA116" s="3" t="s">
        <v>81</v>
      </c>
      <c r="BB116" s="3" t="s">
        <v>81</v>
      </c>
      <c r="BC116" s="3" t="s">
        <v>81</v>
      </c>
      <c r="BD116" s="3" t="s">
        <v>81</v>
      </c>
      <c r="BE116" s="3" t="s">
        <v>81</v>
      </c>
      <c r="BF116" s="3" t="s">
        <v>81</v>
      </c>
      <c r="BG116" s="3" t="s">
        <v>81</v>
      </c>
      <c r="BH116" s="3" t="s">
        <v>81</v>
      </c>
      <c r="BI116" s="3" t="s">
        <v>84</v>
      </c>
      <c r="BJ116" s="3" t="s">
        <v>82</v>
      </c>
      <c r="BK116" s="3" t="s">
        <v>83</v>
      </c>
      <c r="BL116" s="3" t="s">
        <v>84</v>
      </c>
      <c r="BM116" s="3" t="s">
        <v>84</v>
      </c>
      <c r="BN116" s="3" t="s">
        <v>82</v>
      </c>
      <c r="BO116" s="3" t="s">
        <v>84</v>
      </c>
      <c r="BP116" s="3" t="s">
        <v>113</v>
      </c>
      <c r="BQ116" s="3" t="s">
        <v>85</v>
      </c>
      <c r="BR116" s="3" t="s">
        <v>98</v>
      </c>
      <c r="BS116" s="3" t="s">
        <v>328</v>
      </c>
      <c r="BT116" s="3" t="s">
        <v>98</v>
      </c>
      <c r="BU116" s="3" t="s">
        <v>87</v>
      </c>
      <c r="BV116" s="3" t="s">
        <v>84</v>
      </c>
      <c r="BW116" s="3" t="s">
        <v>83</v>
      </c>
      <c r="BX116" s="3" t="s">
        <v>82</v>
      </c>
      <c r="BZ116" s="3" t="s">
        <v>86</v>
      </c>
      <c r="CB116" s="3" t="s">
        <v>84</v>
      </c>
      <c r="CD116" s="9">
        <v>3</v>
      </c>
      <c r="CE116" s="9">
        <v>6</v>
      </c>
      <c r="CF116" s="19"/>
      <c r="CG116" s="18"/>
      <c r="CH116" s="18"/>
      <c r="CI116" s="18"/>
    </row>
    <row r="117" spans="1:87" x14ac:dyDescent="0.15">
      <c r="A117" s="3">
        <v>2625844535</v>
      </c>
      <c r="B117" s="3" t="s">
        <v>325</v>
      </c>
      <c r="C117" s="3" t="s">
        <v>325</v>
      </c>
      <c r="D117" s="3">
        <v>4</v>
      </c>
      <c r="E117" s="3">
        <v>4</v>
      </c>
      <c r="F117" s="3">
        <v>22.390999999999998</v>
      </c>
      <c r="G117" s="3">
        <v>0</v>
      </c>
      <c r="H117" s="3" t="s">
        <v>81</v>
      </c>
      <c r="I117" s="3" t="s">
        <v>81</v>
      </c>
      <c r="J117" s="3" t="s">
        <v>81</v>
      </c>
      <c r="K117" s="3" t="s">
        <v>81</v>
      </c>
      <c r="L117" s="3" t="s">
        <v>81</v>
      </c>
      <c r="M117" s="3" t="s">
        <v>81</v>
      </c>
      <c r="N117" s="3" t="s">
        <v>81</v>
      </c>
      <c r="O117" s="3" t="s">
        <v>81</v>
      </c>
      <c r="P117" s="3" t="s">
        <v>81</v>
      </c>
      <c r="Q117" s="3">
        <v>24.303999999999998</v>
      </c>
      <c r="R117" s="3">
        <v>0</v>
      </c>
      <c r="S117" s="3" t="s">
        <v>81</v>
      </c>
      <c r="T117" s="3" t="s">
        <v>81</v>
      </c>
      <c r="U117" s="3" t="s">
        <v>81</v>
      </c>
      <c r="V117" s="3" t="s">
        <v>81</v>
      </c>
      <c r="W117" s="3" t="s">
        <v>81</v>
      </c>
      <c r="X117" s="3" t="s">
        <v>81</v>
      </c>
      <c r="Y117" s="3" t="s">
        <v>81</v>
      </c>
      <c r="Z117" s="3" t="s">
        <v>81</v>
      </c>
      <c r="AA117" s="3" t="s">
        <v>81</v>
      </c>
      <c r="AB117" s="3">
        <v>21.838999999999999</v>
      </c>
      <c r="AC117" s="3">
        <v>0</v>
      </c>
      <c r="AD117" s="3" t="s">
        <v>81</v>
      </c>
      <c r="AE117" s="3" t="s">
        <v>81</v>
      </c>
      <c r="AF117" s="3" t="s">
        <v>81</v>
      </c>
      <c r="AG117" s="3" t="s">
        <v>81</v>
      </c>
      <c r="AH117" s="3" t="s">
        <v>81</v>
      </c>
      <c r="AI117" s="3" t="s">
        <v>81</v>
      </c>
      <c r="AJ117" s="3" t="s">
        <v>81</v>
      </c>
      <c r="AK117" s="3" t="s">
        <v>81</v>
      </c>
      <c r="AL117" s="3" t="s">
        <v>81</v>
      </c>
      <c r="AM117" s="3">
        <v>20.347999999999999</v>
      </c>
      <c r="AN117" s="3">
        <v>0</v>
      </c>
      <c r="AO117" s="3" t="s">
        <v>81</v>
      </c>
      <c r="AP117" s="3" t="s">
        <v>81</v>
      </c>
      <c r="AQ117" s="3" t="s">
        <v>81</v>
      </c>
      <c r="AR117" s="3" t="s">
        <v>81</v>
      </c>
      <c r="AS117" s="3" t="s">
        <v>81</v>
      </c>
      <c r="AT117" s="3" t="s">
        <v>81</v>
      </c>
      <c r="AU117" s="3" t="s">
        <v>81</v>
      </c>
      <c r="AV117" s="3" t="s">
        <v>81</v>
      </c>
      <c r="AW117" s="3" t="s">
        <v>81</v>
      </c>
      <c r="AX117" s="3" t="s">
        <v>81</v>
      </c>
      <c r="AY117" s="3" t="s">
        <v>81</v>
      </c>
      <c r="AZ117" s="3" t="s">
        <v>81</v>
      </c>
      <c r="BA117" s="3" t="s">
        <v>81</v>
      </c>
      <c r="BB117" s="3" t="s">
        <v>81</v>
      </c>
      <c r="BC117" s="3" t="s">
        <v>81</v>
      </c>
      <c r="BD117" s="3" t="s">
        <v>81</v>
      </c>
      <c r="BE117" s="3" t="s">
        <v>81</v>
      </c>
      <c r="BF117" s="3" t="s">
        <v>81</v>
      </c>
      <c r="BG117" s="3" t="s">
        <v>81</v>
      </c>
      <c r="BH117" s="3" t="s">
        <v>81</v>
      </c>
      <c r="BI117" s="3" t="s">
        <v>84</v>
      </c>
      <c r="BJ117" s="3" t="s">
        <v>82</v>
      </c>
      <c r="BK117" s="3" t="s">
        <v>83</v>
      </c>
      <c r="BL117" s="3" t="s">
        <v>84</v>
      </c>
      <c r="BM117" s="3" t="s">
        <v>84</v>
      </c>
      <c r="BN117" s="3" t="s">
        <v>84</v>
      </c>
      <c r="BO117" s="3" t="s">
        <v>83</v>
      </c>
      <c r="BP117" s="3" t="s">
        <v>81</v>
      </c>
      <c r="BQ117" s="3" t="s">
        <v>81</v>
      </c>
      <c r="BR117" s="3" t="s">
        <v>81</v>
      </c>
      <c r="BS117" s="3" t="s">
        <v>81</v>
      </c>
      <c r="BT117" s="3" t="s">
        <v>81</v>
      </c>
      <c r="BU117" s="3" t="s">
        <v>81</v>
      </c>
      <c r="BV117" s="3" t="s">
        <v>84</v>
      </c>
      <c r="BW117" s="3" t="s">
        <v>83</v>
      </c>
      <c r="BX117" s="3" t="s">
        <v>82</v>
      </c>
      <c r="BZ117" s="3" t="s">
        <v>86</v>
      </c>
      <c r="CB117" s="3" t="s">
        <v>84</v>
      </c>
      <c r="CD117" s="9">
        <v>4</v>
      </c>
      <c r="CE117" s="9">
        <v>3</v>
      </c>
      <c r="CF117" s="19">
        <v>3</v>
      </c>
      <c r="CG117" s="18"/>
      <c r="CH117" s="18"/>
      <c r="CI117" s="17"/>
    </row>
    <row r="118" spans="1:87" x14ac:dyDescent="0.15">
      <c r="A118" s="3">
        <v>2625844535</v>
      </c>
      <c r="B118" s="3" t="s">
        <v>325</v>
      </c>
      <c r="C118" s="3" t="s">
        <v>325</v>
      </c>
      <c r="D118" s="3">
        <v>4</v>
      </c>
      <c r="E118" s="3">
        <v>4</v>
      </c>
      <c r="F118" s="3">
        <v>27.341000000000001</v>
      </c>
      <c r="G118" s="3">
        <v>0</v>
      </c>
      <c r="H118" s="3" t="s">
        <v>81</v>
      </c>
      <c r="I118" s="3" t="s">
        <v>81</v>
      </c>
      <c r="J118" s="3" t="s">
        <v>81</v>
      </c>
      <c r="K118" s="3" t="s">
        <v>81</v>
      </c>
      <c r="L118" s="3" t="s">
        <v>81</v>
      </c>
      <c r="M118" s="3" t="s">
        <v>81</v>
      </c>
      <c r="N118" s="3" t="s">
        <v>81</v>
      </c>
      <c r="O118" s="3" t="s">
        <v>81</v>
      </c>
      <c r="P118" s="3" t="s">
        <v>81</v>
      </c>
      <c r="Q118" s="3">
        <v>27.091000000000001</v>
      </c>
      <c r="R118" s="3">
        <v>0</v>
      </c>
      <c r="S118" s="3" t="s">
        <v>81</v>
      </c>
      <c r="T118" s="3" t="s">
        <v>81</v>
      </c>
      <c r="U118" s="3" t="s">
        <v>81</v>
      </c>
      <c r="V118" s="3" t="s">
        <v>81</v>
      </c>
      <c r="W118" s="3" t="s">
        <v>81</v>
      </c>
      <c r="X118" s="3" t="s">
        <v>81</v>
      </c>
      <c r="Y118" s="3" t="s">
        <v>81</v>
      </c>
      <c r="Z118" s="3" t="s">
        <v>81</v>
      </c>
      <c r="AA118" s="3" t="s">
        <v>81</v>
      </c>
      <c r="AB118" s="3">
        <v>28.843</v>
      </c>
      <c r="AC118" s="3">
        <v>0</v>
      </c>
      <c r="AD118" s="3" t="s">
        <v>81</v>
      </c>
      <c r="AE118" s="3" t="s">
        <v>81</v>
      </c>
      <c r="AF118" s="3" t="s">
        <v>81</v>
      </c>
      <c r="AG118" s="3" t="s">
        <v>81</v>
      </c>
      <c r="AH118" s="3" t="s">
        <v>81</v>
      </c>
      <c r="AI118" s="3" t="s">
        <v>81</v>
      </c>
      <c r="AJ118" s="3" t="s">
        <v>81</v>
      </c>
      <c r="AK118" s="3" t="s">
        <v>81</v>
      </c>
      <c r="AL118" s="3" t="s">
        <v>81</v>
      </c>
      <c r="AM118" s="3">
        <v>26.622</v>
      </c>
      <c r="AN118" s="3">
        <v>0</v>
      </c>
      <c r="AO118" s="3" t="s">
        <v>81</v>
      </c>
      <c r="AP118" s="3" t="s">
        <v>81</v>
      </c>
      <c r="AQ118" s="3" t="s">
        <v>81</v>
      </c>
      <c r="AR118" s="3" t="s">
        <v>81</v>
      </c>
      <c r="AS118" s="3" t="s">
        <v>81</v>
      </c>
      <c r="AT118" s="3" t="s">
        <v>81</v>
      </c>
      <c r="AU118" s="3" t="s">
        <v>81</v>
      </c>
      <c r="AV118" s="3" t="s">
        <v>81</v>
      </c>
      <c r="AW118" s="3" t="s">
        <v>81</v>
      </c>
      <c r="AX118" s="3" t="s">
        <v>81</v>
      </c>
      <c r="AY118" s="3" t="s">
        <v>81</v>
      </c>
      <c r="AZ118" s="3" t="s">
        <v>81</v>
      </c>
      <c r="BA118" s="3" t="s">
        <v>81</v>
      </c>
      <c r="BB118" s="3" t="s">
        <v>81</v>
      </c>
      <c r="BC118" s="3" t="s">
        <v>81</v>
      </c>
      <c r="BD118" s="3" t="s">
        <v>81</v>
      </c>
      <c r="BE118" s="3" t="s">
        <v>81</v>
      </c>
      <c r="BF118" s="3" t="s">
        <v>81</v>
      </c>
      <c r="BG118" s="3" t="s">
        <v>81</v>
      </c>
      <c r="BH118" s="3" t="s">
        <v>81</v>
      </c>
      <c r="BI118" s="3" t="s">
        <v>84</v>
      </c>
      <c r="BJ118" s="3" t="s">
        <v>82</v>
      </c>
      <c r="BK118" s="3" t="s">
        <v>83</v>
      </c>
      <c r="BL118" s="3" t="s">
        <v>84</v>
      </c>
      <c r="BM118" s="3" t="s">
        <v>84</v>
      </c>
      <c r="BN118" s="3" t="s">
        <v>84</v>
      </c>
      <c r="BO118" s="3" t="s">
        <v>82</v>
      </c>
      <c r="BP118" s="3" t="s">
        <v>87</v>
      </c>
      <c r="BQ118" s="3" t="s">
        <v>87</v>
      </c>
      <c r="BR118" s="3" t="s">
        <v>98</v>
      </c>
      <c r="BS118" s="3" t="s">
        <v>98</v>
      </c>
      <c r="BT118" s="3" t="s">
        <v>98</v>
      </c>
      <c r="BU118" s="3" t="s">
        <v>87</v>
      </c>
      <c r="BV118" s="3" t="s">
        <v>84</v>
      </c>
      <c r="BW118" s="3" t="s">
        <v>83</v>
      </c>
      <c r="BX118" s="3" t="s">
        <v>82</v>
      </c>
      <c r="BZ118" s="3" t="s">
        <v>86</v>
      </c>
      <c r="CB118" s="3" t="s">
        <v>84</v>
      </c>
      <c r="CD118" s="9">
        <v>4</v>
      </c>
      <c r="CE118" s="9">
        <v>4</v>
      </c>
      <c r="CF118" s="19"/>
      <c r="CG118" s="18"/>
      <c r="CH118" s="18"/>
      <c r="CI118" s="18"/>
    </row>
    <row r="119" spans="1:87" x14ac:dyDescent="0.15">
      <c r="A119" s="3">
        <v>2625851312</v>
      </c>
      <c r="B119" s="3" t="s">
        <v>333</v>
      </c>
      <c r="C119" s="3" t="s">
        <v>333</v>
      </c>
      <c r="D119" s="3">
        <v>8</v>
      </c>
      <c r="E119" s="3">
        <v>11</v>
      </c>
      <c r="F119" s="3">
        <v>67.456000000000003</v>
      </c>
      <c r="G119" s="3">
        <v>0</v>
      </c>
      <c r="H119" s="3" t="s">
        <v>81</v>
      </c>
      <c r="I119" s="3" t="s">
        <v>81</v>
      </c>
      <c r="J119" s="3" t="s">
        <v>81</v>
      </c>
      <c r="K119" s="3" t="s">
        <v>81</v>
      </c>
      <c r="L119" s="3" t="s">
        <v>81</v>
      </c>
      <c r="M119" s="3" t="s">
        <v>81</v>
      </c>
      <c r="N119" s="3" t="s">
        <v>81</v>
      </c>
      <c r="O119" s="3" t="s">
        <v>81</v>
      </c>
      <c r="P119" s="3" t="s">
        <v>81</v>
      </c>
      <c r="Q119" s="3">
        <v>73.98</v>
      </c>
      <c r="R119" s="3">
        <v>0</v>
      </c>
      <c r="S119" s="3" t="s">
        <v>81</v>
      </c>
      <c r="T119" s="3" t="s">
        <v>81</v>
      </c>
      <c r="U119" s="3" t="s">
        <v>81</v>
      </c>
      <c r="V119" s="3" t="s">
        <v>81</v>
      </c>
      <c r="W119" s="3" t="s">
        <v>81</v>
      </c>
      <c r="X119" s="3" t="s">
        <v>81</v>
      </c>
      <c r="Y119" s="3" t="s">
        <v>81</v>
      </c>
      <c r="Z119" s="3" t="s">
        <v>81</v>
      </c>
      <c r="AA119" s="3" t="s">
        <v>81</v>
      </c>
      <c r="AB119" s="3">
        <v>74.944999999999993</v>
      </c>
      <c r="AC119" s="3">
        <v>0</v>
      </c>
      <c r="AD119" s="3" t="s">
        <v>81</v>
      </c>
      <c r="AE119" s="3" t="s">
        <v>81</v>
      </c>
      <c r="AF119" s="3" t="s">
        <v>81</v>
      </c>
      <c r="AG119" s="3" t="s">
        <v>81</v>
      </c>
      <c r="AH119" s="3" t="s">
        <v>81</v>
      </c>
      <c r="AI119" s="3" t="s">
        <v>81</v>
      </c>
      <c r="AJ119" s="3" t="s">
        <v>81</v>
      </c>
      <c r="AK119" s="3" t="s">
        <v>81</v>
      </c>
      <c r="AL119" s="3" t="s">
        <v>81</v>
      </c>
      <c r="AM119" s="3">
        <v>59.777000000000001</v>
      </c>
      <c r="AN119" s="3">
        <v>0</v>
      </c>
      <c r="AO119" s="3" t="s">
        <v>81</v>
      </c>
      <c r="AP119" s="3" t="s">
        <v>81</v>
      </c>
      <c r="AQ119" s="3" t="s">
        <v>81</v>
      </c>
      <c r="AR119" s="3" t="s">
        <v>81</v>
      </c>
      <c r="AS119" s="3" t="s">
        <v>81</v>
      </c>
      <c r="AT119" s="3" t="s">
        <v>81</v>
      </c>
      <c r="AU119" s="3" t="s">
        <v>81</v>
      </c>
      <c r="AV119" s="3" t="s">
        <v>81</v>
      </c>
      <c r="AW119" s="3" t="s">
        <v>81</v>
      </c>
      <c r="AX119" s="3">
        <v>68.435000000000002</v>
      </c>
      <c r="AY119" s="3">
        <v>0</v>
      </c>
      <c r="AZ119" s="3" t="s">
        <v>81</v>
      </c>
      <c r="BA119" s="3" t="s">
        <v>81</v>
      </c>
      <c r="BB119" s="3" t="s">
        <v>81</v>
      </c>
      <c r="BC119" s="3" t="s">
        <v>81</v>
      </c>
      <c r="BD119" s="3" t="s">
        <v>81</v>
      </c>
      <c r="BE119" s="3" t="s">
        <v>81</v>
      </c>
      <c r="BF119" s="3" t="s">
        <v>81</v>
      </c>
      <c r="BG119" s="3" t="s">
        <v>81</v>
      </c>
      <c r="BH119" s="3" t="s">
        <v>81</v>
      </c>
      <c r="BI119" s="3" t="s">
        <v>84</v>
      </c>
      <c r="BJ119" s="3" t="s">
        <v>82</v>
      </c>
      <c r="BK119" s="3" t="s">
        <v>83</v>
      </c>
      <c r="BL119" s="3" t="s">
        <v>84</v>
      </c>
      <c r="BM119" s="3" t="s">
        <v>84</v>
      </c>
      <c r="BN119" s="3" t="s">
        <v>84</v>
      </c>
      <c r="BO119" s="3" t="s">
        <v>82</v>
      </c>
      <c r="BP119" s="3" t="s">
        <v>81</v>
      </c>
      <c r="BQ119" s="3" t="s">
        <v>81</v>
      </c>
      <c r="BR119" s="3" t="s">
        <v>81</v>
      </c>
      <c r="BS119" s="3" t="s">
        <v>81</v>
      </c>
      <c r="BT119" s="3" t="s">
        <v>81</v>
      </c>
      <c r="BU119" s="3" t="s">
        <v>81</v>
      </c>
      <c r="BV119" s="3" t="s">
        <v>82</v>
      </c>
      <c r="BW119" s="3" t="s">
        <v>91</v>
      </c>
      <c r="BX119" s="3" t="s">
        <v>82</v>
      </c>
      <c r="BY119" s="3" t="s">
        <v>173</v>
      </c>
      <c r="BZ119" s="3" t="s">
        <v>86</v>
      </c>
      <c r="CB119" s="3" t="s">
        <v>84</v>
      </c>
      <c r="CD119" s="9">
        <v>10</v>
      </c>
      <c r="CE119" s="9"/>
      <c r="CF119" s="18"/>
      <c r="CG119" s="18"/>
      <c r="CH119" s="18"/>
      <c r="CI119" s="18"/>
    </row>
    <row r="120" spans="1:87" x14ac:dyDescent="0.15">
      <c r="A120" s="3">
        <v>2643355790</v>
      </c>
      <c r="B120" s="3" t="s">
        <v>333</v>
      </c>
      <c r="C120" s="3" t="s">
        <v>333</v>
      </c>
      <c r="D120" s="3">
        <v>9</v>
      </c>
      <c r="E120" s="3">
        <v>15</v>
      </c>
      <c r="F120" s="3">
        <v>66.331999999999994</v>
      </c>
      <c r="G120" s="3">
        <v>0</v>
      </c>
      <c r="H120" s="3" t="s">
        <v>81</v>
      </c>
      <c r="I120" s="3" t="s">
        <v>81</v>
      </c>
      <c r="J120" s="3" t="s">
        <v>81</v>
      </c>
      <c r="K120" s="3" t="s">
        <v>81</v>
      </c>
      <c r="L120" s="3" t="s">
        <v>81</v>
      </c>
      <c r="M120" s="3" t="s">
        <v>81</v>
      </c>
      <c r="N120" s="3" t="s">
        <v>81</v>
      </c>
      <c r="O120" s="3" t="s">
        <v>81</v>
      </c>
      <c r="P120" s="3" t="s">
        <v>81</v>
      </c>
      <c r="Q120" s="3">
        <v>55.701000000000001</v>
      </c>
      <c r="R120" s="3">
        <v>0</v>
      </c>
      <c r="S120" s="3" t="s">
        <v>81</v>
      </c>
      <c r="T120" s="3" t="s">
        <v>81</v>
      </c>
      <c r="U120" s="3" t="s">
        <v>81</v>
      </c>
      <c r="V120" s="3" t="s">
        <v>81</v>
      </c>
      <c r="W120" s="3" t="s">
        <v>81</v>
      </c>
      <c r="X120" s="3" t="s">
        <v>81</v>
      </c>
      <c r="Y120" s="3" t="s">
        <v>81</v>
      </c>
      <c r="Z120" s="3" t="s">
        <v>81</v>
      </c>
      <c r="AA120" s="3" t="s">
        <v>81</v>
      </c>
      <c r="AB120" s="3">
        <v>61.677</v>
      </c>
      <c r="AC120" s="3">
        <v>0</v>
      </c>
      <c r="AD120" s="3" t="s">
        <v>81</v>
      </c>
      <c r="AE120" s="3" t="s">
        <v>81</v>
      </c>
      <c r="AF120" s="3" t="s">
        <v>81</v>
      </c>
      <c r="AG120" s="3" t="s">
        <v>81</v>
      </c>
      <c r="AH120" s="3" t="s">
        <v>81</v>
      </c>
      <c r="AI120" s="3" t="s">
        <v>81</v>
      </c>
      <c r="AJ120" s="3" t="s">
        <v>81</v>
      </c>
      <c r="AK120" s="3" t="s">
        <v>81</v>
      </c>
      <c r="AL120" s="3" t="s">
        <v>81</v>
      </c>
      <c r="AM120" s="3">
        <v>63.162999999999997</v>
      </c>
      <c r="AN120" s="3">
        <v>0</v>
      </c>
      <c r="AO120" s="3" t="s">
        <v>81</v>
      </c>
      <c r="AP120" s="3" t="s">
        <v>81</v>
      </c>
      <c r="AQ120" s="3" t="s">
        <v>81</v>
      </c>
      <c r="AR120" s="3" t="s">
        <v>81</v>
      </c>
      <c r="AS120" s="3" t="s">
        <v>81</v>
      </c>
      <c r="AT120" s="3" t="s">
        <v>81</v>
      </c>
      <c r="AU120" s="3" t="s">
        <v>81</v>
      </c>
      <c r="AV120" s="3" t="s">
        <v>81</v>
      </c>
      <c r="AW120" s="3" t="s">
        <v>81</v>
      </c>
      <c r="AX120" s="3">
        <v>62.65</v>
      </c>
      <c r="AY120" s="3">
        <v>0</v>
      </c>
      <c r="AZ120" s="3" t="s">
        <v>81</v>
      </c>
      <c r="BA120" s="3" t="s">
        <v>81</v>
      </c>
      <c r="BB120" s="3" t="s">
        <v>81</v>
      </c>
      <c r="BC120" s="3" t="s">
        <v>81</v>
      </c>
      <c r="BD120" s="3" t="s">
        <v>81</v>
      </c>
      <c r="BE120" s="3" t="s">
        <v>81</v>
      </c>
      <c r="BF120" s="3" t="s">
        <v>81</v>
      </c>
      <c r="BG120" s="3" t="s">
        <v>81</v>
      </c>
      <c r="BH120" s="3" t="s">
        <v>81</v>
      </c>
      <c r="BI120" s="3" t="s">
        <v>84</v>
      </c>
      <c r="BJ120" s="3" t="s">
        <v>82</v>
      </c>
      <c r="BK120" s="3" t="s">
        <v>83</v>
      </c>
      <c r="BL120" s="3" t="s">
        <v>84</v>
      </c>
      <c r="BM120" s="3" t="s">
        <v>84</v>
      </c>
      <c r="BN120" s="3" t="s">
        <v>84</v>
      </c>
      <c r="BO120" s="3" t="s">
        <v>82</v>
      </c>
      <c r="BP120" s="3" t="s">
        <v>81</v>
      </c>
      <c r="BQ120" s="3" t="s">
        <v>81</v>
      </c>
      <c r="BR120" s="3" t="s">
        <v>81</v>
      </c>
      <c r="BS120" s="3" t="s">
        <v>81</v>
      </c>
      <c r="BT120" s="3" t="s">
        <v>81</v>
      </c>
      <c r="BU120" s="3" t="s">
        <v>81</v>
      </c>
      <c r="BV120" s="3" t="s">
        <v>82</v>
      </c>
      <c r="BW120" s="3" t="s">
        <v>91</v>
      </c>
      <c r="BX120" s="3" t="s">
        <v>82</v>
      </c>
      <c r="BY120" s="3" t="s">
        <v>173</v>
      </c>
      <c r="BZ120" s="3" t="s">
        <v>86</v>
      </c>
      <c r="CB120" s="3" t="s">
        <v>84</v>
      </c>
      <c r="CD120" s="9">
        <v>16</v>
      </c>
      <c r="CE120" s="9">
        <v>12</v>
      </c>
      <c r="CF120" s="18"/>
      <c r="CG120" s="18"/>
      <c r="CH120" s="18"/>
      <c r="CI120" s="18"/>
    </row>
    <row r="121" spans="1:87" x14ac:dyDescent="0.15">
      <c r="A121" s="3">
        <v>2625856303</v>
      </c>
      <c r="B121" s="3" t="s">
        <v>337</v>
      </c>
      <c r="C121" s="3" t="s">
        <v>337</v>
      </c>
      <c r="D121" s="3" t="s">
        <v>81</v>
      </c>
      <c r="E121" s="3">
        <v>13</v>
      </c>
      <c r="F121" s="3">
        <v>22.72</v>
      </c>
      <c r="G121" s="3">
        <v>0</v>
      </c>
      <c r="H121" s="3" t="s">
        <v>81</v>
      </c>
      <c r="I121" s="3" t="s">
        <v>81</v>
      </c>
      <c r="J121" s="3" t="s">
        <v>81</v>
      </c>
      <c r="K121" s="3" t="s">
        <v>81</v>
      </c>
      <c r="L121" s="3" t="s">
        <v>81</v>
      </c>
      <c r="M121" s="3" t="s">
        <v>81</v>
      </c>
      <c r="N121" s="3" t="s">
        <v>81</v>
      </c>
      <c r="O121" s="3" t="s">
        <v>81</v>
      </c>
      <c r="P121" s="3" t="s">
        <v>81</v>
      </c>
      <c r="Q121" s="3">
        <v>20.719000000000001</v>
      </c>
      <c r="R121" s="3">
        <v>0</v>
      </c>
      <c r="S121" s="3" t="s">
        <v>81</v>
      </c>
      <c r="T121" s="3" t="s">
        <v>81</v>
      </c>
      <c r="U121" s="3" t="s">
        <v>81</v>
      </c>
      <c r="V121" s="3" t="s">
        <v>81</v>
      </c>
      <c r="W121" s="3" t="s">
        <v>81</v>
      </c>
      <c r="X121" s="3" t="s">
        <v>81</v>
      </c>
      <c r="Y121" s="3" t="s">
        <v>81</v>
      </c>
      <c r="Z121" s="3" t="s">
        <v>81</v>
      </c>
      <c r="AA121" s="3" t="s">
        <v>81</v>
      </c>
      <c r="AB121" s="3">
        <v>23.064</v>
      </c>
      <c r="AC121" s="3">
        <v>0</v>
      </c>
      <c r="AD121" s="3" t="s">
        <v>81</v>
      </c>
      <c r="AE121" s="3" t="s">
        <v>81</v>
      </c>
      <c r="AF121" s="3" t="s">
        <v>81</v>
      </c>
      <c r="AG121" s="3" t="s">
        <v>81</v>
      </c>
      <c r="AH121" s="3" t="s">
        <v>81</v>
      </c>
      <c r="AI121" s="3" t="s">
        <v>81</v>
      </c>
      <c r="AJ121" s="3" t="s">
        <v>81</v>
      </c>
      <c r="AK121" s="3" t="s">
        <v>81</v>
      </c>
      <c r="AL121" s="3" t="s">
        <v>81</v>
      </c>
      <c r="AM121" s="3">
        <v>19.843</v>
      </c>
      <c r="AN121" s="3">
        <v>0</v>
      </c>
      <c r="AO121" s="3" t="s">
        <v>81</v>
      </c>
      <c r="AP121" s="3" t="s">
        <v>81</v>
      </c>
      <c r="AQ121" s="3" t="s">
        <v>81</v>
      </c>
      <c r="AR121" s="3" t="s">
        <v>81</v>
      </c>
      <c r="AS121" s="3" t="s">
        <v>81</v>
      </c>
      <c r="AT121" s="3" t="s">
        <v>81</v>
      </c>
      <c r="AU121" s="3" t="s">
        <v>81</v>
      </c>
      <c r="AV121" s="3" t="s">
        <v>81</v>
      </c>
      <c r="AW121" s="3" t="s">
        <v>81</v>
      </c>
      <c r="AX121" s="3">
        <v>21.93</v>
      </c>
      <c r="AY121" s="3">
        <v>0</v>
      </c>
      <c r="AZ121" s="3" t="s">
        <v>81</v>
      </c>
      <c r="BA121" s="3" t="s">
        <v>81</v>
      </c>
      <c r="BB121" s="3" t="s">
        <v>81</v>
      </c>
      <c r="BC121" s="3" t="s">
        <v>81</v>
      </c>
      <c r="BD121" s="3" t="s">
        <v>81</v>
      </c>
      <c r="BE121" s="3" t="s">
        <v>81</v>
      </c>
      <c r="BF121" s="3" t="s">
        <v>81</v>
      </c>
      <c r="BG121" s="3" t="s">
        <v>81</v>
      </c>
      <c r="BH121" s="3" t="s">
        <v>81</v>
      </c>
      <c r="BI121" s="3" t="s">
        <v>82</v>
      </c>
      <c r="BJ121" s="3" t="s">
        <v>84</v>
      </c>
      <c r="BK121" s="3" t="s">
        <v>82</v>
      </c>
      <c r="BL121" s="3" t="s">
        <v>84</v>
      </c>
      <c r="BM121" s="3" t="s">
        <v>84</v>
      </c>
      <c r="BN121" s="3" t="s">
        <v>84</v>
      </c>
      <c r="BO121" s="3" t="s">
        <v>84</v>
      </c>
      <c r="BP121" s="3" t="s">
        <v>129</v>
      </c>
      <c r="BQ121" s="3" t="s">
        <v>129</v>
      </c>
      <c r="BR121" s="3" t="s">
        <v>129</v>
      </c>
      <c r="BS121" s="3" t="s">
        <v>129</v>
      </c>
      <c r="BT121" s="3" t="s">
        <v>129</v>
      </c>
      <c r="BU121" s="3" t="s">
        <v>81</v>
      </c>
      <c r="BV121" s="3" t="s">
        <v>83</v>
      </c>
      <c r="BW121" s="3" t="s">
        <v>83</v>
      </c>
      <c r="BX121" s="3" t="s">
        <v>82</v>
      </c>
      <c r="BY121" s="3" t="s">
        <v>338</v>
      </c>
      <c r="BZ121" s="3" t="s">
        <v>86</v>
      </c>
      <c r="CA121" s="3"/>
      <c r="CB121" s="3" t="s">
        <v>84</v>
      </c>
      <c r="CC121" s="3"/>
      <c r="CD121" s="9">
        <v>13</v>
      </c>
      <c r="CE121" s="3"/>
      <c r="CF121" s="17"/>
      <c r="CG121" s="17">
        <v>8</v>
      </c>
      <c r="CH121" s="17"/>
      <c r="CI121" s="18"/>
    </row>
    <row r="122" spans="1:87" x14ac:dyDescent="0.15">
      <c r="A122" s="3">
        <v>2625876458</v>
      </c>
      <c r="B122" s="3" t="s">
        <v>337</v>
      </c>
      <c r="C122" s="3" t="s">
        <v>337</v>
      </c>
      <c r="D122" s="3" t="s">
        <v>81</v>
      </c>
      <c r="E122" s="3">
        <v>11</v>
      </c>
      <c r="F122" s="3">
        <v>35.497</v>
      </c>
      <c r="G122" s="3">
        <v>0</v>
      </c>
      <c r="H122" s="3" t="s">
        <v>81</v>
      </c>
      <c r="I122" s="3" t="s">
        <v>81</v>
      </c>
      <c r="J122" s="3" t="s">
        <v>81</v>
      </c>
      <c r="K122" s="3" t="s">
        <v>81</v>
      </c>
      <c r="L122" s="3" t="s">
        <v>81</v>
      </c>
      <c r="M122" s="3" t="s">
        <v>81</v>
      </c>
      <c r="N122" s="3" t="s">
        <v>81</v>
      </c>
      <c r="O122" s="3" t="s">
        <v>81</v>
      </c>
      <c r="P122" s="3" t="s">
        <v>81</v>
      </c>
      <c r="Q122" s="3">
        <v>34.930999999999997</v>
      </c>
      <c r="R122" s="3">
        <v>0</v>
      </c>
      <c r="S122" s="3" t="s">
        <v>81</v>
      </c>
      <c r="T122" s="3" t="s">
        <v>81</v>
      </c>
      <c r="U122" s="3" t="s">
        <v>81</v>
      </c>
      <c r="V122" s="3" t="s">
        <v>81</v>
      </c>
      <c r="W122" s="3" t="s">
        <v>81</v>
      </c>
      <c r="X122" s="3" t="s">
        <v>81</v>
      </c>
      <c r="Y122" s="3" t="s">
        <v>81</v>
      </c>
      <c r="Z122" s="3" t="s">
        <v>81</v>
      </c>
      <c r="AA122" s="3" t="s">
        <v>81</v>
      </c>
      <c r="AB122" s="3">
        <v>32.743000000000002</v>
      </c>
      <c r="AC122" s="3">
        <v>0</v>
      </c>
      <c r="AD122" s="3" t="s">
        <v>81</v>
      </c>
      <c r="AE122" s="3" t="s">
        <v>81</v>
      </c>
      <c r="AF122" s="3" t="s">
        <v>81</v>
      </c>
      <c r="AG122" s="3" t="s">
        <v>81</v>
      </c>
      <c r="AH122" s="3" t="s">
        <v>81</v>
      </c>
      <c r="AI122" s="3" t="s">
        <v>81</v>
      </c>
      <c r="AJ122" s="3" t="s">
        <v>81</v>
      </c>
      <c r="AK122" s="3" t="s">
        <v>81</v>
      </c>
      <c r="AL122" s="3" t="s">
        <v>81</v>
      </c>
      <c r="AM122" s="3">
        <v>35.414000000000001</v>
      </c>
      <c r="AN122" s="3">
        <v>0</v>
      </c>
      <c r="AO122" s="3" t="s">
        <v>81</v>
      </c>
      <c r="AP122" s="3" t="s">
        <v>81</v>
      </c>
      <c r="AQ122" s="3" t="s">
        <v>81</v>
      </c>
      <c r="AR122" s="3" t="s">
        <v>81</v>
      </c>
      <c r="AS122" s="3" t="s">
        <v>81</v>
      </c>
      <c r="AT122" s="3" t="s">
        <v>81</v>
      </c>
      <c r="AU122" s="3" t="s">
        <v>81</v>
      </c>
      <c r="AV122" s="3" t="s">
        <v>81</v>
      </c>
      <c r="AW122" s="3" t="s">
        <v>81</v>
      </c>
      <c r="AX122" s="3">
        <v>38.945</v>
      </c>
      <c r="AY122" s="3">
        <v>0</v>
      </c>
      <c r="AZ122" s="3" t="s">
        <v>81</v>
      </c>
      <c r="BA122" s="3" t="s">
        <v>81</v>
      </c>
      <c r="BB122" s="3" t="s">
        <v>81</v>
      </c>
      <c r="BC122" s="3" t="s">
        <v>81</v>
      </c>
      <c r="BD122" s="3" t="s">
        <v>81</v>
      </c>
      <c r="BE122" s="3" t="s">
        <v>81</v>
      </c>
      <c r="BF122" s="3" t="s">
        <v>81</v>
      </c>
      <c r="BG122" s="3" t="s">
        <v>81</v>
      </c>
      <c r="BH122" s="3" t="s">
        <v>81</v>
      </c>
      <c r="BI122" s="3" t="s">
        <v>82</v>
      </c>
      <c r="BJ122" s="3" t="s">
        <v>84</v>
      </c>
      <c r="BK122" s="3" t="s">
        <v>84</v>
      </c>
      <c r="BL122" s="3" t="s">
        <v>84</v>
      </c>
      <c r="BM122" s="3" t="s">
        <v>84</v>
      </c>
      <c r="BN122" s="3" t="s">
        <v>84</v>
      </c>
      <c r="BO122" s="3" t="s">
        <v>83</v>
      </c>
      <c r="BP122" s="3" t="s">
        <v>135</v>
      </c>
      <c r="BQ122" s="3" t="s">
        <v>135</v>
      </c>
      <c r="BR122" s="3" t="s">
        <v>135</v>
      </c>
      <c r="BS122" s="3" t="s">
        <v>135</v>
      </c>
      <c r="BT122" s="3" t="s">
        <v>98</v>
      </c>
      <c r="BU122" s="3" t="s">
        <v>129</v>
      </c>
      <c r="BV122" s="3" t="s">
        <v>83</v>
      </c>
      <c r="BW122" s="3" t="s">
        <v>83</v>
      </c>
      <c r="BX122" s="3" t="s">
        <v>82</v>
      </c>
      <c r="BY122" s="3" t="s">
        <v>338</v>
      </c>
      <c r="BZ122" s="3" t="s">
        <v>86</v>
      </c>
      <c r="CB122" s="3" t="s">
        <v>84</v>
      </c>
      <c r="CD122" s="9"/>
      <c r="CF122" s="18"/>
      <c r="CG122" s="18"/>
      <c r="CH122" s="18"/>
      <c r="CI122" s="18"/>
    </row>
    <row r="123" spans="1:87" x14ac:dyDescent="0.15">
      <c r="A123" s="3">
        <v>2643357962</v>
      </c>
      <c r="B123" s="3" t="s">
        <v>337</v>
      </c>
      <c r="C123" s="3" t="s">
        <v>337</v>
      </c>
      <c r="D123" s="3" t="s">
        <v>81</v>
      </c>
      <c r="E123" s="3" t="s">
        <v>81</v>
      </c>
      <c r="F123" s="3">
        <v>22.38</v>
      </c>
      <c r="G123" s="3">
        <v>0</v>
      </c>
      <c r="H123" s="3" t="s">
        <v>81</v>
      </c>
      <c r="I123" s="3" t="s">
        <v>81</v>
      </c>
      <c r="J123" s="3" t="s">
        <v>81</v>
      </c>
      <c r="K123" s="3" t="s">
        <v>81</v>
      </c>
      <c r="L123" s="3" t="s">
        <v>81</v>
      </c>
      <c r="M123" s="3" t="s">
        <v>81</v>
      </c>
      <c r="N123" s="3" t="s">
        <v>81</v>
      </c>
      <c r="O123" s="3" t="s">
        <v>81</v>
      </c>
      <c r="P123" s="3" t="s">
        <v>81</v>
      </c>
      <c r="Q123" s="3">
        <v>20.373000000000001</v>
      </c>
      <c r="R123" s="3">
        <v>0</v>
      </c>
      <c r="S123" s="3" t="s">
        <v>81</v>
      </c>
      <c r="T123" s="3" t="s">
        <v>81</v>
      </c>
      <c r="U123" s="3" t="s">
        <v>81</v>
      </c>
      <c r="V123" s="3" t="s">
        <v>81</v>
      </c>
      <c r="W123" s="3" t="s">
        <v>81</v>
      </c>
      <c r="X123" s="3" t="s">
        <v>81</v>
      </c>
      <c r="Y123" s="3" t="s">
        <v>81</v>
      </c>
      <c r="Z123" s="3" t="s">
        <v>81</v>
      </c>
      <c r="AA123" s="3" t="s">
        <v>81</v>
      </c>
      <c r="AB123" s="3">
        <v>23.899000000000001</v>
      </c>
      <c r="AC123" s="3">
        <v>0</v>
      </c>
      <c r="AD123" s="3" t="s">
        <v>81</v>
      </c>
      <c r="AE123" s="3" t="s">
        <v>81</v>
      </c>
      <c r="AF123" s="3" t="s">
        <v>81</v>
      </c>
      <c r="AG123" s="3" t="s">
        <v>81</v>
      </c>
      <c r="AH123" s="3" t="s">
        <v>81</v>
      </c>
      <c r="AI123" s="3" t="s">
        <v>81</v>
      </c>
      <c r="AJ123" s="3" t="s">
        <v>81</v>
      </c>
      <c r="AK123" s="3" t="s">
        <v>81</v>
      </c>
      <c r="AL123" s="3" t="s">
        <v>81</v>
      </c>
      <c r="AM123" s="3">
        <v>23.545000000000002</v>
      </c>
      <c r="AN123" s="3">
        <v>0</v>
      </c>
      <c r="AO123" s="3" t="s">
        <v>81</v>
      </c>
      <c r="AP123" s="3" t="s">
        <v>81</v>
      </c>
      <c r="AQ123" s="3" t="s">
        <v>81</v>
      </c>
      <c r="AR123" s="3" t="s">
        <v>81</v>
      </c>
      <c r="AS123" s="3" t="s">
        <v>81</v>
      </c>
      <c r="AT123" s="3" t="s">
        <v>81</v>
      </c>
      <c r="AU123" s="3" t="s">
        <v>81</v>
      </c>
      <c r="AV123" s="3" t="s">
        <v>81</v>
      </c>
      <c r="AW123" s="3" t="s">
        <v>81</v>
      </c>
      <c r="AX123" s="3" t="s">
        <v>81</v>
      </c>
      <c r="AY123" s="3" t="s">
        <v>81</v>
      </c>
      <c r="AZ123" s="3" t="s">
        <v>81</v>
      </c>
      <c r="BA123" s="3" t="s">
        <v>81</v>
      </c>
      <c r="BB123" s="3" t="s">
        <v>81</v>
      </c>
      <c r="BC123" s="3" t="s">
        <v>81</v>
      </c>
      <c r="BD123" s="3" t="s">
        <v>81</v>
      </c>
      <c r="BE123" s="3" t="s">
        <v>81</v>
      </c>
      <c r="BF123" s="3" t="s">
        <v>81</v>
      </c>
      <c r="BG123" s="3" t="s">
        <v>81</v>
      </c>
      <c r="BH123" s="3" t="s">
        <v>81</v>
      </c>
      <c r="BI123" s="3" t="s">
        <v>82</v>
      </c>
      <c r="BJ123" s="3" t="s">
        <v>82</v>
      </c>
      <c r="BK123" s="3" t="s">
        <v>83</v>
      </c>
      <c r="BL123" s="3" t="s">
        <v>84</v>
      </c>
      <c r="BM123" s="3" t="s">
        <v>84</v>
      </c>
      <c r="BN123" s="3" t="s">
        <v>84</v>
      </c>
      <c r="BO123" s="3" t="s">
        <v>82</v>
      </c>
      <c r="BP123" s="3" t="s">
        <v>339</v>
      </c>
      <c r="BQ123" s="3" t="s">
        <v>339</v>
      </c>
      <c r="BR123" s="3" t="s">
        <v>339</v>
      </c>
      <c r="BS123" s="3" t="s">
        <v>339</v>
      </c>
      <c r="BT123" s="3" t="s">
        <v>98</v>
      </c>
      <c r="BU123" s="3" t="s">
        <v>106</v>
      </c>
      <c r="BV123" s="3" t="s">
        <v>82</v>
      </c>
      <c r="BW123" s="3" t="s">
        <v>111</v>
      </c>
      <c r="BX123" s="3" t="s">
        <v>82</v>
      </c>
      <c r="BY123" s="3" t="s">
        <v>340</v>
      </c>
      <c r="BZ123" s="3" t="s">
        <v>86</v>
      </c>
      <c r="CB123" s="3" t="s">
        <v>84</v>
      </c>
      <c r="CD123" s="9">
        <v>4</v>
      </c>
      <c r="CF123" s="18"/>
      <c r="CG123" s="18"/>
      <c r="CH123" s="18"/>
      <c r="CI123" s="18"/>
    </row>
    <row r="124" spans="1:87" x14ac:dyDescent="0.15">
      <c r="A124" s="3">
        <v>2236021192</v>
      </c>
      <c r="B124" s="3" t="s">
        <v>354</v>
      </c>
      <c r="C124" s="3" t="s">
        <v>353</v>
      </c>
      <c r="D124" s="3">
        <v>12</v>
      </c>
      <c r="E124" s="3">
        <v>20</v>
      </c>
      <c r="F124" s="3">
        <v>39.1</v>
      </c>
      <c r="G124" s="3">
        <v>0</v>
      </c>
      <c r="H124" s="3" t="s">
        <v>81</v>
      </c>
      <c r="I124" s="3" t="s">
        <v>81</v>
      </c>
      <c r="J124" s="3" t="s">
        <v>81</v>
      </c>
      <c r="K124" s="3" t="s">
        <v>81</v>
      </c>
      <c r="L124" s="3" t="s">
        <v>81</v>
      </c>
      <c r="M124" s="3" t="s">
        <v>81</v>
      </c>
      <c r="N124" s="3" t="s">
        <v>81</v>
      </c>
      <c r="O124" s="3" t="s">
        <v>81</v>
      </c>
      <c r="P124" s="3" t="s">
        <v>81</v>
      </c>
      <c r="Q124" s="3">
        <v>33.298999999999999</v>
      </c>
      <c r="R124" s="3">
        <v>0</v>
      </c>
      <c r="S124" s="3" t="s">
        <v>81</v>
      </c>
      <c r="T124" s="3" t="s">
        <v>81</v>
      </c>
      <c r="U124" s="3" t="s">
        <v>81</v>
      </c>
      <c r="V124" s="3" t="s">
        <v>81</v>
      </c>
      <c r="W124" s="3" t="s">
        <v>81</v>
      </c>
      <c r="X124" s="3" t="s">
        <v>81</v>
      </c>
      <c r="Y124" s="3" t="s">
        <v>81</v>
      </c>
      <c r="Z124" s="3" t="s">
        <v>81</v>
      </c>
      <c r="AA124" s="3" t="s">
        <v>81</v>
      </c>
      <c r="AB124" s="3">
        <v>30.283000000000001</v>
      </c>
      <c r="AC124" s="3">
        <v>0</v>
      </c>
      <c r="AD124" s="3" t="s">
        <v>81</v>
      </c>
      <c r="AE124" s="3" t="s">
        <v>81</v>
      </c>
      <c r="AF124" s="3" t="s">
        <v>81</v>
      </c>
      <c r="AG124" s="3" t="s">
        <v>81</v>
      </c>
      <c r="AH124" s="3" t="s">
        <v>81</v>
      </c>
      <c r="AI124" s="3" t="s">
        <v>81</v>
      </c>
      <c r="AJ124" s="3" t="s">
        <v>81</v>
      </c>
      <c r="AK124" s="3" t="s">
        <v>81</v>
      </c>
      <c r="AL124" s="3" t="s">
        <v>81</v>
      </c>
      <c r="AM124" s="3">
        <v>26.609000000000002</v>
      </c>
      <c r="AN124" s="3">
        <v>0</v>
      </c>
      <c r="AO124" s="3" t="s">
        <v>81</v>
      </c>
      <c r="AP124" s="3" t="s">
        <v>81</v>
      </c>
      <c r="AQ124" s="3" t="s">
        <v>81</v>
      </c>
      <c r="AR124" s="3" t="s">
        <v>81</v>
      </c>
      <c r="AS124" s="3" t="s">
        <v>81</v>
      </c>
      <c r="AT124" s="3" t="s">
        <v>81</v>
      </c>
      <c r="AU124" s="3" t="s">
        <v>81</v>
      </c>
      <c r="AV124" s="3" t="s">
        <v>81</v>
      </c>
      <c r="AW124" s="3" t="s">
        <v>81</v>
      </c>
      <c r="AX124" s="3">
        <v>25.571999999999999</v>
      </c>
      <c r="AY124" s="3">
        <v>0</v>
      </c>
      <c r="AZ124" s="3" t="s">
        <v>81</v>
      </c>
      <c r="BA124" s="3" t="s">
        <v>81</v>
      </c>
      <c r="BB124" s="3" t="s">
        <v>81</v>
      </c>
      <c r="BC124" s="3" t="s">
        <v>81</v>
      </c>
      <c r="BD124" s="3" t="s">
        <v>81</v>
      </c>
      <c r="BE124" s="3" t="s">
        <v>81</v>
      </c>
      <c r="BF124" s="3" t="s">
        <v>81</v>
      </c>
      <c r="BG124" s="3" t="s">
        <v>81</v>
      </c>
      <c r="BH124" s="3" t="s">
        <v>81</v>
      </c>
      <c r="BI124" s="3" t="s">
        <v>84</v>
      </c>
      <c r="BJ124" s="3" t="s">
        <v>84</v>
      </c>
      <c r="BK124" s="3" t="s">
        <v>82</v>
      </c>
      <c r="BL124" s="3" t="s">
        <v>84</v>
      </c>
      <c r="BM124" s="3" t="s">
        <v>84</v>
      </c>
      <c r="BN124" s="3" t="s">
        <v>84</v>
      </c>
      <c r="BO124" s="3" t="s">
        <v>84</v>
      </c>
      <c r="BP124" s="3" t="s">
        <v>87</v>
      </c>
      <c r="BQ124" s="3" t="s">
        <v>87</v>
      </c>
      <c r="BR124" s="3" t="s">
        <v>85</v>
      </c>
      <c r="BS124" s="3" t="s">
        <v>355</v>
      </c>
      <c r="BT124" s="3" t="s">
        <v>87</v>
      </c>
      <c r="BU124" s="3" t="s">
        <v>85</v>
      </c>
      <c r="BV124" s="3" t="s">
        <v>82</v>
      </c>
      <c r="BW124" s="3" t="s">
        <v>91</v>
      </c>
      <c r="BX124" s="3" t="s">
        <v>82</v>
      </c>
      <c r="BY124" s="3" t="s">
        <v>356</v>
      </c>
      <c r="BZ124" s="3" t="s">
        <v>86</v>
      </c>
      <c r="CB124" s="3" t="s">
        <v>84</v>
      </c>
      <c r="CD124" s="9">
        <v>22</v>
      </c>
      <c r="CF124" s="18"/>
      <c r="CG124" s="18"/>
      <c r="CH124" s="18"/>
      <c r="CI124" s="18"/>
    </row>
    <row r="125" spans="1:87" x14ac:dyDescent="0.15">
      <c r="A125" s="3">
        <v>2643371841</v>
      </c>
      <c r="B125" s="3" t="s">
        <v>353</v>
      </c>
      <c r="C125" s="3" t="s">
        <v>353</v>
      </c>
      <c r="D125" s="3" t="s">
        <v>81</v>
      </c>
      <c r="E125" s="3" t="s">
        <v>81</v>
      </c>
      <c r="F125" s="3">
        <v>51.692</v>
      </c>
      <c r="G125" s="3">
        <v>0</v>
      </c>
      <c r="H125" s="3" t="s">
        <v>81</v>
      </c>
      <c r="I125" s="3" t="s">
        <v>81</v>
      </c>
      <c r="J125" s="3" t="s">
        <v>81</v>
      </c>
      <c r="K125" s="3" t="s">
        <v>81</v>
      </c>
      <c r="L125" s="3" t="s">
        <v>81</v>
      </c>
      <c r="M125" s="3" t="s">
        <v>81</v>
      </c>
      <c r="N125" s="3" t="s">
        <v>81</v>
      </c>
      <c r="O125" s="3" t="s">
        <v>81</v>
      </c>
      <c r="P125" s="3" t="s">
        <v>81</v>
      </c>
      <c r="Q125" s="3">
        <v>51.89</v>
      </c>
      <c r="R125" s="3">
        <v>0</v>
      </c>
      <c r="S125" s="3" t="s">
        <v>81</v>
      </c>
      <c r="T125" s="3" t="s">
        <v>81</v>
      </c>
      <c r="U125" s="3" t="s">
        <v>81</v>
      </c>
      <c r="V125" s="3" t="s">
        <v>81</v>
      </c>
      <c r="W125" s="3" t="s">
        <v>81</v>
      </c>
      <c r="X125" s="3" t="s">
        <v>81</v>
      </c>
      <c r="Y125" s="3" t="s">
        <v>81</v>
      </c>
      <c r="Z125" s="3" t="s">
        <v>81</v>
      </c>
      <c r="AA125" s="3" t="s">
        <v>81</v>
      </c>
      <c r="AB125" s="3">
        <v>46.372999999999998</v>
      </c>
      <c r="AC125" s="3">
        <v>0</v>
      </c>
      <c r="AD125" s="3" t="s">
        <v>81</v>
      </c>
      <c r="AE125" s="3" t="s">
        <v>81</v>
      </c>
      <c r="AF125" s="3" t="s">
        <v>81</v>
      </c>
      <c r="AG125" s="3" t="s">
        <v>81</v>
      </c>
      <c r="AH125" s="3" t="s">
        <v>81</v>
      </c>
      <c r="AI125" s="3" t="s">
        <v>81</v>
      </c>
      <c r="AJ125" s="3" t="s">
        <v>81</v>
      </c>
      <c r="AK125" s="3" t="s">
        <v>81</v>
      </c>
      <c r="AL125" s="3" t="s">
        <v>81</v>
      </c>
      <c r="AM125" s="3">
        <v>37.411000000000001</v>
      </c>
      <c r="AN125" s="3">
        <v>0</v>
      </c>
      <c r="AO125" s="3" t="s">
        <v>81</v>
      </c>
      <c r="AP125" s="3" t="s">
        <v>81</v>
      </c>
      <c r="AQ125" s="3" t="s">
        <v>81</v>
      </c>
      <c r="AR125" s="3" t="s">
        <v>81</v>
      </c>
      <c r="AS125" s="3" t="s">
        <v>81</v>
      </c>
      <c r="AT125" s="3" t="s">
        <v>81</v>
      </c>
      <c r="AU125" s="3" t="s">
        <v>81</v>
      </c>
      <c r="AV125" s="3" t="s">
        <v>81</v>
      </c>
      <c r="AW125" s="3" t="s">
        <v>81</v>
      </c>
      <c r="AX125" s="3">
        <v>34.551000000000002</v>
      </c>
      <c r="AY125" s="3">
        <v>0</v>
      </c>
      <c r="AZ125" s="3" t="s">
        <v>81</v>
      </c>
      <c r="BA125" s="3" t="s">
        <v>81</v>
      </c>
      <c r="BB125" s="3" t="s">
        <v>81</v>
      </c>
      <c r="BC125" s="3" t="s">
        <v>81</v>
      </c>
      <c r="BD125" s="3" t="s">
        <v>81</v>
      </c>
      <c r="BE125" s="3" t="s">
        <v>81</v>
      </c>
      <c r="BF125" s="3" t="s">
        <v>81</v>
      </c>
      <c r="BG125" s="3" t="s">
        <v>81</v>
      </c>
      <c r="BH125" s="3" t="s">
        <v>81</v>
      </c>
      <c r="BI125" s="3" t="s">
        <v>82</v>
      </c>
      <c r="BJ125" s="3" t="s">
        <v>82</v>
      </c>
      <c r="BK125" s="3" t="s">
        <v>83</v>
      </c>
      <c r="BL125" s="3" t="s">
        <v>84</v>
      </c>
      <c r="BM125" s="3" t="s">
        <v>84</v>
      </c>
      <c r="BN125" s="3"/>
      <c r="BO125" s="3" t="s">
        <v>84</v>
      </c>
      <c r="BP125" s="3" t="s">
        <v>357</v>
      </c>
      <c r="BQ125" s="3" t="s">
        <v>98</v>
      </c>
      <c r="BR125" s="3" t="s">
        <v>218</v>
      </c>
      <c r="BS125" s="3" t="s">
        <v>358</v>
      </c>
      <c r="BT125" s="3" t="s">
        <v>85</v>
      </c>
      <c r="BU125" s="3" t="s">
        <v>98</v>
      </c>
      <c r="BV125" s="3" t="s">
        <v>84</v>
      </c>
      <c r="BW125" s="3"/>
      <c r="BX125" s="3" t="s">
        <v>82</v>
      </c>
      <c r="BY125" s="3" t="s">
        <v>359</v>
      </c>
      <c r="BZ125" s="3" t="s">
        <v>86</v>
      </c>
      <c r="CB125" s="3" t="s">
        <v>84</v>
      </c>
      <c r="CD125" s="9">
        <v>37</v>
      </c>
      <c r="CF125" s="18"/>
      <c r="CG125" s="18"/>
      <c r="CH125" s="18"/>
      <c r="CI125" s="18"/>
    </row>
    <row r="126" spans="1:87" x14ac:dyDescent="0.15">
      <c r="A126" s="3">
        <v>1228305113</v>
      </c>
      <c r="B126" s="3" t="s">
        <v>353</v>
      </c>
      <c r="C126" s="3" t="s">
        <v>353</v>
      </c>
      <c r="D126" s="3">
        <v>15</v>
      </c>
      <c r="E126" s="3">
        <v>25</v>
      </c>
      <c r="F126" s="3">
        <v>30.044</v>
      </c>
      <c r="G126" s="3">
        <v>0</v>
      </c>
      <c r="H126" s="3" t="s">
        <v>81</v>
      </c>
      <c r="I126" s="3" t="s">
        <v>81</v>
      </c>
      <c r="J126" s="3" t="s">
        <v>81</v>
      </c>
      <c r="K126" s="3" t="s">
        <v>81</v>
      </c>
      <c r="L126" s="3" t="s">
        <v>81</v>
      </c>
      <c r="M126" s="3" t="s">
        <v>81</v>
      </c>
      <c r="N126" s="3" t="s">
        <v>81</v>
      </c>
      <c r="O126" s="3" t="s">
        <v>81</v>
      </c>
      <c r="P126" s="3" t="s">
        <v>81</v>
      </c>
      <c r="Q126" s="3">
        <v>30.471</v>
      </c>
      <c r="R126" s="3">
        <v>0</v>
      </c>
      <c r="S126" s="3" t="s">
        <v>81</v>
      </c>
      <c r="T126" s="3" t="s">
        <v>81</v>
      </c>
      <c r="U126" s="3" t="s">
        <v>81</v>
      </c>
      <c r="V126" s="3" t="s">
        <v>81</v>
      </c>
      <c r="W126" s="3" t="s">
        <v>81</v>
      </c>
      <c r="X126" s="3" t="s">
        <v>81</v>
      </c>
      <c r="Y126" s="3" t="s">
        <v>81</v>
      </c>
      <c r="Z126" s="3" t="s">
        <v>81</v>
      </c>
      <c r="AA126" s="3" t="s">
        <v>81</v>
      </c>
      <c r="AB126" s="3">
        <v>29.513000000000002</v>
      </c>
      <c r="AC126" s="3">
        <v>0</v>
      </c>
      <c r="AD126" s="3" t="s">
        <v>81</v>
      </c>
      <c r="AE126" s="3" t="s">
        <v>81</v>
      </c>
      <c r="AF126" s="3" t="s">
        <v>81</v>
      </c>
      <c r="AG126" s="3" t="s">
        <v>81</v>
      </c>
      <c r="AH126" s="3" t="s">
        <v>81</v>
      </c>
      <c r="AI126" s="3" t="s">
        <v>81</v>
      </c>
      <c r="AJ126" s="3" t="s">
        <v>81</v>
      </c>
      <c r="AK126" s="3" t="s">
        <v>81</v>
      </c>
      <c r="AL126" s="3" t="s">
        <v>81</v>
      </c>
      <c r="AM126" s="3">
        <v>30.913</v>
      </c>
      <c r="AN126" s="3">
        <v>0</v>
      </c>
      <c r="AO126" s="3" t="s">
        <v>81</v>
      </c>
      <c r="AP126" s="3" t="s">
        <v>81</v>
      </c>
      <c r="AQ126" s="3" t="s">
        <v>81</v>
      </c>
      <c r="AR126" s="3" t="s">
        <v>81</v>
      </c>
      <c r="AS126" s="3" t="s">
        <v>81</v>
      </c>
      <c r="AT126" s="3" t="s">
        <v>81</v>
      </c>
      <c r="AU126" s="3" t="s">
        <v>81</v>
      </c>
      <c r="AV126" s="3" t="s">
        <v>81</v>
      </c>
      <c r="AW126" s="3" t="s">
        <v>81</v>
      </c>
      <c r="AX126" s="3">
        <v>27.690999999999999</v>
      </c>
      <c r="AY126" s="3">
        <v>0</v>
      </c>
      <c r="AZ126" s="3" t="s">
        <v>81</v>
      </c>
      <c r="BA126" s="3" t="s">
        <v>81</v>
      </c>
      <c r="BB126" s="3" t="s">
        <v>81</v>
      </c>
      <c r="BC126" s="3" t="s">
        <v>81</v>
      </c>
      <c r="BD126" s="3" t="s">
        <v>81</v>
      </c>
      <c r="BE126" s="3" t="s">
        <v>81</v>
      </c>
      <c r="BF126" s="3" t="s">
        <v>81</v>
      </c>
      <c r="BG126" s="3" t="s">
        <v>81</v>
      </c>
      <c r="BH126" s="3" t="s">
        <v>81</v>
      </c>
      <c r="BI126" s="3" t="s">
        <v>82</v>
      </c>
      <c r="BJ126" s="3" t="s">
        <v>82</v>
      </c>
      <c r="BK126" s="3" t="s">
        <v>83</v>
      </c>
      <c r="BL126" s="3" t="s">
        <v>84</v>
      </c>
      <c r="BM126" s="3" t="s">
        <v>84</v>
      </c>
      <c r="BN126" s="3" t="s">
        <v>84</v>
      </c>
      <c r="BO126" s="3" t="s">
        <v>84</v>
      </c>
      <c r="BP126" s="3" t="s">
        <v>218</v>
      </c>
      <c r="BQ126" s="3" t="s">
        <v>218</v>
      </c>
      <c r="BR126" s="3" t="s">
        <v>98</v>
      </c>
      <c r="BS126" s="3" t="s">
        <v>360</v>
      </c>
      <c r="BT126" s="3" t="s">
        <v>85</v>
      </c>
      <c r="BU126" s="3" t="s">
        <v>98</v>
      </c>
      <c r="BV126" s="3" t="s">
        <v>82</v>
      </c>
      <c r="BW126" s="3" t="s">
        <v>91</v>
      </c>
      <c r="BX126" s="3" t="s">
        <v>82</v>
      </c>
      <c r="BY126" s="3" t="s">
        <v>361</v>
      </c>
      <c r="BZ126" s="3" t="s">
        <v>93</v>
      </c>
      <c r="CB126" s="3" t="s">
        <v>84</v>
      </c>
      <c r="CD126" s="9">
        <v>23</v>
      </c>
      <c r="CF126" s="18"/>
      <c r="CG126" s="18"/>
      <c r="CH126" s="18"/>
      <c r="CI126" s="18"/>
    </row>
    <row r="127" spans="1:87" x14ac:dyDescent="0.15">
      <c r="A127" s="3">
        <v>1228168719</v>
      </c>
      <c r="B127" s="3" t="s">
        <v>364</v>
      </c>
      <c r="C127" s="3" t="s">
        <v>364</v>
      </c>
      <c r="D127" s="3">
        <v>13</v>
      </c>
      <c r="E127" s="3">
        <v>24</v>
      </c>
      <c r="F127" s="3">
        <v>46.826999999999998</v>
      </c>
      <c r="G127" s="3">
        <v>0</v>
      </c>
      <c r="H127" s="3" t="s">
        <v>81</v>
      </c>
      <c r="I127" s="3" t="s">
        <v>81</v>
      </c>
      <c r="J127" s="3" t="s">
        <v>81</v>
      </c>
      <c r="K127" s="3" t="s">
        <v>81</v>
      </c>
      <c r="L127" s="3" t="s">
        <v>81</v>
      </c>
      <c r="M127" s="3" t="s">
        <v>81</v>
      </c>
      <c r="N127" s="3" t="s">
        <v>81</v>
      </c>
      <c r="O127" s="3" t="s">
        <v>81</v>
      </c>
      <c r="P127" s="3" t="s">
        <v>81</v>
      </c>
      <c r="Q127" s="3">
        <v>45.9</v>
      </c>
      <c r="R127" s="3">
        <v>0</v>
      </c>
      <c r="S127" s="3" t="s">
        <v>81</v>
      </c>
      <c r="T127" s="3" t="s">
        <v>81</v>
      </c>
      <c r="U127" s="3" t="s">
        <v>81</v>
      </c>
      <c r="V127" s="3" t="s">
        <v>81</v>
      </c>
      <c r="W127" s="3" t="s">
        <v>81</v>
      </c>
      <c r="X127" s="3" t="s">
        <v>81</v>
      </c>
      <c r="Y127" s="3" t="s">
        <v>81</v>
      </c>
      <c r="Z127" s="3" t="s">
        <v>81</v>
      </c>
      <c r="AA127" s="3" t="s">
        <v>81</v>
      </c>
      <c r="AB127" s="3">
        <v>49.808</v>
      </c>
      <c r="AC127" s="3">
        <v>0</v>
      </c>
      <c r="AD127" s="3" t="s">
        <v>81</v>
      </c>
      <c r="AE127" s="3" t="s">
        <v>81</v>
      </c>
      <c r="AF127" s="3" t="s">
        <v>81</v>
      </c>
      <c r="AG127" s="3" t="s">
        <v>81</v>
      </c>
      <c r="AH127" s="3" t="s">
        <v>81</v>
      </c>
      <c r="AI127" s="3" t="s">
        <v>81</v>
      </c>
      <c r="AJ127" s="3" t="s">
        <v>81</v>
      </c>
      <c r="AK127" s="3" t="s">
        <v>81</v>
      </c>
      <c r="AL127" s="3" t="s">
        <v>81</v>
      </c>
      <c r="AM127" s="3">
        <v>43.930999999999997</v>
      </c>
      <c r="AN127" s="3">
        <v>0</v>
      </c>
      <c r="AO127" s="3" t="s">
        <v>81</v>
      </c>
      <c r="AP127" s="3" t="s">
        <v>81</v>
      </c>
      <c r="AQ127" s="3" t="s">
        <v>81</v>
      </c>
      <c r="AR127" s="3" t="s">
        <v>81</v>
      </c>
      <c r="AS127" s="3" t="s">
        <v>81</v>
      </c>
      <c r="AT127" s="3" t="s">
        <v>81</v>
      </c>
      <c r="AU127" s="3" t="s">
        <v>81</v>
      </c>
      <c r="AV127" s="3" t="s">
        <v>81</v>
      </c>
      <c r="AW127" s="3" t="s">
        <v>81</v>
      </c>
      <c r="AX127" s="3">
        <v>50.436</v>
      </c>
      <c r="AY127" s="3">
        <v>0</v>
      </c>
      <c r="AZ127" s="3" t="s">
        <v>81</v>
      </c>
      <c r="BA127" s="3" t="s">
        <v>81</v>
      </c>
      <c r="BB127" s="3" t="s">
        <v>81</v>
      </c>
      <c r="BC127" s="3" t="s">
        <v>81</v>
      </c>
      <c r="BD127" s="3" t="s">
        <v>81</v>
      </c>
      <c r="BE127" s="3" t="s">
        <v>81</v>
      </c>
      <c r="BF127" s="3" t="s">
        <v>81</v>
      </c>
      <c r="BG127" s="3" t="s">
        <v>81</v>
      </c>
      <c r="BH127" s="3" t="s">
        <v>81</v>
      </c>
      <c r="BI127" s="3" t="s">
        <v>84</v>
      </c>
      <c r="BJ127" s="3" t="s">
        <v>82</v>
      </c>
      <c r="BK127" s="3" t="s">
        <v>83</v>
      </c>
      <c r="BL127" s="3" t="s">
        <v>84</v>
      </c>
      <c r="BM127" s="3" t="s">
        <v>84</v>
      </c>
      <c r="BN127" s="3" t="s">
        <v>82</v>
      </c>
      <c r="BO127" s="3" t="s">
        <v>84</v>
      </c>
      <c r="BP127" s="3" t="s">
        <v>106</v>
      </c>
      <c r="BQ127" s="3" t="s">
        <v>106</v>
      </c>
      <c r="BR127" s="3" t="s">
        <v>106</v>
      </c>
      <c r="BS127" s="3" t="s">
        <v>106</v>
      </c>
      <c r="BT127" s="3" t="s">
        <v>106</v>
      </c>
      <c r="BU127" s="3" t="s">
        <v>81</v>
      </c>
      <c r="BV127" s="3" t="s">
        <v>82</v>
      </c>
      <c r="BW127" s="3" t="s">
        <v>91</v>
      </c>
      <c r="BX127" s="3" t="s">
        <v>82</v>
      </c>
      <c r="BY127" s="3" t="s">
        <v>361</v>
      </c>
      <c r="BZ127" s="3" t="s">
        <v>93</v>
      </c>
      <c r="CA127" s="3" t="s">
        <v>103</v>
      </c>
      <c r="CB127" s="3" t="s">
        <v>84</v>
      </c>
      <c r="CC127" s="3"/>
      <c r="CD127" s="9">
        <v>23</v>
      </c>
      <c r="CE127" s="9"/>
      <c r="CF127" s="19"/>
      <c r="CG127" s="17"/>
      <c r="CH127" s="17"/>
      <c r="CI127" s="18"/>
    </row>
    <row r="128" spans="1:87" x14ac:dyDescent="0.15">
      <c r="A128" s="3">
        <v>2625861900</v>
      </c>
      <c r="B128" s="3" t="s">
        <v>365</v>
      </c>
      <c r="C128" s="3" t="s">
        <v>364</v>
      </c>
      <c r="D128" s="3">
        <v>9</v>
      </c>
      <c r="E128" s="3">
        <v>15</v>
      </c>
      <c r="F128" s="3">
        <v>81.093999999999994</v>
      </c>
      <c r="G128" s="3">
        <v>1</v>
      </c>
      <c r="H128" s="3">
        <v>28.271999999999998</v>
      </c>
      <c r="I128" s="3">
        <v>50.884</v>
      </c>
      <c r="J128" s="3">
        <v>50.42</v>
      </c>
      <c r="K128" s="3" t="s">
        <v>81</v>
      </c>
      <c r="L128" s="3" t="s">
        <v>81</v>
      </c>
      <c r="M128" s="3" t="s">
        <v>81</v>
      </c>
      <c r="N128" s="3" t="s">
        <v>81</v>
      </c>
      <c r="O128" s="3" t="s">
        <v>81</v>
      </c>
      <c r="P128" s="3" t="s">
        <v>81</v>
      </c>
      <c r="Q128" s="3">
        <v>80.861999999999995</v>
      </c>
      <c r="R128" s="3">
        <v>1</v>
      </c>
      <c r="S128" s="3">
        <v>32.195999999999998</v>
      </c>
      <c r="T128" s="3">
        <v>46.095999999999997</v>
      </c>
      <c r="U128" s="3">
        <v>48.179000000000002</v>
      </c>
      <c r="V128" s="3" t="s">
        <v>81</v>
      </c>
      <c r="W128" s="3" t="s">
        <v>81</v>
      </c>
      <c r="X128" s="3" t="s">
        <v>81</v>
      </c>
      <c r="Y128" s="3" t="s">
        <v>81</v>
      </c>
      <c r="Z128" s="3" t="s">
        <v>81</v>
      </c>
      <c r="AA128" s="3" t="s">
        <v>81</v>
      </c>
      <c r="AB128" s="3">
        <v>87.033000000000001</v>
      </c>
      <c r="AC128" s="3">
        <v>1</v>
      </c>
      <c r="AD128" s="3">
        <v>41.356000000000002</v>
      </c>
      <c r="AE128" s="3">
        <v>41.228999999999999</v>
      </c>
      <c r="AF128" s="3">
        <v>44.247</v>
      </c>
      <c r="AG128" s="3" t="s">
        <v>81</v>
      </c>
      <c r="AH128" s="3" t="s">
        <v>81</v>
      </c>
      <c r="AI128" s="3" t="s">
        <v>81</v>
      </c>
      <c r="AJ128" s="3" t="s">
        <v>81</v>
      </c>
      <c r="AK128" s="3" t="s">
        <v>81</v>
      </c>
      <c r="AL128" s="3" t="s">
        <v>81</v>
      </c>
      <c r="AM128" s="3">
        <v>80.406000000000006</v>
      </c>
      <c r="AN128" s="3">
        <v>1</v>
      </c>
      <c r="AO128" s="3">
        <v>31.637</v>
      </c>
      <c r="AP128" s="3">
        <v>49.137999999999998</v>
      </c>
      <c r="AQ128" s="3">
        <v>48.783999999999999</v>
      </c>
      <c r="AR128" s="3" t="s">
        <v>81</v>
      </c>
      <c r="AS128" s="3" t="s">
        <v>81</v>
      </c>
      <c r="AT128" s="3" t="s">
        <v>81</v>
      </c>
      <c r="AU128" s="3" t="s">
        <v>81</v>
      </c>
      <c r="AV128" s="3" t="s">
        <v>81</v>
      </c>
      <c r="AW128" s="3" t="s">
        <v>81</v>
      </c>
      <c r="AX128" s="3">
        <v>78.453000000000003</v>
      </c>
      <c r="AY128" s="3">
        <v>1</v>
      </c>
      <c r="AZ128" s="3">
        <v>32.947000000000003</v>
      </c>
      <c r="BA128" s="3">
        <v>48.878</v>
      </c>
      <c r="BB128" s="3">
        <v>45.579000000000001</v>
      </c>
      <c r="BC128" s="3" t="s">
        <v>81</v>
      </c>
      <c r="BD128" s="3" t="s">
        <v>81</v>
      </c>
      <c r="BE128" s="3" t="s">
        <v>81</v>
      </c>
      <c r="BF128" s="3" t="s">
        <v>81</v>
      </c>
      <c r="BG128" s="3" t="s">
        <v>81</v>
      </c>
      <c r="BH128" s="3" t="s">
        <v>81</v>
      </c>
      <c r="BI128" s="3" t="s">
        <v>84</v>
      </c>
      <c r="BJ128" s="3" t="s">
        <v>84</v>
      </c>
      <c r="BK128" s="3" t="s">
        <v>82</v>
      </c>
      <c r="BL128" s="3" t="s">
        <v>84</v>
      </c>
      <c r="BM128" s="3" t="s">
        <v>84</v>
      </c>
      <c r="BN128" s="3" t="s">
        <v>82</v>
      </c>
      <c r="BO128" s="3" t="s">
        <v>84</v>
      </c>
      <c r="BP128" s="3" t="s">
        <v>106</v>
      </c>
      <c r="BQ128" s="3" t="s">
        <v>106</v>
      </c>
      <c r="BR128" s="3" t="s">
        <v>129</v>
      </c>
      <c r="BS128" s="3" t="s">
        <v>366</v>
      </c>
      <c r="BT128" s="3" t="s">
        <v>106</v>
      </c>
      <c r="BU128" s="3" t="s">
        <v>129</v>
      </c>
      <c r="BV128" s="3" t="s">
        <v>82</v>
      </c>
      <c r="BW128" s="3" t="s">
        <v>91</v>
      </c>
      <c r="BX128" s="3" t="s">
        <v>82</v>
      </c>
      <c r="BZ128" s="3" t="s">
        <v>86</v>
      </c>
      <c r="CB128" s="3" t="s">
        <v>84</v>
      </c>
      <c r="CD128" s="9">
        <v>31</v>
      </c>
      <c r="CE128" s="9"/>
      <c r="CF128" s="19"/>
      <c r="CG128" s="18"/>
      <c r="CH128" s="18"/>
      <c r="CI128" s="17"/>
    </row>
    <row r="129" spans="1:87" x14ac:dyDescent="0.15">
      <c r="A129" s="3">
        <v>1228312568</v>
      </c>
      <c r="B129" s="3" t="s">
        <v>372</v>
      </c>
      <c r="C129" s="3" t="s">
        <v>372</v>
      </c>
      <c r="D129" s="3">
        <v>3</v>
      </c>
      <c r="E129" s="3">
        <v>7</v>
      </c>
      <c r="F129" s="3">
        <v>25.117000000000001</v>
      </c>
      <c r="G129" s="3">
        <v>0</v>
      </c>
      <c r="H129" s="3" t="s">
        <v>81</v>
      </c>
      <c r="I129" s="3" t="s">
        <v>81</v>
      </c>
      <c r="J129" s="3" t="s">
        <v>81</v>
      </c>
      <c r="K129" s="3" t="s">
        <v>81</v>
      </c>
      <c r="L129" s="3" t="s">
        <v>81</v>
      </c>
      <c r="M129" s="3" t="s">
        <v>81</v>
      </c>
      <c r="N129" s="3" t="s">
        <v>81</v>
      </c>
      <c r="O129" s="3" t="s">
        <v>81</v>
      </c>
      <c r="P129" s="3" t="s">
        <v>81</v>
      </c>
      <c r="Q129" s="3">
        <v>26.907</v>
      </c>
      <c r="R129" s="3">
        <v>0</v>
      </c>
      <c r="S129" s="3" t="s">
        <v>81</v>
      </c>
      <c r="T129" s="3" t="s">
        <v>81</v>
      </c>
      <c r="U129" s="3" t="s">
        <v>81</v>
      </c>
      <c r="V129" s="3" t="s">
        <v>81</v>
      </c>
      <c r="W129" s="3" t="s">
        <v>81</v>
      </c>
      <c r="X129" s="3" t="s">
        <v>81</v>
      </c>
      <c r="Y129" s="3" t="s">
        <v>81</v>
      </c>
      <c r="Z129" s="3" t="s">
        <v>81</v>
      </c>
      <c r="AA129" s="3" t="s">
        <v>81</v>
      </c>
      <c r="AB129" s="3">
        <v>25.294</v>
      </c>
      <c r="AC129" s="3">
        <v>0</v>
      </c>
      <c r="AD129" s="3" t="s">
        <v>81</v>
      </c>
      <c r="AE129" s="3" t="s">
        <v>81</v>
      </c>
      <c r="AF129" s="3" t="s">
        <v>81</v>
      </c>
      <c r="AG129" s="3" t="s">
        <v>81</v>
      </c>
      <c r="AH129" s="3" t="s">
        <v>81</v>
      </c>
      <c r="AI129" s="3" t="s">
        <v>81</v>
      </c>
      <c r="AJ129" s="3" t="s">
        <v>81</v>
      </c>
      <c r="AK129" s="3" t="s">
        <v>81</v>
      </c>
      <c r="AL129" s="3" t="s">
        <v>81</v>
      </c>
      <c r="AM129" s="3">
        <v>30.125</v>
      </c>
      <c r="AN129" s="3">
        <v>0</v>
      </c>
      <c r="AO129" s="3" t="s">
        <v>81</v>
      </c>
      <c r="AP129" s="3" t="s">
        <v>81</v>
      </c>
      <c r="AQ129" s="3" t="s">
        <v>81</v>
      </c>
      <c r="AR129" s="3" t="s">
        <v>81</v>
      </c>
      <c r="AS129" s="3" t="s">
        <v>81</v>
      </c>
      <c r="AT129" s="3" t="s">
        <v>81</v>
      </c>
      <c r="AU129" s="3" t="s">
        <v>81</v>
      </c>
      <c r="AV129" s="3" t="s">
        <v>81</v>
      </c>
      <c r="AW129" s="3" t="s">
        <v>81</v>
      </c>
      <c r="AX129" s="3">
        <v>31.263000000000002</v>
      </c>
      <c r="AY129" s="3">
        <v>0</v>
      </c>
      <c r="AZ129" s="3" t="s">
        <v>81</v>
      </c>
      <c r="BA129" s="3" t="s">
        <v>81</v>
      </c>
      <c r="BB129" s="3" t="s">
        <v>81</v>
      </c>
      <c r="BC129" s="3" t="s">
        <v>81</v>
      </c>
      <c r="BD129" s="3" t="s">
        <v>81</v>
      </c>
      <c r="BE129" s="3" t="s">
        <v>81</v>
      </c>
      <c r="BF129" s="3" t="s">
        <v>81</v>
      </c>
      <c r="BG129" s="3" t="s">
        <v>81</v>
      </c>
      <c r="BH129" s="3" t="s">
        <v>81</v>
      </c>
      <c r="BI129" s="3" t="s">
        <v>82</v>
      </c>
      <c r="BJ129" s="3" t="s">
        <v>84</v>
      </c>
      <c r="BK129" s="3" t="s">
        <v>84</v>
      </c>
      <c r="BL129" s="3" t="s">
        <v>83</v>
      </c>
      <c r="BM129" s="3" t="s">
        <v>83</v>
      </c>
      <c r="BN129" s="3" t="s">
        <v>83</v>
      </c>
      <c r="BO129" s="3" t="s">
        <v>82</v>
      </c>
      <c r="BP129" s="3" t="s">
        <v>85</v>
      </c>
      <c r="BQ129" s="3" t="s">
        <v>85</v>
      </c>
      <c r="BR129" s="3" t="s">
        <v>85</v>
      </c>
      <c r="BS129" s="3" t="s">
        <v>85</v>
      </c>
      <c r="BT129" s="3" t="s">
        <v>85</v>
      </c>
      <c r="BU129" s="3" t="s">
        <v>81</v>
      </c>
      <c r="BV129" s="3" t="s">
        <v>83</v>
      </c>
      <c r="BW129" s="3" t="s">
        <v>83</v>
      </c>
      <c r="BX129" s="3" t="s">
        <v>83</v>
      </c>
      <c r="BY129" s="3" t="s">
        <v>373</v>
      </c>
      <c r="BZ129" s="3" t="s">
        <v>93</v>
      </c>
      <c r="CB129" s="3" t="s">
        <v>84</v>
      </c>
      <c r="CD129" s="9">
        <v>7</v>
      </c>
      <c r="CE129" s="9">
        <v>7</v>
      </c>
      <c r="CF129" s="19">
        <v>4</v>
      </c>
      <c r="CG129" s="18"/>
      <c r="CH129" s="18"/>
      <c r="CI129" s="17"/>
    </row>
    <row r="130" spans="1:87" x14ac:dyDescent="0.15">
      <c r="A130" s="3">
        <v>1228490871</v>
      </c>
      <c r="B130" s="3" t="s">
        <v>372</v>
      </c>
      <c r="C130" s="3" t="s">
        <v>372</v>
      </c>
      <c r="D130" s="3">
        <v>3</v>
      </c>
      <c r="E130" s="3">
        <v>10</v>
      </c>
      <c r="F130" s="3">
        <v>27.803000000000001</v>
      </c>
      <c r="G130" s="3">
        <v>0</v>
      </c>
      <c r="H130" s="3" t="s">
        <v>81</v>
      </c>
      <c r="I130" s="3" t="s">
        <v>81</v>
      </c>
      <c r="J130" s="3" t="s">
        <v>81</v>
      </c>
      <c r="K130" s="3" t="s">
        <v>81</v>
      </c>
      <c r="L130" s="3" t="s">
        <v>81</v>
      </c>
      <c r="M130" s="3" t="s">
        <v>81</v>
      </c>
      <c r="N130" s="3" t="s">
        <v>81</v>
      </c>
      <c r="O130" s="3" t="s">
        <v>81</v>
      </c>
      <c r="P130" s="3" t="s">
        <v>81</v>
      </c>
      <c r="Q130" s="3">
        <v>26.687000000000001</v>
      </c>
      <c r="R130" s="3">
        <v>0</v>
      </c>
      <c r="S130" s="3" t="s">
        <v>81</v>
      </c>
      <c r="T130" s="3" t="s">
        <v>81</v>
      </c>
      <c r="U130" s="3" t="s">
        <v>81</v>
      </c>
      <c r="V130" s="3" t="s">
        <v>81</v>
      </c>
      <c r="W130" s="3" t="s">
        <v>81</v>
      </c>
      <c r="X130" s="3" t="s">
        <v>81</v>
      </c>
      <c r="Y130" s="3" t="s">
        <v>81</v>
      </c>
      <c r="Z130" s="3" t="s">
        <v>81</v>
      </c>
      <c r="AA130" s="3" t="s">
        <v>81</v>
      </c>
      <c r="AB130" s="3">
        <v>23.422999999999998</v>
      </c>
      <c r="AC130" s="3">
        <v>0</v>
      </c>
      <c r="AD130" s="3" t="s">
        <v>81</v>
      </c>
      <c r="AE130" s="3" t="s">
        <v>81</v>
      </c>
      <c r="AF130" s="3" t="s">
        <v>81</v>
      </c>
      <c r="AG130" s="3" t="s">
        <v>81</v>
      </c>
      <c r="AH130" s="3" t="s">
        <v>81</v>
      </c>
      <c r="AI130" s="3" t="s">
        <v>81</v>
      </c>
      <c r="AJ130" s="3" t="s">
        <v>81</v>
      </c>
      <c r="AK130" s="3" t="s">
        <v>81</v>
      </c>
      <c r="AL130" s="3" t="s">
        <v>81</v>
      </c>
      <c r="AM130" s="3">
        <v>24.754000000000001</v>
      </c>
      <c r="AN130" s="3">
        <v>0</v>
      </c>
      <c r="AO130" s="3" t="s">
        <v>81</v>
      </c>
      <c r="AP130" s="3" t="s">
        <v>81</v>
      </c>
      <c r="AQ130" s="3" t="s">
        <v>81</v>
      </c>
      <c r="AR130" s="3" t="s">
        <v>81</v>
      </c>
      <c r="AS130" s="3" t="s">
        <v>81</v>
      </c>
      <c r="AT130" s="3" t="s">
        <v>81</v>
      </c>
      <c r="AU130" s="3" t="s">
        <v>81</v>
      </c>
      <c r="AV130" s="3" t="s">
        <v>81</v>
      </c>
      <c r="AW130" s="3" t="s">
        <v>81</v>
      </c>
      <c r="AX130" s="3">
        <v>24.527999999999999</v>
      </c>
      <c r="AY130" s="3">
        <v>0</v>
      </c>
      <c r="AZ130" s="3" t="s">
        <v>81</v>
      </c>
      <c r="BA130" s="3" t="s">
        <v>81</v>
      </c>
      <c r="BB130" s="3" t="s">
        <v>81</v>
      </c>
      <c r="BC130" s="3" t="s">
        <v>81</v>
      </c>
      <c r="BD130" s="3" t="s">
        <v>81</v>
      </c>
      <c r="BE130" s="3" t="s">
        <v>81</v>
      </c>
      <c r="BF130" s="3" t="s">
        <v>81</v>
      </c>
      <c r="BG130" s="3" t="s">
        <v>81</v>
      </c>
      <c r="BH130" s="3" t="s">
        <v>81</v>
      </c>
      <c r="BI130" s="3" t="s">
        <v>82</v>
      </c>
      <c r="BJ130" s="3" t="s">
        <v>84</v>
      </c>
      <c r="BK130" s="3" t="s">
        <v>84</v>
      </c>
      <c r="BL130" s="3" t="s">
        <v>84</v>
      </c>
      <c r="BM130" s="3" t="s">
        <v>84</v>
      </c>
      <c r="BN130" s="3" t="s">
        <v>84</v>
      </c>
      <c r="BO130" s="3" t="s">
        <v>82</v>
      </c>
      <c r="BP130" s="3" t="s">
        <v>218</v>
      </c>
      <c r="BQ130" s="3" t="s">
        <v>218</v>
      </c>
      <c r="BR130" s="3" t="s">
        <v>218</v>
      </c>
      <c r="BS130" s="3" t="s">
        <v>218</v>
      </c>
      <c r="BT130" s="3" t="s">
        <v>85</v>
      </c>
      <c r="BU130" s="3" t="s">
        <v>81</v>
      </c>
      <c r="BV130" s="3" t="s">
        <v>84</v>
      </c>
      <c r="BW130" s="3" t="s">
        <v>83</v>
      </c>
      <c r="BX130" s="3" t="s">
        <v>82</v>
      </c>
      <c r="BZ130" s="3" t="s">
        <v>93</v>
      </c>
      <c r="CB130" s="3" t="s">
        <v>84</v>
      </c>
      <c r="CD130" s="9">
        <v>14</v>
      </c>
      <c r="CE130" s="9">
        <v>10</v>
      </c>
      <c r="CF130" s="19"/>
      <c r="CG130" s="18"/>
      <c r="CH130" s="18"/>
      <c r="CI130" s="18"/>
    </row>
    <row r="131" spans="1:87" x14ac:dyDescent="0.15">
      <c r="A131" s="3">
        <v>2625868839</v>
      </c>
      <c r="B131" s="3" t="s">
        <v>372</v>
      </c>
      <c r="C131" s="3" t="s">
        <v>372</v>
      </c>
      <c r="D131" s="3">
        <v>4</v>
      </c>
      <c r="E131" s="3">
        <v>5</v>
      </c>
      <c r="F131" s="3">
        <v>21.073</v>
      </c>
      <c r="G131" s="3">
        <v>0</v>
      </c>
      <c r="H131" s="3" t="s">
        <v>81</v>
      </c>
      <c r="I131" s="3" t="s">
        <v>81</v>
      </c>
      <c r="J131" s="3" t="s">
        <v>81</v>
      </c>
      <c r="K131" s="3" t="s">
        <v>81</v>
      </c>
      <c r="L131" s="3" t="s">
        <v>81</v>
      </c>
      <c r="M131" s="3" t="s">
        <v>81</v>
      </c>
      <c r="N131" s="3" t="s">
        <v>81</v>
      </c>
      <c r="O131" s="3" t="s">
        <v>81</v>
      </c>
      <c r="P131" s="3" t="s">
        <v>81</v>
      </c>
      <c r="Q131" s="3">
        <v>20.811</v>
      </c>
      <c r="R131" s="3">
        <v>0</v>
      </c>
      <c r="S131" s="3" t="s">
        <v>81</v>
      </c>
      <c r="T131" s="3" t="s">
        <v>81</v>
      </c>
      <c r="U131" s="3" t="s">
        <v>81</v>
      </c>
      <c r="V131" s="3" t="s">
        <v>81</v>
      </c>
      <c r="W131" s="3" t="s">
        <v>81</v>
      </c>
      <c r="X131" s="3" t="s">
        <v>81</v>
      </c>
      <c r="Y131" s="3" t="s">
        <v>81</v>
      </c>
      <c r="Z131" s="3" t="s">
        <v>81</v>
      </c>
      <c r="AA131" s="3" t="s">
        <v>81</v>
      </c>
      <c r="AB131" s="3">
        <v>21.244</v>
      </c>
      <c r="AC131" s="3">
        <v>0</v>
      </c>
      <c r="AD131" s="3" t="s">
        <v>81</v>
      </c>
      <c r="AE131" s="3" t="s">
        <v>81</v>
      </c>
      <c r="AF131" s="3" t="s">
        <v>81</v>
      </c>
      <c r="AG131" s="3" t="s">
        <v>81</v>
      </c>
      <c r="AH131" s="3" t="s">
        <v>81</v>
      </c>
      <c r="AI131" s="3" t="s">
        <v>81</v>
      </c>
      <c r="AJ131" s="3" t="s">
        <v>81</v>
      </c>
      <c r="AK131" s="3" t="s">
        <v>81</v>
      </c>
      <c r="AL131" s="3" t="s">
        <v>81</v>
      </c>
      <c r="AM131" s="3">
        <v>21.228000000000002</v>
      </c>
      <c r="AN131" s="3">
        <v>0</v>
      </c>
      <c r="AO131" s="3" t="s">
        <v>81</v>
      </c>
      <c r="AP131" s="3" t="s">
        <v>81</v>
      </c>
      <c r="AQ131" s="3" t="s">
        <v>81</v>
      </c>
      <c r="AR131" s="3" t="s">
        <v>81</v>
      </c>
      <c r="AS131" s="3" t="s">
        <v>81</v>
      </c>
      <c r="AT131" s="3" t="s">
        <v>81</v>
      </c>
      <c r="AU131" s="3" t="s">
        <v>81</v>
      </c>
      <c r="AV131" s="3" t="s">
        <v>81</v>
      </c>
      <c r="AW131" s="3" t="s">
        <v>81</v>
      </c>
      <c r="AX131" s="3">
        <v>21.177</v>
      </c>
      <c r="AY131" s="3">
        <v>0</v>
      </c>
      <c r="AZ131" s="3" t="s">
        <v>81</v>
      </c>
      <c r="BA131" s="3" t="s">
        <v>81</v>
      </c>
      <c r="BB131" s="3" t="s">
        <v>81</v>
      </c>
      <c r="BC131" s="3" t="s">
        <v>81</v>
      </c>
      <c r="BD131" s="3" t="s">
        <v>81</v>
      </c>
      <c r="BE131" s="3" t="s">
        <v>81</v>
      </c>
      <c r="BF131" s="3" t="s">
        <v>81</v>
      </c>
      <c r="BG131" s="3" t="s">
        <v>81</v>
      </c>
      <c r="BH131" s="3" t="s">
        <v>81</v>
      </c>
      <c r="BI131" s="3" t="s">
        <v>84</v>
      </c>
      <c r="BJ131" s="3" t="s">
        <v>82</v>
      </c>
      <c r="BK131" s="3" t="s">
        <v>83</v>
      </c>
      <c r="BL131" s="3" t="s">
        <v>84</v>
      </c>
      <c r="BM131" s="3" t="s">
        <v>84</v>
      </c>
      <c r="BN131" s="3" t="s">
        <v>84</v>
      </c>
      <c r="BO131" s="3" t="s">
        <v>82</v>
      </c>
      <c r="BP131" s="3" t="s">
        <v>188</v>
      </c>
      <c r="BQ131" s="3" t="s">
        <v>188</v>
      </c>
      <c r="BR131" s="3" t="s">
        <v>188</v>
      </c>
      <c r="BS131" s="3" t="s">
        <v>188</v>
      </c>
      <c r="BT131" s="3" t="s">
        <v>85</v>
      </c>
      <c r="BU131" s="3" t="s">
        <v>81</v>
      </c>
      <c r="BV131" s="3" t="s">
        <v>84</v>
      </c>
      <c r="BW131" s="3" t="s">
        <v>83</v>
      </c>
      <c r="BX131" s="3" t="s">
        <v>82</v>
      </c>
      <c r="BZ131" s="3" t="s">
        <v>86</v>
      </c>
      <c r="CB131" s="3" t="s">
        <v>84</v>
      </c>
      <c r="CD131" s="9">
        <v>6</v>
      </c>
      <c r="CE131" s="9">
        <v>3</v>
      </c>
      <c r="CF131" s="19"/>
      <c r="CG131" s="18"/>
      <c r="CH131" s="18"/>
      <c r="CI131" s="18"/>
    </row>
    <row r="132" spans="1:87" x14ac:dyDescent="0.15">
      <c r="A132" s="3">
        <v>1318223189</v>
      </c>
      <c r="B132" s="3" t="s">
        <v>375</v>
      </c>
      <c r="C132" s="3" t="s">
        <v>376</v>
      </c>
      <c r="D132" s="3">
        <v>4</v>
      </c>
      <c r="E132" s="3">
        <v>4</v>
      </c>
      <c r="F132" s="3">
        <v>186.96299999999999</v>
      </c>
      <c r="G132" s="3">
        <v>3</v>
      </c>
      <c r="H132" s="3">
        <v>75.453000000000003</v>
      </c>
      <c r="I132" s="3" t="s">
        <v>81</v>
      </c>
      <c r="J132" s="3">
        <v>68.495999999999995</v>
      </c>
      <c r="K132" s="3">
        <v>25.056999999999999</v>
      </c>
      <c r="L132" s="3" t="s">
        <v>81</v>
      </c>
      <c r="M132" s="3" t="s">
        <v>81</v>
      </c>
      <c r="N132" s="3" t="s">
        <v>81</v>
      </c>
      <c r="O132" s="3" t="s">
        <v>81</v>
      </c>
      <c r="P132" s="3" t="s">
        <v>81</v>
      </c>
      <c r="Q132" s="3">
        <v>182.12200000000001</v>
      </c>
      <c r="R132" s="3">
        <v>0</v>
      </c>
      <c r="S132" s="3">
        <v>80.56</v>
      </c>
      <c r="T132" s="3">
        <v>26.135000000000002</v>
      </c>
      <c r="U132" s="3">
        <v>67.477999999999994</v>
      </c>
      <c r="V132" s="3">
        <v>24.004000000000001</v>
      </c>
      <c r="W132" s="3">
        <v>27.170999999999999</v>
      </c>
      <c r="X132" s="3">
        <v>7.6379999999999999</v>
      </c>
      <c r="Y132" s="3">
        <v>5.3209999999999997</v>
      </c>
      <c r="Z132" s="3" t="s">
        <v>81</v>
      </c>
      <c r="AA132" s="3" t="s">
        <v>81</v>
      </c>
      <c r="AB132" s="3">
        <v>189.05699999999999</v>
      </c>
      <c r="AC132" s="3">
        <v>3</v>
      </c>
      <c r="AD132" s="3">
        <v>77.02</v>
      </c>
      <c r="AE132" s="3">
        <v>26.718</v>
      </c>
      <c r="AF132" s="3">
        <v>72.911000000000001</v>
      </c>
      <c r="AG132" s="3">
        <v>22.413</v>
      </c>
      <c r="AH132" s="3">
        <v>30.681999999999999</v>
      </c>
      <c r="AI132" s="3">
        <v>5.3890000000000002</v>
      </c>
      <c r="AJ132" s="3">
        <v>4.5819999999999999</v>
      </c>
      <c r="AK132" s="3" t="s">
        <v>81</v>
      </c>
      <c r="AL132" s="3" t="s">
        <v>81</v>
      </c>
      <c r="AM132" s="3" t="s">
        <v>81</v>
      </c>
      <c r="AN132" s="3" t="s">
        <v>81</v>
      </c>
      <c r="AO132" s="3" t="s">
        <v>81</v>
      </c>
      <c r="AP132" s="3" t="s">
        <v>81</v>
      </c>
      <c r="AQ132" s="3" t="s">
        <v>81</v>
      </c>
      <c r="AR132" s="3" t="s">
        <v>81</v>
      </c>
      <c r="AS132" s="3" t="s">
        <v>81</v>
      </c>
      <c r="AT132" s="3" t="s">
        <v>81</v>
      </c>
      <c r="AU132" s="3" t="s">
        <v>81</v>
      </c>
      <c r="AV132" s="3" t="s">
        <v>81</v>
      </c>
      <c r="AW132" s="3" t="s">
        <v>81</v>
      </c>
      <c r="AX132" s="3" t="s">
        <v>81</v>
      </c>
      <c r="AY132" s="3" t="s">
        <v>81</v>
      </c>
      <c r="AZ132" s="3" t="s">
        <v>81</v>
      </c>
      <c r="BA132" s="3" t="s">
        <v>81</v>
      </c>
      <c r="BB132" s="3" t="s">
        <v>81</v>
      </c>
      <c r="BC132" s="3" t="s">
        <v>81</v>
      </c>
      <c r="BD132" s="3" t="s">
        <v>81</v>
      </c>
      <c r="BE132" s="3" t="s">
        <v>81</v>
      </c>
      <c r="BF132" s="3" t="s">
        <v>81</v>
      </c>
      <c r="BG132" s="3" t="s">
        <v>81</v>
      </c>
      <c r="BH132" s="3" t="s">
        <v>81</v>
      </c>
      <c r="BI132" s="3" t="s">
        <v>84</v>
      </c>
      <c r="BJ132" s="3" t="s">
        <v>82</v>
      </c>
      <c r="BK132" s="3" t="s">
        <v>83</v>
      </c>
      <c r="BL132" s="3" t="s">
        <v>84</v>
      </c>
      <c r="BM132" s="3" t="s">
        <v>84</v>
      </c>
      <c r="BN132" s="3" t="s">
        <v>82</v>
      </c>
      <c r="BO132" s="3" t="s">
        <v>84</v>
      </c>
      <c r="BP132" s="3" t="s">
        <v>106</v>
      </c>
      <c r="BQ132" s="3" t="s">
        <v>106</v>
      </c>
      <c r="BR132" s="3" t="s">
        <v>106</v>
      </c>
      <c r="BS132" s="3" t="s">
        <v>377</v>
      </c>
      <c r="BT132" s="3" t="s">
        <v>106</v>
      </c>
      <c r="BU132" s="3" t="s">
        <v>81</v>
      </c>
      <c r="BV132" s="3" t="s">
        <v>82</v>
      </c>
      <c r="BW132" s="3" t="s">
        <v>111</v>
      </c>
      <c r="BX132" s="3" t="s">
        <v>82</v>
      </c>
      <c r="BY132" s="3" t="s">
        <v>378</v>
      </c>
      <c r="BZ132" s="3" t="s">
        <v>86</v>
      </c>
      <c r="CB132" s="3" t="s">
        <v>84</v>
      </c>
      <c r="CD132" s="9">
        <v>13</v>
      </c>
      <c r="CE132" s="9"/>
      <c r="CF132" s="18"/>
      <c r="CG132" s="18"/>
      <c r="CH132" s="18"/>
      <c r="CI132" s="17"/>
    </row>
    <row r="133" spans="1:87" x14ac:dyDescent="0.15">
      <c r="A133" s="3">
        <v>2625896710</v>
      </c>
      <c r="B133" s="3" t="s">
        <v>375</v>
      </c>
      <c r="C133" s="3" t="s">
        <v>376</v>
      </c>
      <c r="D133" s="3">
        <v>3</v>
      </c>
      <c r="E133" s="3">
        <v>4</v>
      </c>
      <c r="F133" s="3">
        <v>82.575999999999993</v>
      </c>
      <c r="G133" s="3">
        <v>3</v>
      </c>
      <c r="H133" s="3">
        <v>45.11</v>
      </c>
      <c r="I133" s="3">
        <v>16.210999999999999</v>
      </c>
      <c r="J133" s="3">
        <v>29.946000000000002</v>
      </c>
      <c r="K133" s="3">
        <v>5.4740000000000002</v>
      </c>
      <c r="L133" s="3">
        <v>3.9119999999999999</v>
      </c>
      <c r="M133" s="3">
        <v>1.974</v>
      </c>
      <c r="N133" s="3">
        <v>1.411</v>
      </c>
      <c r="O133" s="3" t="s">
        <v>81</v>
      </c>
      <c r="P133" s="3" t="s">
        <v>81</v>
      </c>
      <c r="Q133" s="3">
        <v>90.454999999999998</v>
      </c>
      <c r="R133" s="3">
        <v>3</v>
      </c>
      <c r="S133" s="3">
        <v>50.881</v>
      </c>
      <c r="T133" s="3">
        <v>19.257000000000001</v>
      </c>
      <c r="U133" s="3">
        <v>30.141999999999999</v>
      </c>
      <c r="V133" s="3">
        <v>8.4489999999999998</v>
      </c>
      <c r="W133" s="3">
        <v>6.6210000000000004</v>
      </c>
      <c r="X133" s="3">
        <v>2.9079999999999999</v>
      </c>
      <c r="Y133" s="3">
        <v>1.9790000000000001</v>
      </c>
      <c r="Z133" s="3" t="s">
        <v>81</v>
      </c>
      <c r="AA133" s="3" t="s">
        <v>81</v>
      </c>
      <c r="AB133" s="3">
        <v>84.971000000000004</v>
      </c>
      <c r="AC133" s="3">
        <v>3</v>
      </c>
      <c r="AD133" s="3">
        <v>46.34</v>
      </c>
      <c r="AE133" s="3">
        <v>17.434999999999999</v>
      </c>
      <c r="AF133" s="3">
        <v>27.792000000000002</v>
      </c>
      <c r="AG133" s="3">
        <v>9.1140000000000008</v>
      </c>
      <c r="AH133" s="3">
        <v>7.0869999999999997</v>
      </c>
      <c r="AI133" s="3">
        <v>2.3969999999999998</v>
      </c>
      <c r="AJ133" s="3">
        <v>1.093</v>
      </c>
      <c r="AK133" s="3" t="s">
        <v>81</v>
      </c>
      <c r="AL133" s="3" t="s">
        <v>81</v>
      </c>
      <c r="AM133" s="3" t="s">
        <v>81</v>
      </c>
      <c r="AN133" s="3" t="s">
        <v>81</v>
      </c>
      <c r="AO133" s="3" t="s">
        <v>81</v>
      </c>
      <c r="AP133" s="3" t="s">
        <v>81</v>
      </c>
      <c r="AQ133" s="3" t="s">
        <v>81</v>
      </c>
      <c r="AR133" s="3" t="s">
        <v>81</v>
      </c>
      <c r="AS133" s="3" t="s">
        <v>81</v>
      </c>
      <c r="AT133" s="3" t="s">
        <v>81</v>
      </c>
      <c r="AU133" s="3" t="s">
        <v>81</v>
      </c>
      <c r="AV133" s="3" t="s">
        <v>81</v>
      </c>
      <c r="AW133" s="3" t="s">
        <v>81</v>
      </c>
      <c r="AX133" s="3" t="s">
        <v>81</v>
      </c>
      <c r="AY133" s="3" t="s">
        <v>81</v>
      </c>
      <c r="AZ133" s="3" t="s">
        <v>81</v>
      </c>
      <c r="BA133" s="3" t="s">
        <v>81</v>
      </c>
      <c r="BB133" s="3" t="s">
        <v>81</v>
      </c>
      <c r="BC133" s="3" t="s">
        <v>81</v>
      </c>
      <c r="BD133" s="3" t="s">
        <v>81</v>
      </c>
      <c r="BE133" s="3" t="s">
        <v>81</v>
      </c>
      <c r="BF133" s="3" t="s">
        <v>81</v>
      </c>
      <c r="BG133" s="3" t="s">
        <v>81</v>
      </c>
      <c r="BH133" s="3" t="s">
        <v>81</v>
      </c>
      <c r="BI133" s="3" t="s">
        <v>84</v>
      </c>
      <c r="BJ133" s="3" t="s">
        <v>82</v>
      </c>
      <c r="BK133" s="3" t="s">
        <v>83</v>
      </c>
      <c r="BL133" s="3" t="s">
        <v>84</v>
      </c>
      <c r="BM133" s="3" t="s">
        <v>82</v>
      </c>
      <c r="BN133" s="3" t="s">
        <v>82</v>
      </c>
      <c r="BO133" s="3" t="s">
        <v>83</v>
      </c>
      <c r="BP133" s="3" t="s">
        <v>106</v>
      </c>
      <c r="BQ133" s="3" t="s">
        <v>106</v>
      </c>
      <c r="BR133" s="3" t="s">
        <v>106</v>
      </c>
      <c r="BS133" s="3" t="s">
        <v>106</v>
      </c>
      <c r="BT133" s="3" t="s">
        <v>106</v>
      </c>
      <c r="BU133" s="3" t="s">
        <v>81</v>
      </c>
      <c r="BV133" s="3" t="s">
        <v>82</v>
      </c>
      <c r="BW133" s="3" t="s">
        <v>111</v>
      </c>
      <c r="BX133" s="3" t="s">
        <v>82</v>
      </c>
      <c r="BZ133" s="3" t="s">
        <v>86</v>
      </c>
      <c r="CB133" s="3" t="s">
        <v>84</v>
      </c>
      <c r="CD133" s="9">
        <v>9</v>
      </c>
      <c r="CE133" s="9"/>
      <c r="CF133" s="18"/>
      <c r="CG133" s="18"/>
      <c r="CH133" s="18"/>
      <c r="CI133" s="18"/>
    </row>
    <row r="134" spans="1:87" x14ac:dyDescent="0.15">
      <c r="A134" s="3">
        <v>2643381674</v>
      </c>
      <c r="B134" s="3" t="s">
        <v>375</v>
      </c>
      <c r="C134" s="3" t="s">
        <v>376</v>
      </c>
      <c r="D134" s="3">
        <v>3</v>
      </c>
      <c r="E134" s="3">
        <v>3</v>
      </c>
      <c r="F134" s="3">
        <v>206.16399999999999</v>
      </c>
      <c r="G134" s="3">
        <v>5</v>
      </c>
      <c r="H134" s="3">
        <v>73.462000000000003</v>
      </c>
      <c r="I134" s="3">
        <v>38.021000000000001</v>
      </c>
      <c r="J134" s="3">
        <v>45.341000000000001</v>
      </c>
      <c r="K134" s="3">
        <v>26.858000000000001</v>
      </c>
      <c r="L134" s="3">
        <v>22.294</v>
      </c>
      <c r="M134" s="3">
        <v>26.058</v>
      </c>
      <c r="N134" s="3">
        <v>17.837</v>
      </c>
      <c r="O134" s="3" t="s">
        <v>81</v>
      </c>
      <c r="P134" s="3">
        <v>17.248000000000001</v>
      </c>
      <c r="Q134" s="3">
        <v>212.97200000000001</v>
      </c>
      <c r="R134" s="3">
        <v>5</v>
      </c>
      <c r="S134" s="3">
        <v>77.33</v>
      </c>
      <c r="T134" s="3">
        <v>35.529000000000003</v>
      </c>
      <c r="U134" s="3">
        <v>40.415999999999997</v>
      </c>
      <c r="V134" s="3">
        <v>29.9</v>
      </c>
      <c r="W134" s="3">
        <v>26.111999999999998</v>
      </c>
      <c r="X134" s="3">
        <v>26.119</v>
      </c>
      <c r="Y134" s="3">
        <v>22.157</v>
      </c>
      <c r="Z134" s="3">
        <v>22.521999999999998</v>
      </c>
      <c r="AA134" s="3">
        <v>15.867000000000001</v>
      </c>
      <c r="AB134" s="3">
        <v>207.636</v>
      </c>
      <c r="AC134" s="3">
        <v>6</v>
      </c>
      <c r="AD134" s="3">
        <v>81.596000000000004</v>
      </c>
      <c r="AE134" s="3">
        <v>30.95</v>
      </c>
      <c r="AF134" s="3">
        <v>38.213999999999999</v>
      </c>
      <c r="AG134" s="3">
        <v>30.033999999999999</v>
      </c>
      <c r="AH134" s="3">
        <v>24.917000000000002</v>
      </c>
      <c r="AI134" s="3" t="s">
        <v>81</v>
      </c>
      <c r="AJ134" s="3">
        <v>21.004999999999999</v>
      </c>
      <c r="AK134" s="3">
        <v>20.978999999999999</v>
      </c>
      <c r="AL134" s="3">
        <v>14.39</v>
      </c>
      <c r="AM134" s="3" t="s">
        <v>81</v>
      </c>
      <c r="AN134" s="3" t="s">
        <v>81</v>
      </c>
      <c r="AO134" s="3" t="s">
        <v>81</v>
      </c>
      <c r="AP134" s="3" t="s">
        <v>81</v>
      </c>
      <c r="AQ134" s="3" t="s">
        <v>81</v>
      </c>
      <c r="AR134" s="3" t="s">
        <v>81</v>
      </c>
      <c r="AS134" s="3" t="s">
        <v>81</v>
      </c>
      <c r="AT134" s="3" t="s">
        <v>81</v>
      </c>
      <c r="AU134" s="3" t="s">
        <v>81</v>
      </c>
      <c r="AV134" s="3" t="s">
        <v>81</v>
      </c>
      <c r="AW134" s="3" t="s">
        <v>81</v>
      </c>
      <c r="AX134" s="3" t="s">
        <v>81</v>
      </c>
      <c r="AY134" s="3" t="s">
        <v>81</v>
      </c>
      <c r="AZ134" s="3" t="s">
        <v>81</v>
      </c>
      <c r="BA134" s="3" t="s">
        <v>81</v>
      </c>
      <c r="BB134" s="3" t="s">
        <v>81</v>
      </c>
      <c r="BC134" s="3" t="s">
        <v>81</v>
      </c>
      <c r="BD134" s="3" t="s">
        <v>81</v>
      </c>
      <c r="BE134" s="3" t="s">
        <v>81</v>
      </c>
      <c r="BF134" s="3" t="s">
        <v>81</v>
      </c>
      <c r="BG134" s="3" t="s">
        <v>81</v>
      </c>
      <c r="BH134" s="3" t="s">
        <v>81</v>
      </c>
      <c r="BI134" s="3" t="s">
        <v>84</v>
      </c>
      <c r="BJ134" s="3" t="s">
        <v>84</v>
      </c>
      <c r="BK134" s="3" t="s">
        <v>84</v>
      </c>
      <c r="BL134" s="3" t="s">
        <v>84</v>
      </c>
      <c r="BM134" s="3" t="s">
        <v>84</v>
      </c>
      <c r="BN134" s="3" t="s">
        <v>82</v>
      </c>
      <c r="BO134" s="3" t="s">
        <v>83</v>
      </c>
      <c r="BP134" s="3" t="s">
        <v>106</v>
      </c>
      <c r="BQ134" s="3" t="s">
        <v>106</v>
      </c>
      <c r="BR134" s="3" t="s">
        <v>106</v>
      </c>
      <c r="BS134" s="3" t="s">
        <v>106</v>
      </c>
      <c r="BT134" s="3" t="s">
        <v>106</v>
      </c>
      <c r="BU134" s="3" t="s">
        <v>81</v>
      </c>
      <c r="BV134" s="3" t="s">
        <v>82</v>
      </c>
      <c r="BW134" s="3" t="s">
        <v>111</v>
      </c>
      <c r="BX134" s="3" t="s">
        <v>82</v>
      </c>
      <c r="BZ134" s="3" t="s">
        <v>86</v>
      </c>
      <c r="CB134" s="3" t="s">
        <v>84</v>
      </c>
      <c r="CD134" s="9">
        <v>18</v>
      </c>
      <c r="CE134" s="9"/>
      <c r="CF134" s="18"/>
      <c r="CG134" s="18"/>
      <c r="CH134" s="18"/>
      <c r="CI134" s="18"/>
    </row>
    <row r="135" spans="1:87" x14ac:dyDescent="0.15">
      <c r="A135" s="3">
        <v>1228266180</v>
      </c>
      <c r="B135" s="3" t="s">
        <v>376</v>
      </c>
      <c r="C135" s="3" t="s">
        <v>376</v>
      </c>
      <c r="D135" s="3">
        <v>5</v>
      </c>
      <c r="E135" s="3">
        <v>5</v>
      </c>
      <c r="F135" s="3">
        <v>421.80399999999997</v>
      </c>
      <c r="G135" s="3">
        <v>6</v>
      </c>
      <c r="H135" s="3">
        <v>129.56700000000001</v>
      </c>
      <c r="I135" s="3">
        <v>32.421999999999997</v>
      </c>
      <c r="J135" s="3">
        <v>77.504999999999995</v>
      </c>
      <c r="K135" s="3">
        <v>37.281999999999996</v>
      </c>
      <c r="L135" s="3">
        <v>61.981000000000002</v>
      </c>
      <c r="M135" s="3">
        <v>34.993000000000002</v>
      </c>
      <c r="N135" s="3">
        <v>41.319000000000003</v>
      </c>
      <c r="O135" s="3">
        <v>35.347999999999999</v>
      </c>
      <c r="P135" s="3">
        <v>40.658999999999999</v>
      </c>
      <c r="Q135" s="3" t="s">
        <v>81</v>
      </c>
      <c r="R135" s="3">
        <v>7</v>
      </c>
      <c r="S135" s="3">
        <v>105.245</v>
      </c>
      <c r="T135" s="3">
        <v>29.027999999999999</v>
      </c>
      <c r="U135" s="3">
        <v>83.88</v>
      </c>
      <c r="V135" s="3">
        <v>33.314999999999998</v>
      </c>
      <c r="W135" s="3">
        <v>60.363</v>
      </c>
      <c r="X135" s="3">
        <v>41.442</v>
      </c>
      <c r="Y135" s="3">
        <v>58.826999999999998</v>
      </c>
      <c r="Z135" s="3">
        <v>36.003999999999998</v>
      </c>
      <c r="AA135" s="3">
        <v>49.957999999999998</v>
      </c>
      <c r="AB135" s="3" t="s">
        <v>81</v>
      </c>
      <c r="AC135" s="3" t="s">
        <v>81</v>
      </c>
      <c r="AD135" s="3" t="s">
        <v>81</v>
      </c>
      <c r="AE135" s="3" t="s">
        <v>81</v>
      </c>
      <c r="AF135" s="3" t="s">
        <v>81</v>
      </c>
      <c r="AG135" s="3" t="s">
        <v>81</v>
      </c>
      <c r="AH135" s="3" t="s">
        <v>81</v>
      </c>
      <c r="AI135" s="3" t="s">
        <v>81</v>
      </c>
      <c r="AJ135" s="3" t="s">
        <v>81</v>
      </c>
      <c r="AK135" s="3" t="s">
        <v>81</v>
      </c>
      <c r="AL135" s="3" t="s">
        <v>81</v>
      </c>
      <c r="AM135" s="3" t="s">
        <v>81</v>
      </c>
      <c r="AN135" s="3" t="s">
        <v>81</v>
      </c>
      <c r="AO135" s="3" t="s">
        <v>81</v>
      </c>
      <c r="AP135" s="3" t="s">
        <v>81</v>
      </c>
      <c r="AQ135" s="3" t="s">
        <v>81</v>
      </c>
      <c r="AR135" s="3" t="s">
        <v>81</v>
      </c>
      <c r="AS135" s="3" t="s">
        <v>81</v>
      </c>
      <c r="AT135" s="3" t="s">
        <v>81</v>
      </c>
      <c r="AU135" s="3" t="s">
        <v>81</v>
      </c>
      <c r="AV135" s="3" t="s">
        <v>81</v>
      </c>
      <c r="AW135" s="3" t="s">
        <v>81</v>
      </c>
      <c r="AX135" s="3" t="s">
        <v>81</v>
      </c>
      <c r="AY135" s="3" t="s">
        <v>81</v>
      </c>
      <c r="AZ135" s="3" t="s">
        <v>81</v>
      </c>
      <c r="BA135" s="3" t="s">
        <v>81</v>
      </c>
      <c r="BB135" s="3" t="s">
        <v>81</v>
      </c>
      <c r="BC135" s="3" t="s">
        <v>81</v>
      </c>
      <c r="BD135" s="3" t="s">
        <v>81</v>
      </c>
      <c r="BE135" s="3" t="s">
        <v>81</v>
      </c>
      <c r="BF135" s="3" t="s">
        <v>81</v>
      </c>
      <c r="BG135" s="3" t="s">
        <v>81</v>
      </c>
      <c r="BH135" s="3" t="s">
        <v>81</v>
      </c>
      <c r="BI135" s="3" t="s">
        <v>84</v>
      </c>
      <c r="BJ135" s="3" t="s">
        <v>84</v>
      </c>
      <c r="BK135" s="3" t="s">
        <v>84</v>
      </c>
      <c r="BL135" s="3" t="s">
        <v>84</v>
      </c>
      <c r="BM135" s="3" t="s">
        <v>84</v>
      </c>
      <c r="BN135" s="3" t="s">
        <v>82</v>
      </c>
      <c r="BO135" s="3" t="s">
        <v>84</v>
      </c>
      <c r="BP135" s="3" t="s">
        <v>106</v>
      </c>
      <c r="BQ135" s="3" t="s">
        <v>106</v>
      </c>
      <c r="BR135" s="3" t="s">
        <v>205</v>
      </c>
      <c r="BS135" s="3" t="s">
        <v>379</v>
      </c>
      <c r="BT135" s="3" t="s">
        <v>106</v>
      </c>
      <c r="BU135" s="3" t="s">
        <v>205</v>
      </c>
      <c r="BV135" s="3" t="s">
        <v>82</v>
      </c>
      <c r="BW135" s="3" t="s">
        <v>111</v>
      </c>
      <c r="BX135" s="3" t="s">
        <v>82</v>
      </c>
      <c r="BY135" s="3" t="s">
        <v>380</v>
      </c>
      <c r="BZ135" s="3" t="s">
        <v>93</v>
      </c>
      <c r="CB135" s="3" t="s">
        <v>84</v>
      </c>
      <c r="CD135" s="9">
        <v>8</v>
      </c>
      <c r="CE135" s="9">
        <v>7</v>
      </c>
      <c r="CF135" s="18"/>
      <c r="CG135" s="18"/>
      <c r="CH135" s="18"/>
      <c r="CI135" s="17"/>
    </row>
    <row r="136" spans="1:87" x14ac:dyDescent="0.15">
      <c r="A136" s="3">
        <v>1228371759</v>
      </c>
      <c r="B136" s="3" t="s">
        <v>376</v>
      </c>
      <c r="C136" s="3" t="s">
        <v>376</v>
      </c>
      <c r="D136" s="3">
        <v>2</v>
      </c>
      <c r="E136" s="3">
        <v>2</v>
      </c>
      <c r="F136" s="3">
        <v>129.69</v>
      </c>
      <c r="G136" s="3">
        <v>4</v>
      </c>
      <c r="H136" s="3">
        <v>48.566000000000003</v>
      </c>
      <c r="I136" s="3">
        <v>22.481999999999999</v>
      </c>
      <c r="J136" s="3">
        <v>41.018999999999998</v>
      </c>
      <c r="K136" s="3">
        <v>15.916</v>
      </c>
      <c r="L136" s="3">
        <v>22.805</v>
      </c>
      <c r="M136" s="3">
        <v>16.798999999999999</v>
      </c>
      <c r="N136" s="3">
        <v>12.548999999999999</v>
      </c>
      <c r="O136" s="3">
        <v>29.216000000000001</v>
      </c>
      <c r="P136" s="3">
        <v>1.0169999999999999</v>
      </c>
      <c r="Q136" s="3" t="s">
        <v>81</v>
      </c>
      <c r="R136" s="3" t="s">
        <v>81</v>
      </c>
      <c r="S136" s="3" t="s">
        <v>81</v>
      </c>
      <c r="T136" s="3" t="s">
        <v>81</v>
      </c>
      <c r="U136" s="3" t="s">
        <v>81</v>
      </c>
      <c r="V136" s="3" t="s">
        <v>81</v>
      </c>
      <c r="W136" s="3" t="s">
        <v>81</v>
      </c>
      <c r="X136" s="3" t="s">
        <v>81</v>
      </c>
      <c r="Y136" s="3" t="s">
        <v>81</v>
      </c>
      <c r="Z136" s="3" t="s">
        <v>81</v>
      </c>
      <c r="AA136" s="3" t="s">
        <v>81</v>
      </c>
      <c r="AB136" s="3" t="s">
        <v>81</v>
      </c>
      <c r="AC136" s="3" t="s">
        <v>81</v>
      </c>
      <c r="AD136" s="3" t="s">
        <v>81</v>
      </c>
      <c r="AE136" s="3" t="s">
        <v>81</v>
      </c>
      <c r="AF136" s="3" t="s">
        <v>81</v>
      </c>
      <c r="AG136" s="3" t="s">
        <v>81</v>
      </c>
      <c r="AH136" s="3" t="s">
        <v>81</v>
      </c>
      <c r="AI136" s="3" t="s">
        <v>81</v>
      </c>
      <c r="AJ136" s="3" t="s">
        <v>81</v>
      </c>
      <c r="AK136" s="3" t="s">
        <v>81</v>
      </c>
      <c r="AL136" s="3" t="s">
        <v>81</v>
      </c>
      <c r="AM136" s="3" t="s">
        <v>81</v>
      </c>
      <c r="AN136" s="3" t="s">
        <v>81</v>
      </c>
      <c r="AO136" s="3" t="s">
        <v>81</v>
      </c>
      <c r="AP136" s="3" t="s">
        <v>81</v>
      </c>
      <c r="AQ136" s="3" t="s">
        <v>81</v>
      </c>
      <c r="AR136" s="3" t="s">
        <v>81</v>
      </c>
      <c r="AS136" s="3" t="s">
        <v>81</v>
      </c>
      <c r="AT136" s="3" t="s">
        <v>81</v>
      </c>
      <c r="AU136" s="3" t="s">
        <v>81</v>
      </c>
      <c r="AV136" s="3" t="s">
        <v>81</v>
      </c>
      <c r="AW136" s="3" t="s">
        <v>81</v>
      </c>
      <c r="AX136" s="3" t="s">
        <v>81</v>
      </c>
      <c r="AY136" s="3" t="s">
        <v>81</v>
      </c>
      <c r="AZ136" s="3" t="s">
        <v>81</v>
      </c>
      <c r="BA136" s="3" t="s">
        <v>81</v>
      </c>
      <c r="BB136" s="3" t="s">
        <v>81</v>
      </c>
      <c r="BC136" s="3" t="s">
        <v>81</v>
      </c>
      <c r="BD136" s="3" t="s">
        <v>81</v>
      </c>
      <c r="BE136" s="3" t="s">
        <v>81</v>
      </c>
      <c r="BF136" s="3" t="s">
        <v>81</v>
      </c>
      <c r="BG136" s="3" t="s">
        <v>81</v>
      </c>
      <c r="BH136" s="3" t="s">
        <v>81</v>
      </c>
      <c r="BI136" s="3" t="s">
        <v>84</v>
      </c>
      <c r="BJ136" s="3" t="s">
        <v>84</v>
      </c>
      <c r="BK136" s="3" t="s">
        <v>84</v>
      </c>
      <c r="BL136" s="3" t="s">
        <v>84</v>
      </c>
      <c r="BM136" s="3" t="s">
        <v>84</v>
      </c>
      <c r="BN136" s="3" t="s">
        <v>82</v>
      </c>
      <c r="BO136" s="3" t="s">
        <v>83</v>
      </c>
      <c r="BP136" s="3" t="s">
        <v>106</v>
      </c>
      <c r="BQ136" s="3" t="s">
        <v>106</v>
      </c>
      <c r="BR136" s="3" t="s">
        <v>106</v>
      </c>
      <c r="BS136" s="3" t="s">
        <v>106</v>
      </c>
      <c r="BT136" s="3" t="s">
        <v>106</v>
      </c>
      <c r="BU136" s="3" t="s">
        <v>81</v>
      </c>
      <c r="BV136" s="3" t="s">
        <v>82</v>
      </c>
      <c r="BW136" s="3" t="s">
        <v>111</v>
      </c>
      <c r="BX136" s="3" t="s">
        <v>82</v>
      </c>
      <c r="BY136" s="3" t="s">
        <v>381</v>
      </c>
      <c r="BZ136" s="3" t="s">
        <v>93</v>
      </c>
      <c r="CB136" s="3" t="s">
        <v>84</v>
      </c>
      <c r="CD136" s="9">
        <v>4</v>
      </c>
      <c r="CE136" s="9"/>
      <c r="CF136" s="18"/>
      <c r="CG136" s="18"/>
      <c r="CH136" s="18"/>
      <c r="CI136" s="18"/>
    </row>
    <row r="137" spans="1:87" x14ac:dyDescent="0.15">
      <c r="A137" s="3">
        <v>1699821181</v>
      </c>
      <c r="B137" s="3" t="s">
        <v>382</v>
      </c>
      <c r="C137" s="3" t="s">
        <v>382</v>
      </c>
      <c r="D137" s="3">
        <v>3</v>
      </c>
      <c r="E137" s="3">
        <v>3</v>
      </c>
      <c r="F137" s="3"/>
      <c r="G137" s="3">
        <v>2</v>
      </c>
      <c r="H137" s="3" t="s">
        <v>81</v>
      </c>
      <c r="I137" s="3" t="s">
        <v>81</v>
      </c>
      <c r="J137" s="3" t="s">
        <v>81</v>
      </c>
      <c r="K137" s="3" t="s">
        <v>81</v>
      </c>
      <c r="L137" s="3" t="s">
        <v>81</v>
      </c>
      <c r="M137" s="3" t="s">
        <v>81</v>
      </c>
      <c r="N137" s="3" t="s">
        <v>81</v>
      </c>
      <c r="O137" s="3" t="s">
        <v>81</v>
      </c>
      <c r="P137" s="3" t="s">
        <v>81</v>
      </c>
      <c r="Q137" s="3" t="s">
        <v>81</v>
      </c>
      <c r="R137" s="3">
        <v>0</v>
      </c>
      <c r="S137" s="3" t="s">
        <v>81</v>
      </c>
      <c r="T137" s="3" t="s">
        <v>81</v>
      </c>
      <c r="U137" s="3" t="s">
        <v>81</v>
      </c>
      <c r="V137" s="3" t="s">
        <v>81</v>
      </c>
      <c r="W137" s="3" t="s">
        <v>81</v>
      </c>
      <c r="X137" s="3" t="s">
        <v>81</v>
      </c>
      <c r="Y137" s="3" t="s">
        <v>81</v>
      </c>
      <c r="Z137" s="3" t="s">
        <v>81</v>
      </c>
      <c r="AA137" s="3" t="s">
        <v>81</v>
      </c>
      <c r="AB137" s="3" t="s">
        <v>81</v>
      </c>
      <c r="AC137" s="3">
        <v>0</v>
      </c>
      <c r="AD137" s="3" t="s">
        <v>81</v>
      </c>
      <c r="AE137" s="3" t="s">
        <v>81</v>
      </c>
      <c r="AF137" s="3" t="s">
        <v>81</v>
      </c>
      <c r="AG137" s="3" t="s">
        <v>81</v>
      </c>
      <c r="AH137" s="3" t="s">
        <v>81</v>
      </c>
      <c r="AI137" s="3" t="s">
        <v>81</v>
      </c>
      <c r="AJ137" s="3" t="s">
        <v>81</v>
      </c>
      <c r="AK137" s="3" t="s">
        <v>81</v>
      </c>
      <c r="AL137" s="3" t="s">
        <v>81</v>
      </c>
      <c r="AM137" s="3" t="s">
        <v>81</v>
      </c>
      <c r="AN137" s="3">
        <v>0</v>
      </c>
      <c r="AO137" s="3" t="s">
        <v>81</v>
      </c>
      <c r="AP137" s="3" t="s">
        <v>81</v>
      </c>
      <c r="AQ137" s="3" t="s">
        <v>81</v>
      </c>
      <c r="AR137" s="3" t="s">
        <v>81</v>
      </c>
      <c r="AS137" s="3" t="s">
        <v>81</v>
      </c>
      <c r="AT137" s="3" t="s">
        <v>81</v>
      </c>
      <c r="AU137" s="3" t="s">
        <v>81</v>
      </c>
      <c r="AV137" s="3" t="s">
        <v>81</v>
      </c>
      <c r="AW137" s="3" t="s">
        <v>81</v>
      </c>
      <c r="AX137" s="3" t="s">
        <v>81</v>
      </c>
      <c r="AY137" s="3">
        <v>0</v>
      </c>
      <c r="AZ137" s="3" t="s">
        <v>81</v>
      </c>
      <c r="BA137" s="3" t="s">
        <v>81</v>
      </c>
      <c r="BB137" s="3" t="s">
        <v>81</v>
      </c>
      <c r="BC137" s="3" t="s">
        <v>81</v>
      </c>
      <c r="BD137" s="3" t="s">
        <v>81</v>
      </c>
      <c r="BE137" s="3" t="s">
        <v>81</v>
      </c>
      <c r="BF137" s="3" t="s">
        <v>81</v>
      </c>
      <c r="BG137" s="3" t="s">
        <v>81</v>
      </c>
      <c r="BH137" s="3" t="s">
        <v>81</v>
      </c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 t="s">
        <v>84</v>
      </c>
      <c r="CC137" s="3"/>
      <c r="CD137" s="3"/>
      <c r="CE137" s="3"/>
      <c r="CF137" s="17"/>
      <c r="CG137" s="17"/>
      <c r="CH137" s="17"/>
      <c r="CI137" s="18"/>
    </row>
    <row r="138" spans="1:87" x14ac:dyDescent="0.15">
      <c r="A138" s="3">
        <v>912335811</v>
      </c>
      <c r="B138" s="3" t="s">
        <v>382</v>
      </c>
      <c r="C138" s="3" t="s">
        <v>382</v>
      </c>
      <c r="D138" s="3">
        <v>2</v>
      </c>
      <c r="E138" s="3">
        <v>2</v>
      </c>
      <c r="F138" s="3">
        <v>32.046999999999997</v>
      </c>
      <c r="G138" s="3">
        <v>1</v>
      </c>
      <c r="H138" s="3">
        <v>1.946</v>
      </c>
      <c r="I138" s="3">
        <v>6.6120000000000001</v>
      </c>
      <c r="J138" s="3">
        <v>29.015000000000001</v>
      </c>
      <c r="K138" s="3" t="s">
        <v>81</v>
      </c>
      <c r="L138" s="3" t="s">
        <v>81</v>
      </c>
      <c r="M138" s="3" t="s">
        <v>81</v>
      </c>
      <c r="N138" s="3" t="s">
        <v>81</v>
      </c>
      <c r="O138" s="3" t="s">
        <v>81</v>
      </c>
      <c r="P138" s="3" t="s">
        <v>81</v>
      </c>
      <c r="Q138" s="3">
        <v>17.834</v>
      </c>
      <c r="R138" s="3">
        <v>1</v>
      </c>
      <c r="S138" s="3">
        <v>2.931</v>
      </c>
      <c r="T138" s="3">
        <v>7.2229999999999999</v>
      </c>
      <c r="U138" s="3">
        <v>13.202999999999999</v>
      </c>
      <c r="V138" s="3" t="s">
        <v>81</v>
      </c>
      <c r="W138" s="3" t="s">
        <v>81</v>
      </c>
      <c r="X138" s="3" t="s">
        <v>81</v>
      </c>
      <c r="Y138" s="3" t="s">
        <v>81</v>
      </c>
      <c r="Z138" s="3" t="s">
        <v>81</v>
      </c>
      <c r="AA138" s="3" t="s">
        <v>81</v>
      </c>
      <c r="AB138" s="3" t="s">
        <v>81</v>
      </c>
      <c r="AC138" s="3" t="s">
        <v>81</v>
      </c>
      <c r="AD138" s="3" t="s">
        <v>81</v>
      </c>
      <c r="AE138" s="3" t="s">
        <v>81</v>
      </c>
      <c r="AF138" s="3" t="s">
        <v>81</v>
      </c>
      <c r="AG138" s="3" t="s">
        <v>81</v>
      </c>
      <c r="AH138" s="3" t="s">
        <v>81</v>
      </c>
      <c r="AI138" s="3" t="s">
        <v>81</v>
      </c>
      <c r="AJ138" s="3" t="s">
        <v>81</v>
      </c>
      <c r="AK138" s="3" t="s">
        <v>81</v>
      </c>
      <c r="AL138" s="3" t="s">
        <v>81</v>
      </c>
      <c r="AM138" s="3" t="s">
        <v>81</v>
      </c>
      <c r="AN138" s="3" t="s">
        <v>81</v>
      </c>
      <c r="AO138" s="3" t="s">
        <v>81</v>
      </c>
      <c r="AP138" s="3" t="s">
        <v>81</v>
      </c>
      <c r="AQ138" s="3" t="s">
        <v>81</v>
      </c>
      <c r="AR138" s="3" t="s">
        <v>81</v>
      </c>
      <c r="AS138" s="3" t="s">
        <v>81</v>
      </c>
      <c r="AT138" s="3" t="s">
        <v>81</v>
      </c>
      <c r="AU138" s="3" t="s">
        <v>81</v>
      </c>
      <c r="AV138" s="3" t="s">
        <v>81</v>
      </c>
      <c r="AW138" s="3" t="s">
        <v>81</v>
      </c>
      <c r="AX138" s="3" t="s">
        <v>81</v>
      </c>
      <c r="AY138" s="3" t="s">
        <v>81</v>
      </c>
      <c r="AZ138" s="3" t="s">
        <v>81</v>
      </c>
      <c r="BA138" s="3" t="s">
        <v>81</v>
      </c>
      <c r="BB138" s="3" t="s">
        <v>81</v>
      </c>
      <c r="BC138" s="3" t="s">
        <v>81</v>
      </c>
      <c r="BD138" s="3" t="s">
        <v>81</v>
      </c>
      <c r="BE138" s="3" t="s">
        <v>81</v>
      </c>
      <c r="BF138" s="3" t="s">
        <v>81</v>
      </c>
      <c r="BG138" s="3" t="s">
        <v>81</v>
      </c>
      <c r="BH138" s="3" t="s">
        <v>81</v>
      </c>
      <c r="BI138" s="3" t="s">
        <v>84</v>
      </c>
      <c r="BJ138" s="3" t="s">
        <v>82</v>
      </c>
      <c r="BK138" s="3" t="s">
        <v>83</v>
      </c>
      <c r="BL138" s="3" t="s">
        <v>84</v>
      </c>
      <c r="BM138" s="3" t="s">
        <v>84</v>
      </c>
      <c r="BN138" s="3" t="s">
        <v>82</v>
      </c>
      <c r="BO138" s="3" t="s">
        <v>83</v>
      </c>
      <c r="BP138" s="3" t="s">
        <v>81</v>
      </c>
      <c r="BQ138" s="3" t="s">
        <v>81</v>
      </c>
      <c r="BR138" s="3" t="s">
        <v>81</v>
      </c>
      <c r="BS138" s="3" t="s">
        <v>81</v>
      </c>
      <c r="BT138" s="3" t="s">
        <v>81</v>
      </c>
      <c r="BU138" s="3" t="s">
        <v>81</v>
      </c>
      <c r="BV138" s="3" t="s">
        <v>84</v>
      </c>
      <c r="BW138" s="3" t="s">
        <v>83</v>
      </c>
      <c r="BX138" s="3" t="s">
        <v>82</v>
      </c>
      <c r="BY138" s="3" t="s">
        <v>383</v>
      </c>
      <c r="BZ138" s="3" t="s">
        <v>384</v>
      </c>
      <c r="CA138" s="3"/>
      <c r="CB138" s="3" t="s">
        <v>84</v>
      </c>
      <c r="CC138" s="3"/>
      <c r="CD138" s="3"/>
      <c r="CE138" s="3"/>
      <c r="CF138" s="17"/>
      <c r="CG138" s="17"/>
      <c r="CH138" s="17"/>
      <c r="CI138" s="17"/>
    </row>
    <row r="139" spans="1:87" x14ac:dyDescent="0.15">
      <c r="A139" s="3">
        <v>1847941347</v>
      </c>
      <c r="B139" s="3" t="s">
        <v>385</v>
      </c>
      <c r="C139" s="3" t="s">
        <v>386</v>
      </c>
      <c r="D139" s="3">
        <v>10</v>
      </c>
      <c r="E139" s="3">
        <v>10</v>
      </c>
      <c r="F139" s="3">
        <v>22.265999999999998</v>
      </c>
      <c r="G139" s="3">
        <v>0</v>
      </c>
      <c r="H139" s="3" t="s">
        <v>81</v>
      </c>
      <c r="I139" s="3" t="s">
        <v>81</v>
      </c>
      <c r="J139" s="3" t="s">
        <v>81</v>
      </c>
      <c r="K139" s="3" t="s">
        <v>81</v>
      </c>
      <c r="L139" s="3" t="s">
        <v>81</v>
      </c>
      <c r="M139" s="3" t="s">
        <v>81</v>
      </c>
      <c r="N139" s="3" t="s">
        <v>81</v>
      </c>
      <c r="O139" s="3" t="s">
        <v>81</v>
      </c>
      <c r="P139" s="3" t="s">
        <v>81</v>
      </c>
      <c r="Q139" s="3">
        <v>24.835000000000001</v>
      </c>
      <c r="R139" s="3">
        <v>0</v>
      </c>
      <c r="S139" s="3" t="s">
        <v>81</v>
      </c>
      <c r="T139" s="3" t="s">
        <v>81</v>
      </c>
      <c r="U139" s="3" t="s">
        <v>81</v>
      </c>
      <c r="V139" s="3" t="s">
        <v>81</v>
      </c>
      <c r="W139" s="3" t="s">
        <v>81</v>
      </c>
      <c r="X139" s="3" t="s">
        <v>81</v>
      </c>
      <c r="Y139" s="3" t="s">
        <v>81</v>
      </c>
      <c r="Z139" s="3" t="s">
        <v>81</v>
      </c>
      <c r="AA139" s="3" t="s">
        <v>81</v>
      </c>
      <c r="AB139" s="3">
        <v>24.170999999999999</v>
      </c>
      <c r="AC139" s="3">
        <v>0</v>
      </c>
      <c r="AD139" s="3" t="s">
        <v>81</v>
      </c>
      <c r="AE139" s="3" t="s">
        <v>81</v>
      </c>
      <c r="AF139" s="3" t="s">
        <v>81</v>
      </c>
      <c r="AG139" s="3" t="s">
        <v>81</v>
      </c>
      <c r="AH139" s="3" t="s">
        <v>81</v>
      </c>
      <c r="AI139" s="3" t="s">
        <v>81</v>
      </c>
      <c r="AJ139" s="3" t="s">
        <v>81</v>
      </c>
      <c r="AK139" s="3" t="s">
        <v>81</v>
      </c>
      <c r="AL139" s="3" t="s">
        <v>81</v>
      </c>
      <c r="AM139" s="3">
        <v>23.300999999999998</v>
      </c>
      <c r="AN139" s="3">
        <v>1</v>
      </c>
      <c r="AO139" s="3" t="s">
        <v>81</v>
      </c>
      <c r="AP139" s="3" t="s">
        <v>81</v>
      </c>
      <c r="AQ139" s="3" t="s">
        <v>81</v>
      </c>
      <c r="AR139" s="3" t="s">
        <v>81</v>
      </c>
      <c r="AS139" s="3" t="s">
        <v>81</v>
      </c>
      <c r="AT139" s="3" t="s">
        <v>81</v>
      </c>
      <c r="AU139" s="3" t="s">
        <v>81</v>
      </c>
      <c r="AV139" s="3" t="s">
        <v>81</v>
      </c>
      <c r="AW139" s="3" t="s">
        <v>81</v>
      </c>
      <c r="AX139" s="3">
        <v>22.187000000000001</v>
      </c>
      <c r="AY139" s="3">
        <v>0</v>
      </c>
      <c r="AZ139" s="3" t="s">
        <v>81</v>
      </c>
      <c r="BA139" s="3" t="s">
        <v>81</v>
      </c>
      <c r="BB139" s="3" t="s">
        <v>81</v>
      </c>
      <c r="BC139" s="3" t="s">
        <v>81</v>
      </c>
      <c r="BD139" s="3" t="s">
        <v>81</v>
      </c>
      <c r="BE139" s="3" t="s">
        <v>81</v>
      </c>
      <c r="BF139" s="3" t="s">
        <v>81</v>
      </c>
      <c r="BG139" s="3" t="s">
        <v>81</v>
      </c>
      <c r="BH139" s="3" t="s">
        <v>81</v>
      </c>
      <c r="BI139" s="3" t="s">
        <v>84</v>
      </c>
      <c r="BJ139" s="3" t="s">
        <v>82</v>
      </c>
      <c r="BK139" s="3" t="s">
        <v>83</v>
      </c>
      <c r="BL139" s="3" t="s">
        <v>84</v>
      </c>
      <c r="BM139" s="3" t="s">
        <v>84</v>
      </c>
      <c r="BN139" s="3" t="s">
        <v>84</v>
      </c>
      <c r="BO139" s="3" t="s">
        <v>84</v>
      </c>
      <c r="BP139" s="3" t="s">
        <v>106</v>
      </c>
      <c r="BQ139" s="3" t="s">
        <v>106</v>
      </c>
      <c r="BR139" s="3" t="s">
        <v>387</v>
      </c>
      <c r="BS139" s="3" t="s">
        <v>387</v>
      </c>
      <c r="BT139" s="3" t="s">
        <v>106</v>
      </c>
      <c r="BU139" s="3" t="s">
        <v>129</v>
      </c>
      <c r="BV139" s="3" t="s">
        <v>84</v>
      </c>
      <c r="BW139" s="3" t="s">
        <v>83</v>
      </c>
      <c r="BX139" s="3" t="s">
        <v>82</v>
      </c>
      <c r="BZ139" s="3" t="s">
        <v>93</v>
      </c>
      <c r="CB139" s="3" t="s">
        <v>84</v>
      </c>
      <c r="CD139" s="9">
        <v>10</v>
      </c>
      <c r="CE139" s="9">
        <v>10</v>
      </c>
      <c r="CF139" s="19"/>
      <c r="CG139" s="18"/>
      <c r="CH139" s="18"/>
      <c r="CI139" s="18"/>
    </row>
    <row r="140" spans="1:87" x14ac:dyDescent="0.15">
      <c r="A140" s="3">
        <v>2643362945</v>
      </c>
      <c r="B140" s="3" t="s">
        <v>385</v>
      </c>
      <c r="C140" s="3" t="s">
        <v>386</v>
      </c>
      <c r="D140" s="3" t="s">
        <v>81</v>
      </c>
      <c r="E140" s="3">
        <v>20</v>
      </c>
      <c r="F140" s="3">
        <v>48.052999999999997</v>
      </c>
      <c r="G140" s="3">
        <v>2</v>
      </c>
      <c r="H140" s="3">
        <v>31.259</v>
      </c>
      <c r="I140" s="3">
        <v>19.503</v>
      </c>
      <c r="J140" s="3">
        <v>16.739999999999998</v>
      </c>
      <c r="K140" s="3">
        <v>5.8890000000000002</v>
      </c>
      <c r="L140" s="3">
        <v>0.49</v>
      </c>
      <c r="M140" s="3" t="s">
        <v>81</v>
      </c>
      <c r="N140" s="3" t="s">
        <v>81</v>
      </c>
      <c r="O140" s="3" t="s">
        <v>81</v>
      </c>
      <c r="P140" s="3" t="s">
        <v>81</v>
      </c>
      <c r="Q140" s="3">
        <v>49.237000000000002</v>
      </c>
      <c r="R140" s="3">
        <v>2</v>
      </c>
      <c r="S140" s="3">
        <v>31.262</v>
      </c>
      <c r="T140" s="3">
        <v>20.094999999999999</v>
      </c>
      <c r="U140" s="3">
        <v>17.818999999999999</v>
      </c>
      <c r="V140" s="3">
        <v>7.84</v>
      </c>
      <c r="W140" s="3">
        <v>0.20599999999999999</v>
      </c>
      <c r="X140" s="3" t="s">
        <v>81</v>
      </c>
      <c r="Y140" s="3" t="s">
        <v>81</v>
      </c>
      <c r="Z140" s="3" t="s">
        <v>81</v>
      </c>
      <c r="AA140" s="3" t="s">
        <v>81</v>
      </c>
      <c r="AB140" s="3">
        <v>32.058</v>
      </c>
      <c r="AC140" s="3">
        <v>2</v>
      </c>
      <c r="AD140" s="3">
        <v>23.567</v>
      </c>
      <c r="AE140" s="3">
        <v>20.472000000000001</v>
      </c>
      <c r="AF140" s="3">
        <v>6.8310000000000004</v>
      </c>
      <c r="AG140" s="3">
        <v>2.5590000000000002</v>
      </c>
      <c r="AH140" s="3">
        <v>1.444</v>
      </c>
      <c r="AI140" s="3" t="s">
        <v>81</v>
      </c>
      <c r="AJ140" s="3" t="s">
        <v>81</v>
      </c>
      <c r="AK140" s="3" t="s">
        <v>81</v>
      </c>
      <c r="AL140" s="3" t="s">
        <v>81</v>
      </c>
      <c r="AM140" s="3">
        <v>51.19</v>
      </c>
      <c r="AN140" s="3">
        <v>2</v>
      </c>
      <c r="AO140" s="3">
        <v>37.07</v>
      </c>
      <c r="AP140" s="3">
        <v>15.124000000000001</v>
      </c>
      <c r="AQ140" s="3">
        <v>12.939</v>
      </c>
      <c r="AR140" s="3">
        <v>6.0549999999999997</v>
      </c>
      <c r="AS140" s="3">
        <v>0.35099999999999998</v>
      </c>
      <c r="AT140" s="3" t="s">
        <v>81</v>
      </c>
      <c r="AU140" s="3" t="s">
        <v>81</v>
      </c>
      <c r="AV140" s="3" t="s">
        <v>81</v>
      </c>
      <c r="AW140" s="3" t="s">
        <v>81</v>
      </c>
      <c r="AX140" s="3">
        <v>51.506999999999998</v>
      </c>
      <c r="AY140" s="3">
        <v>2</v>
      </c>
      <c r="AZ140" s="3">
        <v>33.341999999999999</v>
      </c>
      <c r="BA140" s="3">
        <v>22.507999999999999</v>
      </c>
      <c r="BB140" s="3">
        <v>16.86</v>
      </c>
      <c r="BC140" s="3">
        <v>7.55</v>
      </c>
      <c r="BD140" s="3">
        <v>0.59299999999999997</v>
      </c>
      <c r="BE140" s="3" t="s">
        <v>81</v>
      </c>
      <c r="BF140" s="3" t="s">
        <v>81</v>
      </c>
      <c r="BG140" s="3" t="s">
        <v>81</v>
      </c>
      <c r="BH140" s="3" t="s">
        <v>81</v>
      </c>
      <c r="BI140" s="3" t="s">
        <v>84</v>
      </c>
      <c r="BJ140" s="3" t="s">
        <v>84</v>
      </c>
      <c r="BK140" s="3" t="s">
        <v>82</v>
      </c>
      <c r="BL140" s="3" t="s">
        <v>84</v>
      </c>
      <c r="BM140" s="3" t="s">
        <v>84</v>
      </c>
      <c r="BN140" s="3" t="s">
        <v>82</v>
      </c>
      <c r="BO140" s="3" t="s">
        <v>84</v>
      </c>
      <c r="BP140" s="3" t="s">
        <v>81</v>
      </c>
      <c r="BQ140" s="3" t="s">
        <v>81</v>
      </c>
      <c r="BR140" s="3" t="s">
        <v>81</v>
      </c>
      <c r="BS140" s="3" t="s">
        <v>81</v>
      </c>
      <c r="BT140" s="3" t="s">
        <v>81</v>
      </c>
      <c r="BU140" s="3" t="s">
        <v>81</v>
      </c>
      <c r="BV140" s="3" t="s">
        <v>84</v>
      </c>
      <c r="BW140" s="3" t="s">
        <v>83</v>
      </c>
      <c r="BX140" s="3" t="s">
        <v>82</v>
      </c>
      <c r="BY140" s="3" t="s">
        <v>388</v>
      </c>
      <c r="BZ140" s="3" t="s">
        <v>86</v>
      </c>
      <c r="CB140" s="3" t="s">
        <v>84</v>
      </c>
      <c r="CD140" s="9">
        <v>38</v>
      </c>
      <c r="CE140" s="9"/>
      <c r="CF140" s="19"/>
      <c r="CG140" s="18"/>
      <c r="CH140" s="18"/>
      <c r="CI140" s="18"/>
    </row>
    <row r="141" spans="1:87" x14ac:dyDescent="0.15">
      <c r="A141" s="3">
        <v>1228255879</v>
      </c>
      <c r="B141" s="3" t="s">
        <v>386</v>
      </c>
      <c r="C141" s="3" t="s">
        <v>386</v>
      </c>
      <c r="D141" s="3">
        <v>10</v>
      </c>
      <c r="E141" s="3">
        <v>13</v>
      </c>
      <c r="F141" s="3">
        <v>44.156999999999996</v>
      </c>
      <c r="G141" s="3">
        <v>0</v>
      </c>
      <c r="H141" s="3" t="s">
        <v>81</v>
      </c>
      <c r="I141" s="3" t="s">
        <v>81</v>
      </c>
      <c r="J141" s="3" t="s">
        <v>81</v>
      </c>
      <c r="K141" s="3" t="s">
        <v>81</v>
      </c>
      <c r="L141" s="3" t="s">
        <v>81</v>
      </c>
      <c r="M141" s="3" t="s">
        <v>81</v>
      </c>
      <c r="N141" s="3" t="s">
        <v>81</v>
      </c>
      <c r="O141" s="3" t="s">
        <v>81</v>
      </c>
      <c r="P141" s="3" t="s">
        <v>81</v>
      </c>
      <c r="Q141" s="3">
        <v>47.814999999999998</v>
      </c>
      <c r="R141" s="3">
        <v>0</v>
      </c>
      <c r="S141" s="3" t="s">
        <v>81</v>
      </c>
      <c r="T141" s="3" t="s">
        <v>81</v>
      </c>
      <c r="U141" s="3" t="s">
        <v>81</v>
      </c>
      <c r="V141" s="3" t="s">
        <v>81</v>
      </c>
      <c r="W141" s="3" t="s">
        <v>81</v>
      </c>
      <c r="X141" s="3" t="s">
        <v>81</v>
      </c>
      <c r="Y141" s="3" t="s">
        <v>81</v>
      </c>
      <c r="Z141" s="3" t="s">
        <v>81</v>
      </c>
      <c r="AA141" s="3" t="s">
        <v>81</v>
      </c>
      <c r="AB141" s="3">
        <v>49.817999999999998</v>
      </c>
      <c r="AC141" s="3">
        <v>0</v>
      </c>
      <c r="AD141" s="3" t="s">
        <v>81</v>
      </c>
      <c r="AE141" s="3" t="s">
        <v>81</v>
      </c>
      <c r="AF141" s="3" t="s">
        <v>81</v>
      </c>
      <c r="AG141" s="3" t="s">
        <v>81</v>
      </c>
      <c r="AH141" s="3" t="s">
        <v>81</v>
      </c>
      <c r="AI141" s="3" t="s">
        <v>81</v>
      </c>
      <c r="AJ141" s="3" t="s">
        <v>81</v>
      </c>
      <c r="AK141" s="3" t="s">
        <v>81</v>
      </c>
      <c r="AL141" s="3" t="s">
        <v>81</v>
      </c>
      <c r="AM141" s="3">
        <v>39.97</v>
      </c>
      <c r="AN141" s="3">
        <v>0</v>
      </c>
      <c r="AO141" s="3" t="s">
        <v>81</v>
      </c>
      <c r="AP141" s="3" t="s">
        <v>81</v>
      </c>
      <c r="AQ141" s="3" t="s">
        <v>81</v>
      </c>
      <c r="AR141" s="3" t="s">
        <v>81</v>
      </c>
      <c r="AS141" s="3" t="s">
        <v>81</v>
      </c>
      <c r="AT141" s="3" t="s">
        <v>81</v>
      </c>
      <c r="AU141" s="3" t="s">
        <v>81</v>
      </c>
      <c r="AV141" s="3" t="s">
        <v>81</v>
      </c>
      <c r="AW141" s="3" t="s">
        <v>81</v>
      </c>
      <c r="AX141" s="3">
        <v>49.622999999999998</v>
      </c>
      <c r="AY141" s="3">
        <v>0</v>
      </c>
      <c r="AZ141" s="3" t="s">
        <v>81</v>
      </c>
      <c r="BA141" s="3" t="s">
        <v>81</v>
      </c>
      <c r="BB141" s="3" t="s">
        <v>81</v>
      </c>
      <c r="BC141" s="3" t="s">
        <v>81</v>
      </c>
      <c r="BD141" s="3" t="s">
        <v>81</v>
      </c>
      <c r="BE141" s="3" t="s">
        <v>81</v>
      </c>
      <c r="BF141" s="3" t="s">
        <v>81</v>
      </c>
      <c r="BG141" s="3" t="s">
        <v>81</v>
      </c>
      <c r="BH141" s="3" t="s">
        <v>81</v>
      </c>
      <c r="BI141" s="3" t="s">
        <v>84</v>
      </c>
      <c r="BJ141" s="3" t="s">
        <v>84</v>
      </c>
      <c r="BK141" s="3" t="s">
        <v>84</v>
      </c>
      <c r="BL141" s="3" t="s">
        <v>84</v>
      </c>
      <c r="BM141" s="3" t="s">
        <v>84</v>
      </c>
      <c r="BN141" s="3" t="s">
        <v>82</v>
      </c>
      <c r="BO141" s="3" t="s">
        <v>84</v>
      </c>
      <c r="BP141" s="3" t="s">
        <v>106</v>
      </c>
      <c r="BQ141" s="3" t="s">
        <v>106</v>
      </c>
      <c r="BR141" s="3" t="s">
        <v>389</v>
      </c>
      <c r="BS141" s="3" t="s">
        <v>390</v>
      </c>
      <c r="BT141" s="3" t="s">
        <v>106</v>
      </c>
      <c r="BU141" s="3" t="s">
        <v>129</v>
      </c>
      <c r="BV141" s="3" t="s">
        <v>84</v>
      </c>
      <c r="BW141" s="3" t="s">
        <v>83</v>
      </c>
      <c r="BX141" s="3" t="s">
        <v>82</v>
      </c>
      <c r="BZ141" s="3" t="s">
        <v>93</v>
      </c>
      <c r="CB141" s="3" t="s">
        <v>84</v>
      </c>
      <c r="CD141" s="9">
        <v>17</v>
      </c>
      <c r="CE141" s="9">
        <v>13</v>
      </c>
      <c r="CF141" s="19"/>
      <c r="CG141" s="18"/>
      <c r="CH141" s="18"/>
      <c r="CI141" s="18"/>
    </row>
    <row r="142" spans="1:87" x14ac:dyDescent="0.15">
      <c r="A142" s="3">
        <v>1228385648</v>
      </c>
      <c r="B142" s="3" t="s">
        <v>386</v>
      </c>
      <c r="C142" s="3" t="s">
        <v>386</v>
      </c>
      <c r="D142" s="3">
        <v>6</v>
      </c>
      <c r="E142" s="3">
        <v>9</v>
      </c>
      <c r="F142" s="3">
        <v>85.856999999999999</v>
      </c>
      <c r="G142" s="3">
        <v>2</v>
      </c>
      <c r="H142" s="3">
        <v>49.332999999999998</v>
      </c>
      <c r="I142" s="3">
        <v>29.588000000000001</v>
      </c>
      <c r="J142" s="3">
        <v>17.34</v>
      </c>
      <c r="K142" s="3">
        <v>25.556999999999999</v>
      </c>
      <c r="L142" s="3">
        <v>16.277999999999999</v>
      </c>
      <c r="M142" s="3" t="s">
        <v>81</v>
      </c>
      <c r="N142" s="3" t="s">
        <v>81</v>
      </c>
      <c r="O142" s="3" t="s">
        <v>81</v>
      </c>
      <c r="P142" s="3" t="s">
        <v>81</v>
      </c>
      <c r="Q142" s="3">
        <v>84.391000000000005</v>
      </c>
      <c r="R142" s="3">
        <v>2</v>
      </c>
      <c r="S142" s="3">
        <v>38.972000000000001</v>
      </c>
      <c r="T142" s="3">
        <v>34.951000000000001</v>
      </c>
      <c r="U142" s="3">
        <v>24.739000000000001</v>
      </c>
      <c r="V142" s="3">
        <v>23.765000000000001</v>
      </c>
      <c r="W142" s="3">
        <v>17.039000000000001</v>
      </c>
      <c r="X142" s="3" t="s">
        <v>81</v>
      </c>
      <c r="Y142" s="3" t="s">
        <v>81</v>
      </c>
      <c r="Z142" s="3" t="s">
        <v>81</v>
      </c>
      <c r="AA142" s="3" t="s">
        <v>81</v>
      </c>
      <c r="AB142" s="3">
        <v>75.471999999999994</v>
      </c>
      <c r="AC142" s="3">
        <v>2</v>
      </c>
      <c r="AD142" s="3">
        <v>32.012999999999998</v>
      </c>
      <c r="AE142" s="3">
        <v>40.39</v>
      </c>
      <c r="AF142" s="3">
        <v>24.346</v>
      </c>
      <c r="AG142" s="3">
        <v>26.978999999999999</v>
      </c>
      <c r="AH142" s="3">
        <v>16.13</v>
      </c>
      <c r="AI142" s="3" t="s">
        <v>81</v>
      </c>
      <c r="AJ142" s="3" t="s">
        <v>81</v>
      </c>
      <c r="AK142" s="3" t="s">
        <v>81</v>
      </c>
      <c r="AL142" s="3" t="s">
        <v>81</v>
      </c>
      <c r="AM142" s="3">
        <v>77.915000000000006</v>
      </c>
      <c r="AN142" s="3">
        <v>2</v>
      </c>
      <c r="AO142" s="3">
        <v>38.484000000000002</v>
      </c>
      <c r="AP142" s="3">
        <v>34.078000000000003</v>
      </c>
      <c r="AQ142" s="3">
        <v>18.388999999999999</v>
      </c>
      <c r="AR142" s="3">
        <v>29.315000000000001</v>
      </c>
      <c r="AS142" s="3">
        <v>18.777999999999999</v>
      </c>
      <c r="AT142" s="3" t="s">
        <v>81</v>
      </c>
      <c r="AU142" s="3" t="s">
        <v>81</v>
      </c>
      <c r="AV142" s="3" t="s">
        <v>81</v>
      </c>
      <c r="AW142" s="3" t="s">
        <v>81</v>
      </c>
      <c r="AX142" s="3">
        <v>77.466999999999999</v>
      </c>
      <c r="AY142" s="3">
        <v>2</v>
      </c>
      <c r="AZ142" s="3">
        <v>48.743000000000002</v>
      </c>
      <c r="BA142" s="3">
        <v>26.119</v>
      </c>
      <c r="BB142" s="3">
        <v>9.9740000000000002</v>
      </c>
      <c r="BC142" s="3">
        <v>27.725000000000001</v>
      </c>
      <c r="BD142" s="3">
        <v>17.277000000000001</v>
      </c>
      <c r="BE142" s="3" t="s">
        <v>81</v>
      </c>
      <c r="BF142" s="3" t="s">
        <v>81</v>
      </c>
      <c r="BG142" s="3" t="s">
        <v>81</v>
      </c>
      <c r="BH142" s="3" t="s">
        <v>81</v>
      </c>
      <c r="BI142" s="3" t="s">
        <v>84</v>
      </c>
      <c r="BJ142" s="3" t="s">
        <v>82</v>
      </c>
      <c r="BK142" s="3" t="s">
        <v>83</v>
      </c>
      <c r="BL142" s="3" t="s">
        <v>84</v>
      </c>
      <c r="BM142" s="3" t="s">
        <v>84</v>
      </c>
      <c r="BN142" s="3" t="s">
        <v>82</v>
      </c>
      <c r="BO142" s="3" t="s">
        <v>84</v>
      </c>
      <c r="BP142" s="3" t="s">
        <v>391</v>
      </c>
      <c r="BQ142" s="3" t="s">
        <v>391</v>
      </c>
      <c r="BR142" s="3" t="s">
        <v>392</v>
      </c>
      <c r="BS142" s="3" t="s">
        <v>393</v>
      </c>
      <c r="BT142" s="3" t="s">
        <v>87</v>
      </c>
      <c r="BU142" s="3" t="s">
        <v>106</v>
      </c>
      <c r="BV142" s="3" t="s">
        <v>84</v>
      </c>
      <c r="BW142" s="3" t="s">
        <v>83</v>
      </c>
      <c r="BX142" s="3" t="s">
        <v>82</v>
      </c>
      <c r="BZ142" s="3" t="s">
        <v>93</v>
      </c>
      <c r="CB142" s="3" t="s">
        <v>84</v>
      </c>
      <c r="CD142" s="9">
        <v>24</v>
      </c>
      <c r="CE142" s="9"/>
      <c r="CF142" s="19"/>
      <c r="CG142" s="18"/>
      <c r="CH142" s="18"/>
      <c r="CI142" s="18"/>
    </row>
    <row r="143" spans="1:87" x14ac:dyDescent="0.15">
      <c r="A143" s="3">
        <v>1847932608</v>
      </c>
      <c r="B143" s="3" t="s">
        <v>386</v>
      </c>
      <c r="C143" s="3" t="s">
        <v>386</v>
      </c>
      <c r="D143" s="3">
        <v>4</v>
      </c>
      <c r="E143" s="3">
        <v>4</v>
      </c>
      <c r="F143" s="3">
        <v>38.787999999999997</v>
      </c>
      <c r="G143" s="3">
        <v>0</v>
      </c>
      <c r="H143" s="3" t="s">
        <v>81</v>
      </c>
      <c r="I143" s="3" t="s">
        <v>81</v>
      </c>
      <c r="J143" s="3" t="s">
        <v>81</v>
      </c>
      <c r="K143" s="3" t="s">
        <v>81</v>
      </c>
      <c r="L143" s="3" t="s">
        <v>81</v>
      </c>
      <c r="M143" s="3" t="s">
        <v>81</v>
      </c>
      <c r="N143" s="3" t="s">
        <v>81</v>
      </c>
      <c r="O143" s="3" t="s">
        <v>81</v>
      </c>
      <c r="P143" s="3" t="s">
        <v>81</v>
      </c>
      <c r="Q143" s="3">
        <v>40.895000000000003</v>
      </c>
      <c r="R143" s="3">
        <v>0</v>
      </c>
      <c r="S143" s="3" t="s">
        <v>81</v>
      </c>
      <c r="T143" s="3" t="s">
        <v>81</v>
      </c>
      <c r="U143" s="3" t="s">
        <v>81</v>
      </c>
      <c r="V143" s="3" t="s">
        <v>81</v>
      </c>
      <c r="W143" s="3" t="s">
        <v>81</v>
      </c>
      <c r="X143" s="3" t="s">
        <v>81</v>
      </c>
      <c r="Y143" s="3" t="s">
        <v>81</v>
      </c>
      <c r="Z143" s="3" t="s">
        <v>81</v>
      </c>
      <c r="AA143" s="3" t="s">
        <v>81</v>
      </c>
      <c r="AB143" s="3">
        <v>39.377000000000002</v>
      </c>
      <c r="AC143" s="3">
        <v>0</v>
      </c>
      <c r="AD143" s="3" t="s">
        <v>81</v>
      </c>
      <c r="AE143" s="3" t="s">
        <v>81</v>
      </c>
      <c r="AF143" s="3" t="s">
        <v>81</v>
      </c>
      <c r="AG143" s="3" t="s">
        <v>81</v>
      </c>
      <c r="AH143" s="3" t="s">
        <v>81</v>
      </c>
      <c r="AI143" s="3" t="s">
        <v>81</v>
      </c>
      <c r="AJ143" s="3" t="s">
        <v>81</v>
      </c>
      <c r="AK143" s="3" t="s">
        <v>81</v>
      </c>
      <c r="AL143" s="3" t="s">
        <v>81</v>
      </c>
      <c r="AM143" s="3" t="s">
        <v>81</v>
      </c>
      <c r="AN143" s="3" t="s">
        <v>81</v>
      </c>
      <c r="AO143" s="3" t="s">
        <v>81</v>
      </c>
      <c r="AP143" s="3" t="s">
        <v>81</v>
      </c>
      <c r="AQ143" s="3" t="s">
        <v>81</v>
      </c>
      <c r="AR143" s="3" t="s">
        <v>81</v>
      </c>
      <c r="AS143" s="3" t="s">
        <v>81</v>
      </c>
      <c r="AT143" s="3" t="s">
        <v>81</v>
      </c>
      <c r="AU143" s="3" t="s">
        <v>81</v>
      </c>
      <c r="AV143" s="3" t="s">
        <v>81</v>
      </c>
      <c r="AW143" s="3" t="s">
        <v>81</v>
      </c>
      <c r="AX143" s="3" t="s">
        <v>81</v>
      </c>
      <c r="AY143" s="3" t="s">
        <v>81</v>
      </c>
      <c r="AZ143" s="3" t="s">
        <v>81</v>
      </c>
      <c r="BA143" s="3" t="s">
        <v>81</v>
      </c>
      <c r="BB143" s="3" t="s">
        <v>81</v>
      </c>
      <c r="BC143" s="3" t="s">
        <v>81</v>
      </c>
      <c r="BD143" s="3" t="s">
        <v>81</v>
      </c>
      <c r="BE143" s="3" t="s">
        <v>81</v>
      </c>
      <c r="BF143" s="3" t="s">
        <v>81</v>
      </c>
      <c r="BG143" s="3" t="s">
        <v>81</v>
      </c>
      <c r="BH143" s="3" t="s">
        <v>81</v>
      </c>
      <c r="BI143" s="3" t="s">
        <v>84</v>
      </c>
      <c r="BJ143" s="3" t="s">
        <v>82</v>
      </c>
      <c r="BK143" s="3" t="s">
        <v>83</v>
      </c>
      <c r="BL143" s="3" t="s">
        <v>84</v>
      </c>
      <c r="BM143" s="3" t="s">
        <v>84</v>
      </c>
      <c r="BN143" s="3" t="s">
        <v>84</v>
      </c>
      <c r="BO143" s="3" t="s">
        <v>84</v>
      </c>
      <c r="BP143" s="3" t="s">
        <v>87</v>
      </c>
      <c r="BQ143" s="3" t="s">
        <v>87</v>
      </c>
      <c r="BR143" s="3" t="s">
        <v>395</v>
      </c>
      <c r="BS143" s="3" t="s">
        <v>396</v>
      </c>
      <c r="BT143" s="3" t="s">
        <v>87</v>
      </c>
      <c r="BU143" s="3" t="s">
        <v>129</v>
      </c>
      <c r="BV143" s="3" t="s">
        <v>84</v>
      </c>
      <c r="BW143" s="3" t="s">
        <v>83</v>
      </c>
      <c r="BX143" s="3" t="s">
        <v>82</v>
      </c>
      <c r="BY143" s="3" t="s">
        <v>397</v>
      </c>
      <c r="BZ143" s="3" t="s">
        <v>93</v>
      </c>
      <c r="CB143" s="3" t="s">
        <v>84</v>
      </c>
      <c r="CD143" s="9">
        <v>3</v>
      </c>
      <c r="CE143" s="9"/>
      <c r="CF143" s="19"/>
      <c r="CG143" s="18"/>
      <c r="CH143" s="18"/>
      <c r="CI143" s="18"/>
    </row>
    <row r="144" spans="1:87" x14ac:dyDescent="0.15">
      <c r="A144" s="3">
        <v>1228544806</v>
      </c>
      <c r="B144" s="3" t="s">
        <v>386</v>
      </c>
      <c r="C144" s="3" t="s">
        <v>386</v>
      </c>
      <c r="D144" s="3">
        <v>2</v>
      </c>
      <c r="E144" s="3">
        <v>2</v>
      </c>
      <c r="F144" s="3">
        <v>49.103999999999999</v>
      </c>
      <c r="G144" s="3">
        <v>0</v>
      </c>
      <c r="H144" s="3" t="s">
        <v>81</v>
      </c>
      <c r="I144" s="3" t="s">
        <v>81</v>
      </c>
      <c r="J144" s="3" t="s">
        <v>81</v>
      </c>
      <c r="K144" s="3" t="s">
        <v>81</v>
      </c>
      <c r="L144" s="3" t="s">
        <v>81</v>
      </c>
      <c r="M144" s="3" t="s">
        <v>81</v>
      </c>
      <c r="N144" s="3" t="s">
        <v>81</v>
      </c>
      <c r="O144" s="3" t="s">
        <v>81</v>
      </c>
      <c r="P144" s="3" t="s">
        <v>81</v>
      </c>
      <c r="Q144" s="3">
        <v>55.561</v>
      </c>
      <c r="R144" s="3">
        <v>0</v>
      </c>
      <c r="S144" s="3" t="s">
        <v>81</v>
      </c>
      <c r="T144" s="3" t="s">
        <v>81</v>
      </c>
      <c r="U144" s="3" t="s">
        <v>81</v>
      </c>
      <c r="V144" s="3" t="s">
        <v>81</v>
      </c>
      <c r="W144" s="3" t="s">
        <v>81</v>
      </c>
      <c r="X144" s="3" t="s">
        <v>81</v>
      </c>
      <c r="Y144" s="3" t="s">
        <v>81</v>
      </c>
      <c r="Z144" s="3" t="s">
        <v>81</v>
      </c>
      <c r="AA144" s="3" t="s">
        <v>81</v>
      </c>
      <c r="AB144" s="3" t="s">
        <v>81</v>
      </c>
      <c r="AC144" s="3" t="s">
        <v>81</v>
      </c>
      <c r="AD144" s="3" t="s">
        <v>81</v>
      </c>
      <c r="AE144" s="3" t="s">
        <v>81</v>
      </c>
      <c r="AF144" s="3" t="s">
        <v>81</v>
      </c>
      <c r="AG144" s="3" t="s">
        <v>81</v>
      </c>
      <c r="AH144" s="3" t="s">
        <v>81</v>
      </c>
      <c r="AI144" s="3" t="s">
        <v>81</v>
      </c>
      <c r="AJ144" s="3" t="s">
        <v>81</v>
      </c>
      <c r="AK144" s="3" t="s">
        <v>81</v>
      </c>
      <c r="AL144" s="3" t="s">
        <v>81</v>
      </c>
      <c r="AM144" s="3" t="s">
        <v>81</v>
      </c>
      <c r="AN144" s="3" t="s">
        <v>81</v>
      </c>
      <c r="AO144" s="3" t="s">
        <v>81</v>
      </c>
      <c r="AP144" s="3" t="s">
        <v>81</v>
      </c>
      <c r="AQ144" s="3" t="s">
        <v>81</v>
      </c>
      <c r="AR144" s="3" t="s">
        <v>81</v>
      </c>
      <c r="AS144" s="3" t="s">
        <v>81</v>
      </c>
      <c r="AT144" s="3" t="s">
        <v>81</v>
      </c>
      <c r="AU144" s="3" t="s">
        <v>81</v>
      </c>
      <c r="AV144" s="3" t="s">
        <v>81</v>
      </c>
      <c r="AW144" s="3" t="s">
        <v>81</v>
      </c>
      <c r="AX144" s="3" t="s">
        <v>81</v>
      </c>
      <c r="AY144" s="3" t="s">
        <v>81</v>
      </c>
      <c r="AZ144" s="3" t="s">
        <v>81</v>
      </c>
      <c r="BA144" s="3" t="s">
        <v>81</v>
      </c>
      <c r="BB144" s="3" t="s">
        <v>81</v>
      </c>
      <c r="BC144" s="3" t="s">
        <v>81</v>
      </c>
      <c r="BD144" s="3" t="s">
        <v>81</v>
      </c>
      <c r="BE144" s="3" t="s">
        <v>81</v>
      </c>
      <c r="BF144" s="3" t="s">
        <v>81</v>
      </c>
      <c r="BG144" s="3" t="s">
        <v>81</v>
      </c>
      <c r="BH144" s="3" t="s">
        <v>81</v>
      </c>
      <c r="BI144" s="3" t="s">
        <v>84</v>
      </c>
      <c r="BJ144" s="3" t="s">
        <v>82</v>
      </c>
      <c r="BK144" s="3" t="s">
        <v>83</v>
      </c>
      <c r="BL144" s="3" t="s">
        <v>84</v>
      </c>
      <c r="BM144" s="3" t="s">
        <v>82</v>
      </c>
      <c r="BN144" s="3" t="s">
        <v>84</v>
      </c>
      <c r="BO144" s="3" t="s">
        <v>84</v>
      </c>
      <c r="BP144" s="3" t="s">
        <v>87</v>
      </c>
      <c r="BQ144" s="3" t="s">
        <v>87</v>
      </c>
      <c r="BR144" s="3" t="s">
        <v>87</v>
      </c>
      <c r="BS144" s="3" t="s">
        <v>394</v>
      </c>
      <c r="BT144" s="3" t="s">
        <v>87</v>
      </c>
      <c r="BU144" s="3" t="s">
        <v>81</v>
      </c>
      <c r="BV144" s="3" t="s">
        <v>82</v>
      </c>
      <c r="BW144" s="3" t="s">
        <v>111</v>
      </c>
      <c r="BX144" s="3" t="s">
        <v>82</v>
      </c>
      <c r="BZ144" s="3" t="s">
        <v>93</v>
      </c>
      <c r="CB144" s="3" t="s">
        <v>84</v>
      </c>
      <c r="CF144" s="18"/>
      <c r="CG144" s="18"/>
      <c r="CH144" s="18"/>
      <c r="CI144" s="17"/>
    </row>
    <row r="145" spans="1:87" x14ac:dyDescent="0.15">
      <c r="A145" s="3">
        <v>1847923189</v>
      </c>
      <c r="B145" s="3" t="s">
        <v>398</v>
      </c>
      <c r="C145" s="3" t="s">
        <v>386</v>
      </c>
      <c r="D145" s="3">
        <v>2</v>
      </c>
      <c r="E145" s="3">
        <v>2</v>
      </c>
      <c r="F145" s="3">
        <v>61.259</v>
      </c>
      <c r="G145" s="3">
        <v>2</v>
      </c>
      <c r="H145" s="3">
        <v>32.098999999999997</v>
      </c>
      <c r="I145" s="3">
        <v>13.944000000000001</v>
      </c>
      <c r="J145" s="3">
        <v>26.364999999999998</v>
      </c>
      <c r="K145" s="3">
        <v>7.0620000000000003</v>
      </c>
      <c r="L145" s="3">
        <v>2.1459999999999999</v>
      </c>
      <c r="M145" s="3" t="s">
        <v>81</v>
      </c>
      <c r="N145" s="3" t="s">
        <v>81</v>
      </c>
      <c r="O145" s="3" t="s">
        <v>81</v>
      </c>
      <c r="P145" s="3" t="s">
        <v>81</v>
      </c>
      <c r="Q145" s="3">
        <v>31.672000000000001</v>
      </c>
      <c r="R145" s="3">
        <v>1</v>
      </c>
      <c r="S145" s="3">
        <v>29.21</v>
      </c>
      <c r="T145" s="3">
        <v>4.9130000000000003</v>
      </c>
      <c r="U145" s="3">
        <v>1.8089999999999999</v>
      </c>
      <c r="V145" s="3" t="s">
        <v>81</v>
      </c>
      <c r="W145" s="3" t="s">
        <v>81</v>
      </c>
      <c r="X145" s="3" t="s">
        <v>81</v>
      </c>
      <c r="Y145" s="3" t="s">
        <v>81</v>
      </c>
      <c r="Z145" s="3" t="s">
        <v>81</v>
      </c>
      <c r="AA145" s="3" t="s">
        <v>81</v>
      </c>
      <c r="AB145" s="3" t="s">
        <v>81</v>
      </c>
      <c r="AC145" s="3" t="s">
        <v>81</v>
      </c>
      <c r="AD145" s="3" t="s">
        <v>81</v>
      </c>
      <c r="AE145" s="3" t="s">
        <v>81</v>
      </c>
      <c r="AF145" s="3" t="s">
        <v>81</v>
      </c>
      <c r="AG145" s="3" t="s">
        <v>81</v>
      </c>
      <c r="AH145" s="3" t="s">
        <v>81</v>
      </c>
      <c r="AI145" s="3" t="s">
        <v>81</v>
      </c>
      <c r="AJ145" s="3" t="s">
        <v>81</v>
      </c>
      <c r="AK145" s="3" t="s">
        <v>81</v>
      </c>
      <c r="AL145" s="3" t="s">
        <v>81</v>
      </c>
      <c r="AM145" s="3" t="s">
        <v>81</v>
      </c>
      <c r="AN145" s="3" t="s">
        <v>81</v>
      </c>
      <c r="AO145" s="3" t="s">
        <v>81</v>
      </c>
      <c r="AP145" s="3" t="s">
        <v>81</v>
      </c>
      <c r="AQ145" s="3" t="s">
        <v>81</v>
      </c>
      <c r="AR145" s="3" t="s">
        <v>81</v>
      </c>
      <c r="AS145" s="3" t="s">
        <v>81</v>
      </c>
      <c r="AT145" s="3" t="s">
        <v>81</v>
      </c>
      <c r="AU145" s="3" t="s">
        <v>81</v>
      </c>
      <c r="AV145" s="3" t="s">
        <v>81</v>
      </c>
      <c r="AW145" s="3" t="s">
        <v>81</v>
      </c>
      <c r="AX145" s="3" t="s">
        <v>81</v>
      </c>
      <c r="AY145" s="3" t="s">
        <v>81</v>
      </c>
      <c r="AZ145" s="3" t="s">
        <v>81</v>
      </c>
      <c r="BA145" s="3" t="s">
        <v>81</v>
      </c>
      <c r="BB145" s="3" t="s">
        <v>81</v>
      </c>
      <c r="BC145" s="3" t="s">
        <v>81</v>
      </c>
      <c r="BD145" s="3" t="s">
        <v>81</v>
      </c>
      <c r="BE145" s="3" t="s">
        <v>81</v>
      </c>
      <c r="BF145" s="3" t="s">
        <v>81</v>
      </c>
      <c r="BG145" s="3" t="s">
        <v>81</v>
      </c>
      <c r="BH145" s="3" t="s">
        <v>81</v>
      </c>
      <c r="BI145" s="3" t="s">
        <v>84</v>
      </c>
      <c r="BJ145" s="3" t="s">
        <v>82</v>
      </c>
      <c r="BK145" s="3" t="s">
        <v>83</v>
      </c>
      <c r="BL145" s="3" t="s">
        <v>84</v>
      </c>
      <c r="BM145" s="3" t="s">
        <v>84</v>
      </c>
      <c r="BN145" s="3" t="s">
        <v>82</v>
      </c>
      <c r="BO145" s="3" t="s">
        <v>84</v>
      </c>
      <c r="BP145" s="3" t="s">
        <v>399</v>
      </c>
      <c r="BQ145" s="3" t="s">
        <v>399</v>
      </c>
      <c r="BR145" s="3" t="s">
        <v>400</v>
      </c>
      <c r="BS145" s="3" t="s">
        <v>401</v>
      </c>
      <c r="BT145" s="3" t="s">
        <v>106</v>
      </c>
      <c r="BU145" s="3" t="s">
        <v>98</v>
      </c>
      <c r="BV145" s="3" t="s">
        <v>84</v>
      </c>
      <c r="BW145" s="3" t="s">
        <v>83</v>
      </c>
      <c r="BX145" s="3" t="s">
        <v>82</v>
      </c>
      <c r="BZ145" s="3" t="s">
        <v>93</v>
      </c>
      <c r="CB145" s="3" t="s">
        <v>84</v>
      </c>
      <c r="CF145" s="18"/>
      <c r="CG145" s="18"/>
      <c r="CH145" s="18"/>
      <c r="CI145" s="18"/>
    </row>
    <row r="146" spans="1:87" x14ac:dyDescent="0.15">
      <c r="A146" s="3">
        <v>1847922301</v>
      </c>
      <c r="B146" s="3" t="s">
        <v>402</v>
      </c>
      <c r="C146" s="3" t="s">
        <v>386</v>
      </c>
      <c r="D146" s="3">
        <v>18</v>
      </c>
      <c r="E146" s="3">
        <v>19</v>
      </c>
      <c r="F146" s="3">
        <v>11.561999999999999</v>
      </c>
      <c r="G146" s="3">
        <v>0</v>
      </c>
      <c r="H146" s="3" t="s">
        <v>81</v>
      </c>
      <c r="I146" s="3" t="s">
        <v>81</v>
      </c>
      <c r="J146" s="3" t="s">
        <v>81</v>
      </c>
      <c r="K146" s="3" t="s">
        <v>81</v>
      </c>
      <c r="L146" s="3" t="s">
        <v>81</v>
      </c>
      <c r="M146" s="3" t="s">
        <v>81</v>
      </c>
      <c r="N146" s="3" t="s">
        <v>81</v>
      </c>
      <c r="O146" s="3" t="s">
        <v>81</v>
      </c>
      <c r="P146" s="3" t="s">
        <v>81</v>
      </c>
      <c r="Q146" s="3">
        <v>15.224</v>
      </c>
      <c r="R146" s="3">
        <v>0</v>
      </c>
      <c r="S146" s="3" t="s">
        <v>81</v>
      </c>
      <c r="T146" s="3" t="s">
        <v>81</v>
      </c>
      <c r="U146" s="3" t="s">
        <v>81</v>
      </c>
      <c r="V146" s="3" t="s">
        <v>81</v>
      </c>
      <c r="W146" s="3" t="s">
        <v>81</v>
      </c>
      <c r="X146" s="3" t="s">
        <v>81</v>
      </c>
      <c r="Y146" s="3" t="s">
        <v>81</v>
      </c>
      <c r="Z146" s="3" t="s">
        <v>81</v>
      </c>
      <c r="AA146" s="3" t="s">
        <v>81</v>
      </c>
      <c r="AB146" s="3">
        <v>10.066000000000001</v>
      </c>
      <c r="AC146" s="3">
        <v>0</v>
      </c>
      <c r="AD146" s="3" t="s">
        <v>81</v>
      </c>
      <c r="AE146" s="3" t="s">
        <v>81</v>
      </c>
      <c r="AF146" s="3" t="s">
        <v>81</v>
      </c>
      <c r="AG146" s="3" t="s">
        <v>81</v>
      </c>
      <c r="AH146" s="3" t="s">
        <v>81</v>
      </c>
      <c r="AI146" s="3" t="s">
        <v>81</v>
      </c>
      <c r="AJ146" s="3" t="s">
        <v>81</v>
      </c>
      <c r="AK146" s="3" t="s">
        <v>81</v>
      </c>
      <c r="AL146" s="3" t="s">
        <v>81</v>
      </c>
      <c r="AM146" s="3">
        <v>13.773</v>
      </c>
      <c r="AN146" s="3">
        <v>0</v>
      </c>
      <c r="AO146" s="3" t="s">
        <v>81</v>
      </c>
      <c r="AP146" s="3" t="s">
        <v>81</v>
      </c>
      <c r="AQ146" s="3" t="s">
        <v>81</v>
      </c>
      <c r="AR146" s="3" t="s">
        <v>81</v>
      </c>
      <c r="AS146" s="3" t="s">
        <v>81</v>
      </c>
      <c r="AT146" s="3" t="s">
        <v>81</v>
      </c>
      <c r="AU146" s="3" t="s">
        <v>81</v>
      </c>
      <c r="AV146" s="3" t="s">
        <v>81</v>
      </c>
      <c r="AW146" s="3" t="s">
        <v>81</v>
      </c>
      <c r="AX146" s="3">
        <v>12.478</v>
      </c>
      <c r="AY146" s="3">
        <v>0</v>
      </c>
      <c r="AZ146" s="3" t="s">
        <v>81</v>
      </c>
      <c r="BA146" s="3" t="s">
        <v>81</v>
      </c>
      <c r="BB146" s="3" t="s">
        <v>81</v>
      </c>
      <c r="BC146" s="3" t="s">
        <v>81</v>
      </c>
      <c r="BD146" s="3" t="s">
        <v>81</v>
      </c>
      <c r="BE146" s="3" t="s">
        <v>81</v>
      </c>
      <c r="BF146" s="3" t="s">
        <v>81</v>
      </c>
      <c r="BG146" s="3" t="s">
        <v>81</v>
      </c>
      <c r="BH146" s="3" t="s">
        <v>81</v>
      </c>
      <c r="BI146" s="3" t="s">
        <v>84</v>
      </c>
      <c r="BJ146" s="3" t="s">
        <v>82</v>
      </c>
      <c r="BK146" s="3" t="s">
        <v>83</v>
      </c>
      <c r="BL146" s="3" t="s">
        <v>84</v>
      </c>
      <c r="BM146" s="3" t="s">
        <v>84</v>
      </c>
      <c r="BN146" s="3" t="s">
        <v>84</v>
      </c>
      <c r="BO146" s="3" t="s">
        <v>82</v>
      </c>
      <c r="BP146" s="3" t="s">
        <v>403</v>
      </c>
      <c r="BQ146" s="3" t="s">
        <v>403</v>
      </c>
      <c r="BR146" s="3" t="s">
        <v>404</v>
      </c>
      <c r="BS146" s="3" t="s">
        <v>405</v>
      </c>
      <c r="BT146" s="3" t="s">
        <v>87</v>
      </c>
      <c r="BU146" s="3" t="s">
        <v>85</v>
      </c>
      <c r="BV146" s="3" t="s">
        <v>84</v>
      </c>
      <c r="BW146" s="3" t="s">
        <v>83</v>
      </c>
      <c r="BX146" s="3" t="s">
        <v>82</v>
      </c>
      <c r="BZ146" s="3" t="s">
        <v>93</v>
      </c>
      <c r="CB146" s="3" t="s">
        <v>84</v>
      </c>
      <c r="CF146" s="18"/>
      <c r="CG146" s="18"/>
      <c r="CH146" s="18"/>
      <c r="CI146" s="18"/>
    </row>
    <row r="147" spans="1:87" x14ac:dyDescent="0.15">
      <c r="A147" s="3">
        <v>1318296016</v>
      </c>
      <c r="B147" s="3" t="s">
        <v>413</v>
      </c>
      <c r="C147" s="3" t="s">
        <v>413</v>
      </c>
      <c r="D147" s="3">
        <v>17</v>
      </c>
      <c r="E147" s="3">
        <v>30</v>
      </c>
      <c r="F147" s="3">
        <v>42.368000000000002</v>
      </c>
      <c r="G147" s="3">
        <v>0</v>
      </c>
      <c r="H147" s="3" t="s">
        <v>81</v>
      </c>
      <c r="I147" s="3" t="s">
        <v>81</v>
      </c>
      <c r="J147" s="3" t="s">
        <v>81</v>
      </c>
      <c r="K147" s="3" t="s">
        <v>81</v>
      </c>
      <c r="L147" s="3" t="s">
        <v>81</v>
      </c>
      <c r="M147" s="3" t="s">
        <v>81</v>
      </c>
      <c r="N147" s="3" t="s">
        <v>81</v>
      </c>
      <c r="O147" s="3" t="s">
        <v>81</v>
      </c>
      <c r="P147" s="3" t="s">
        <v>81</v>
      </c>
      <c r="Q147" s="3">
        <v>34.152000000000001</v>
      </c>
      <c r="R147" s="3">
        <v>0</v>
      </c>
      <c r="S147" s="3" t="s">
        <v>81</v>
      </c>
      <c r="T147" s="3" t="s">
        <v>81</v>
      </c>
      <c r="U147" s="3" t="s">
        <v>81</v>
      </c>
      <c r="V147" s="3" t="s">
        <v>81</v>
      </c>
      <c r="W147" s="3" t="s">
        <v>81</v>
      </c>
      <c r="X147" s="3" t="s">
        <v>81</v>
      </c>
      <c r="Y147" s="3" t="s">
        <v>81</v>
      </c>
      <c r="Z147" s="3" t="s">
        <v>81</v>
      </c>
      <c r="AA147" s="3" t="s">
        <v>81</v>
      </c>
      <c r="AB147" s="3">
        <v>50.478000000000002</v>
      </c>
      <c r="AC147" s="3">
        <v>0</v>
      </c>
      <c r="AD147" s="3" t="s">
        <v>81</v>
      </c>
      <c r="AE147" s="3" t="s">
        <v>81</v>
      </c>
      <c r="AF147" s="3" t="s">
        <v>81</v>
      </c>
      <c r="AG147" s="3" t="s">
        <v>81</v>
      </c>
      <c r="AH147" s="3" t="s">
        <v>81</v>
      </c>
      <c r="AI147" s="3" t="s">
        <v>81</v>
      </c>
      <c r="AJ147" s="3" t="s">
        <v>81</v>
      </c>
      <c r="AK147" s="3" t="s">
        <v>81</v>
      </c>
      <c r="AL147" s="3" t="s">
        <v>81</v>
      </c>
      <c r="AM147" s="3">
        <v>49.372</v>
      </c>
      <c r="AN147" s="3">
        <v>0</v>
      </c>
      <c r="AO147" s="3" t="s">
        <v>81</v>
      </c>
      <c r="AP147" s="3" t="s">
        <v>81</v>
      </c>
      <c r="AQ147" s="3" t="s">
        <v>81</v>
      </c>
      <c r="AR147" s="3" t="s">
        <v>81</v>
      </c>
      <c r="AS147" s="3" t="s">
        <v>81</v>
      </c>
      <c r="AT147" s="3" t="s">
        <v>81</v>
      </c>
      <c r="AU147" s="3" t="s">
        <v>81</v>
      </c>
      <c r="AV147" s="3" t="s">
        <v>81</v>
      </c>
      <c r="AW147" s="3" t="s">
        <v>81</v>
      </c>
      <c r="AX147" s="3">
        <v>52.826000000000001</v>
      </c>
      <c r="AY147" s="3">
        <v>0</v>
      </c>
      <c r="AZ147" s="3" t="s">
        <v>81</v>
      </c>
      <c r="BA147" s="3" t="s">
        <v>81</v>
      </c>
      <c r="BB147" s="3" t="s">
        <v>81</v>
      </c>
      <c r="BC147" s="3" t="s">
        <v>81</v>
      </c>
      <c r="BD147" s="3" t="s">
        <v>81</v>
      </c>
      <c r="BE147" s="3" t="s">
        <v>81</v>
      </c>
      <c r="BF147" s="3" t="s">
        <v>81</v>
      </c>
      <c r="BG147" s="3" t="s">
        <v>81</v>
      </c>
      <c r="BH147" s="3" t="s">
        <v>81</v>
      </c>
      <c r="BI147" s="3" t="s">
        <v>84</v>
      </c>
      <c r="BJ147" s="3" t="s">
        <v>82</v>
      </c>
      <c r="BK147" s="3" t="s">
        <v>83</v>
      </c>
      <c r="BL147" s="3" t="s">
        <v>84</v>
      </c>
      <c r="BM147" s="3" t="s">
        <v>84</v>
      </c>
      <c r="BN147" s="3" t="s">
        <v>84</v>
      </c>
      <c r="BO147" s="3" t="s">
        <v>84</v>
      </c>
      <c r="BP147" s="3" t="s">
        <v>218</v>
      </c>
      <c r="BQ147" s="3" t="s">
        <v>218</v>
      </c>
      <c r="BR147" s="3" t="s">
        <v>417</v>
      </c>
      <c r="BS147" s="3" t="s">
        <v>418</v>
      </c>
      <c r="BT147" s="3" t="s">
        <v>87</v>
      </c>
      <c r="BU147" s="3" t="s">
        <v>98</v>
      </c>
      <c r="BV147" s="3" t="s">
        <v>82</v>
      </c>
      <c r="BW147" s="3" t="s">
        <v>91</v>
      </c>
      <c r="BX147" s="3" t="s">
        <v>82</v>
      </c>
      <c r="BY147" s="3" t="s">
        <v>419</v>
      </c>
      <c r="BZ147" s="3" t="s">
        <v>86</v>
      </c>
      <c r="CB147" s="3" t="s">
        <v>84</v>
      </c>
      <c r="CD147" s="9">
        <v>27</v>
      </c>
      <c r="CF147" s="18"/>
      <c r="CG147" s="18"/>
      <c r="CH147" s="18"/>
      <c r="CI147" s="17"/>
    </row>
    <row r="148" spans="1:87" x14ac:dyDescent="0.15">
      <c r="A148" s="3">
        <v>2625916600</v>
      </c>
      <c r="B148" s="3" t="s">
        <v>413</v>
      </c>
      <c r="C148" s="3" t="s">
        <v>413</v>
      </c>
      <c r="D148" s="3">
        <v>15</v>
      </c>
      <c r="E148" s="3">
        <v>21</v>
      </c>
      <c r="F148" s="3">
        <v>48.841000000000001</v>
      </c>
      <c r="G148" s="3">
        <v>0</v>
      </c>
      <c r="H148" s="3" t="s">
        <v>81</v>
      </c>
      <c r="I148" s="3" t="s">
        <v>81</v>
      </c>
      <c r="J148" s="3" t="s">
        <v>81</v>
      </c>
      <c r="K148" s="3" t="s">
        <v>81</v>
      </c>
      <c r="L148" s="3" t="s">
        <v>81</v>
      </c>
      <c r="M148" s="3" t="s">
        <v>81</v>
      </c>
      <c r="N148" s="3" t="s">
        <v>81</v>
      </c>
      <c r="O148" s="3" t="s">
        <v>81</v>
      </c>
      <c r="P148" s="3" t="s">
        <v>81</v>
      </c>
      <c r="Q148" s="3">
        <v>44.231000000000002</v>
      </c>
      <c r="R148" s="3">
        <v>0</v>
      </c>
      <c r="S148" s="3" t="s">
        <v>81</v>
      </c>
      <c r="T148" s="3" t="s">
        <v>81</v>
      </c>
      <c r="U148" s="3" t="s">
        <v>81</v>
      </c>
      <c r="V148" s="3" t="s">
        <v>81</v>
      </c>
      <c r="W148" s="3" t="s">
        <v>81</v>
      </c>
      <c r="X148" s="3" t="s">
        <v>81</v>
      </c>
      <c r="Y148" s="3" t="s">
        <v>81</v>
      </c>
      <c r="Z148" s="3" t="s">
        <v>81</v>
      </c>
      <c r="AA148" s="3" t="s">
        <v>81</v>
      </c>
      <c r="AB148" s="3">
        <v>40.491</v>
      </c>
      <c r="AC148" s="3">
        <v>0</v>
      </c>
      <c r="AD148" s="3" t="s">
        <v>81</v>
      </c>
      <c r="AE148" s="3" t="s">
        <v>81</v>
      </c>
      <c r="AF148" s="3" t="s">
        <v>81</v>
      </c>
      <c r="AG148" s="3" t="s">
        <v>81</v>
      </c>
      <c r="AH148" s="3" t="s">
        <v>81</v>
      </c>
      <c r="AI148" s="3" t="s">
        <v>81</v>
      </c>
      <c r="AJ148" s="3" t="s">
        <v>81</v>
      </c>
      <c r="AK148" s="3" t="s">
        <v>81</v>
      </c>
      <c r="AL148" s="3" t="s">
        <v>81</v>
      </c>
      <c r="AM148" s="3">
        <v>35.935000000000002</v>
      </c>
      <c r="AN148" s="3">
        <v>0</v>
      </c>
      <c r="AO148" s="3" t="s">
        <v>81</v>
      </c>
      <c r="AP148" s="3" t="s">
        <v>81</v>
      </c>
      <c r="AQ148" s="3" t="s">
        <v>81</v>
      </c>
      <c r="AR148" s="3" t="s">
        <v>81</v>
      </c>
      <c r="AS148" s="3" t="s">
        <v>81</v>
      </c>
      <c r="AT148" s="3" t="s">
        <v>81</v>
      </c>
      <c r="AU148" s="3" t="s">
        <v>81</v>
      </c>
      <c r="AV148" s="3" t="s">
        <v>81</v>
      </c>
      <c r="AW148" s="3" t="s">
        <v>81</v>
      </c>
      <c r="AX148" s="3">
        <v>46.436999999999998</v>
      </c>
      <c r="AY148" s="3">
        <v>0</v>
      </c>
      <c r="AZ148" s="3" t="s">
        <v>81</v>
      </c>
      <c r="BA148" s="3" t="s">
        <v>81</v>
      </c>
      <c r="BB148" s="3" t="s">
        <v>81</v>
      </c>
      <c r="BC148" s="3" t="s">
        <v>81</v>
      </c>
      <c r="BD148" s="3" t="s">
        <v>81</v>
      </c>
      <c r="BE148" s="3" t="s">
        <v>81</v>
      </c>
      <c r="BF148" s="3" t="s">
        <v>81</v>
      </c>
      <c r="BG148" s="3" t="s">
        <v>81</v>
      </c>
      <c r="BH148" s="3" t="s">
        <v>81</v>
      </c>
      <c r="BI148" s="3" t="s">
        <v>84</v>
      </c>
      <c r="BJ148" s="3" t="s">
        <v>82</v>
      </c>
      <c r="BK148" s="3" t="s">
        <v>83</v>
      </c>
      <c r="BL148" s="3" t="s">
        <v>84</v>
      </c>
      <c r="BM148" s="3" t="s">
        <v>84</v>
      </c>
      <c r="BN148" s="3" t="s">
        <v>84</v>
      </c>
      <c r="BO148" s="3" t="s">
        <v>84</v>
      </c>
      <c r="BP148" s="3" t="s">
        <v>420</v>
      </c>
      <c r="BQ148" s="3" t="s">
        <v>420</v>
      </c>
      <c r="BR148" s="3" t="s">
        <v>421</v>
      </c>
      <c r="BS148" s="3" t="s">
        <v>422</v>
      </c>
      <c r="BT148" s="3" t="s">
        <v>98</v>
      </c>
      <c r="BU148" s="3" t="s">
        <v>87</v>
      </c>
      <c r="BV148" s="3" t="s">
        <v>82</v>
      </c>
      <c r="BW148" s="3" t="s">
        <v>91</v>
      </c>
      <c r="BX148" s="3" t="s">
        <v>82</v>
      </c>
      <c r="BZ148" s="3" t="s">
        <v>86</v>
      </c>
      <c r="CB148" s="3" t="s">
        <v>84</v>
      </c>
      <c r="CD148" s="9">
        <v>21</v>
      </c>
      <c r="CF148" s="18"/>
      <c r="CG148" s="18"/>
      <c r="CH148" s="18"/>
      <c r="CI148" s="18"/>
    </row>
    <row r="149" spans="1:87" x14ac:dyDescent="0.15">
      <c r="A149" s="3">
        <v>2643317434</v>
      </c>
      <c r="B149" s="3" t="s">
        <v>413</v>
      </c>
      <c r="C149" s="3" t="s">
        <v>413</v>
      </c>
      <c r="D149" s="3" t="s">
        <v>81</v>
      </c>
      <c r="E149" s="3">
        <v>47</v>
      </c>
      <c r="F149" s="3">
        <v>47.024999999999999</v>
      </c>
      <c r="G149" s="3">
        <v>0</v>
      </c>
      <c r="H149" s="3" t="s">
        <v>81</v>
      </c>
      <c r="I149" s="3" t="s">
        <v>81</v>
      </c>
      <c r="J149" s="3" t="s">
        <v>81</v>
      </c>
      <c r="K149" s="3" t="s">
        <v>81</v>
      </c>
      <c r="L149" s="3" t="s">
        <v>81</v>
      </c>
      <c r="M149" s="3" t="s">
        <v>81</v>
      </c>
      <c r="N149" s="3" t="s">
        <v>81</v>
      </c>
      <c r="O149" s="3" t="s">
        <v>81</v>
      </c>
      <c r="P149" s="3" t="s">
        <v>81</v>
      </c>
      <c r="Q149" s="3">
        <v>47.256</v>
      </c>
      <c r="R149" s="3">
        <v>0</v>
      </c>
      <c r="S149" s="3" t="s">
        <v>81</v>
      </c>
      <c r="T149" s="3" t="s">
        <v>81</v>
      </c>
      <c r="U149" s="3" t="s">
        <v>81</v>
      </c>
      <c r="V149" s="3" t="s">
        <v>81</v>
      </c>
      <c r="W149" s="3" t="s">
        <v>81</v>
      </c>
      <c r="X149" s="3" t="s">
        <v>81</v>
      </c>
      <c r="Y149" s="3" t="s">
        <v>81</v>
      </c>
      <c r="Z149" s="3" t="s">
        <v>81</v>
      </c>
      <c r="AA149" s="3" t="s">
        <v>81</v>
      </c>
      <c r="AB149" s="3">
        <v>43.363999999999997</v>
      </c>
      <c r="AC149" s="3">
        <v>0</v>
      </c>
      <c r="AD149" s="3" t="s">
        <v>81</v>
      </c>
      <c r="AE149" s="3" t="s">
        <v>81</v>
      </c>
      <c r="AF149" s="3" t="s">
        <v>81</v>
      </c>
      <c r="AG149" s="3" t="s">
        <v>81</v>
      </c>
      <c r="AH149" s="3" t="s">
        <v>81</v>
      </c>
      <c r="AI149" s="3" t="s">
        <v>81</v>
      </c>
      <c r="AJ149" s="3" t="s">
        <v>81</v>
      </c>
      <c r="AK149" s="3" t="s">
        <v>81</v>
      </c>
      <c r="AL149" s="3" t="s">
        <v>81</v>
      </c>
      <c r="AM149" s="3">
        <v>50.164999999999999</v>
      </c>
      <c r="AN149" s="3">
        <v>0</v>
      </c>
      <c r="AO149" s="3" t="s">
        <v>81</v>
      </c>
      <c r="AP149" s="3" t="s">
        <v>81</v>
      </c>
      <c r="AQ149" s="3" t="s">
        <v>81</v>
      </c>
      <c r="AR149" s="3" t="s">
        <v>81</v>
      </c>
      <c r="AS149" s="3" t="s">
        <v>81</v>
      </c>
      <c r="AT149" s="3" t="s">
        <v>81</v>
      </c>
      <c r="AU149" s="3" t="s">
        <v>81</v>
      </c>
      <c r="AV149" s="3" t="s">
        <v>81</v>
      </c>
      <c r="AW149" s="3" t="s">
        <v>81</v>
      </c>
      <c r="AX149" s="3">
        <v>44.261000000000003</v>
      </c>
      <c r="AY149" s="3">
        <v>0</v>
      </c>
      <c r="AZ149" s="3" t="s">
        <v>81</v>
      </c>
      <c r="BA149" s="3" t="s">
        <v>81</v>
      </c>
      <c r="BB149" s="3" t="s">
        <v>81</v>
      </c>
      <c r="BC149" s="3" t="s">
        <v>81</v>
      </c>
      <c r="BD149" s="3" t="s">
        <v>81</v>
      </c>
      <c r="BE149" s="3" t="s">
        <v>81</v>
      </c>
      <c r="BF149" s="3" t="s">
        <v>81</v>
      </c>
      <c r="BG149" s="3" t="s">
        <v>81</v>
      </c>
      <c r="BH149" s="3" t="s">
        <v>81</v>
      </c>
      <c r="BI149" s="3" t="s">
        <v>84</v>
      </c>
      <c r="BJ149" s="3" t="s">
        <v>82</v>
      </c>
      <c r="BK149" s="3" t="s">
        <v>83</v>
      </c>
      <c r="BL149" s="3" t="s">
        <v>84</v>
      </c>
      <c r="BM149" s="3" t="s">
        <v>84</v>
      </c>
      <c r="BN149" s="3" t="s">
        <v>84</v>
      </c>
      <c r="BO149" s="3" t="s">
        <v>84</v>
      </c>
      <c r="BP149" s="3" t="s">
        <v>85</v>
      </c>
      <c r="BQ149" s="3" t="s">
        <v>85</v>
      </c>
      <c r="BR149" s="3" t="s">
        <v>423</v>
      </c>
      <c r="BS149" s="3" t="s">
        <v>424</v>
      </c>
      <c r="BT149" s="3" t="s">
        <v>85</v>
      </c>
      <c r="BU149" s="3" t="s">
        <v>98</v>
      </c>
      <c r="BV149" s="3" t="s">
        <v>82</v>
      </c>
      <c r="BW149" s="3" t="s">
        <v>91</v>
      </c>
      <c r="BX149" s="3" t="s">
        <v>82</v>
      </c>
      <c r="BY149" s="3" t="s">
        <v>425</v>
      </c>
      <c r="BZ149" s="3" t="s">
        <v>86</v>
      </c>
      <c r="CB149" s="3" t="s">
        <v>84</v>
      </c>
      <c r="CD149" s="9">
        <v>47</v>
      </c>
      <c r="CF149" s="18"/>
      <c r="CG149" s="18">
        <v>44</v>
      </c>
      <c r="CH149" s="18"/>
      <c r="CI149" s="18"/>
    </row>
    <row r="150" spans="1:87" x14ac:dyDescent="0.15">
      <c r="A150" s="3">
        <v>1228553666</v>
      </c>
      <c r="B150" s="3" t="s">
        <v>492</v>
      </c>
      <c r="C150" s="3" t="s">
        <v>413</v>
      </c>
      <c r="D150" s="3">
        <v>13</v>
      </c>
      <c r="E150" s="3">
        <v>48</v>
      </c>
      <c r="F150" s="3">
        <v>92.066000000000003</v>
      </c>
      <c r="G150" s="3">
        <v>0</v>
      </c>
      <c r="H150" s="3" t="s">
        <v>81</v>
      </c>
      <c r="I150" s="3" t="s">
        <v>81</v>
      </c>
      <c r="J150" s="3" t="s">
        <v>81</v>
      </c>
      <c r="K150" s="3" t="s">
        <v>81</v>
      </c>
      <c r="L150" s="3" t="s">
        <v>81</v>
      </c>
      <c r="M150" s="3" t="s">
        <v>81</v>
      </c>
      <c r="N150" s="3" t="s">
        <v>81</v>
      </c>
      <c r="O150" s="3" t="s">
        <v>81</v>
      </c>
      <c r="P150" s="3" t="s">
        <v>81</v>
      </c>
      <c r="Q150" s="3">
        <v>80.150000000000006</v>
      </c>
      <c r="R150" s="3">
        <v>0</v>
      </c>
      <c r="S150" s="3" t="s">
        <v>81</v>
      </c>
      <c r="T150" s="3" t="s">
        <v>81</v>
      </c>
      <c r="U150" s="3" t="s">
        <v>81</v>
      </c>
      <c r="V150" s="3" t="s">
        <v>81</v>
      </c>
      <c r="W150" s="3" t="s">
        <v>81</v>
      </c>
      <c r="X150" s="3" t="s">
        <v>81</v>
      </c>
      <c r="Y150" s="3" t="s">
        <v>81</v>
      </c>
      <c r="Z150" s="3" t="s">
        <v>81</v>
      </c>
      <c r="AA150" s="3" t="s">
        <v>81</v>
      </c>
      <c r="AB150" s="3">
        <v>83.709000000000003</v>
      </c>
      <c r="AC150" s="3">
        <v>0</v>
      </c>
      <c r="AD150" s="3" t="s">
        <v>81</v>
      </c>
      <c r="AE150" s="3" t="s">
        <v>81</v>
      </c>
      <c r="AF150" s="3" t="s">
        <v>81</v>
      </c>
      <c r="AG150" s="3" t="s">
        <v>81</v>
      </c>
      <c r="AH150" s="3" t="s">
        <v>81</v>
      </c>
      <c r="AI150" s="3" t="s">
        <v>81</v>
      </c>
      <c r="AJ150" s="3" t="s">
        <v>81</v>
      </c>
      <c r="AK150" s="3" t="s">
        <v>81</v>
      </c>
      <c r="AL150" s="3" t="s">
        <v>81</v>
      </c>
      <c r="AM150" s="3">
        <v>79.507999999999996</v>
      </c>
      <c r="AN150" s="3">
        <v>0</v>
      </c>
      <c r="AO150" s="3" t="s">
        <v>81</v>
      </c>
      <c r="AP150" s="3" t="s">
        <v>81</v>
      </c>
      <c r="AQ150" s="3" t="s">
        <v>81</v>
      </c>
      <c r="AR150" s="3" t="s">
        <v>81</v>
      </c>
      <c r="AS150" s="3" t="s">
        <v>81</v>
      </c>
      <c r="AT150" s="3" t="s">
        <v>81</v>
      </c>
      <c r="AU150" s="3" t="s">
        <v>81</v>
      </c>
      <c r="AV150" s="3" t="s">
        <v>81</v>
      </c>
      <c r="AW150" s="3" t="s">
        <v>81</v>
      </c>
      <c r="AX150" s="3">
        <v>99.488</v>
      </c>
      <c r="AY150" s="3">
        <v>0</v>
      </c>
      <c r="AZ150" s="3" t="s">
        <v>81</v>
      </c>
      <c r="BA150" s="3" t="s">
        <v>81</v>
      </c>
      <c r="BB150" s="3" t="s">
        <v>81</v>
      </c>
      <c r="BC150" s="3" t="s">
        <v>81</v>
      </c>
      <c r="BD150" s="3" t="s">
        <v>81</v>
      </c>
      <c r="BE150" s="3" t="s">
        <v>81</v>
      </c>
      <c r="BF150" s="3" t="s">
        <v>81</v>
      </c>
      <c r="BG150" s="3" t="s">
        <v>81</v>
      </c>
      <c r="BH150" s="3" t="s">
        <v>81</v>
      </c>
      <c r="BI150" s="3" t="s">
        <v>84</v>
      </c>
      <c r="BJ150" s="3" t="s">
        <v>82</v>
      </c>
      <c r="BK150" s="3" t="s">
        <v>83</v>
      </c>
      <c r="BL150" s="3" t="s">
        <v>84</v>
      </c>
      <c r="BM150" s="3" t="s">
        <v>84</v>
      </c>
      <c r="BN150" s="3" t="s">
        <v>82</v>
      </c>
      <c r="BO150" s="3" t="s">
        <v>82</v>
      </c>
      <c r="BP150" s="3" t="s">
        <v>98</v>
      </c>
      <c r="BQ150" s="3" t="s">
        <v>98</v>
      </c>
      <c r="BR150" s="3" t="s">
        <v>98</v>
      </c>
      <c r="BS150" s="3" t="s">
        <v>98</v>
      </c>
      <c r="BT150" s="3" t="s">
        <v>98</v>
      </c>
      <c r="BU150" s="3" t="s">
        <v>81</v>
      </c>
      <c r="BV150" s="3" t="s">
        <v>82</v>
      </c>
      <c r="BW150" s="3" t="s">
        <v>91</v>
      </c>
      <c r="BX150" s="3" t="s">
        <v>82</v>
      </c>
      <c r="BY150" s="3"/>
      <c r="BZ150" s="3" t="s">
        <v>93</v>
      </c>
      <c r="CA150" s="3"/>
      <c r="CB150" s="3" t="s">
        <v>84</v>
      </c>
      <c r="CC150" s="3"/>
      <c r="CD150" s="9">
        <v>49</v>
      </c>
      <c r="CE150" s="3"/>
      <c r="CF150" s="17"/>
      <c r="CG150" s="17"/>
      <c r="CH150" s="17"/>
      <c r="CI150" s="18"/>
    </row>
    <row r="151" spans="1:87" x14ac:dyDescent="0.15">
      <c r="A151" s="3">
        <v>2625876357</v>
      </c>
      <c r="B151" s="3" t="s">
        <v>492</v>
      </c>
      <c r="C151" s="3" t="s">
        <v>413</v>
      </c>
      <c r="D151" s="3" t="s">
        <v>81</v>
      </c>
      <c r="E151" s="3">
        <v>28</v>
      </c>
      <c r="F151" s="3">
        <v>44.792000000000002</v>
      </c>
      <c r="G151" s="3">
        <v>0</v>
      </c>
      <c r="H151" s="3" t="s">
        <v>81</v>
      </c>
      <c r="I151" s="3" t="s">
        <v>81</v>
      </c>
      <c r="J151" s="3" t="s">
        <v>81</v>
      </c>
      <c r="K151" s="3" t="s">
        <v>81</v>
      </c>
      <c r="L151" s="3" t="s">
        <v>81</v>
      </c>
      <c r="M151" s="3" t="s">
        <v>81</v>
      </c>
      <c r="N151" s="3" t="s">
        <v>81</v>
      </c>
      <c r="O151" s="3" t="s">
        <v>81</v>
      </c>
      <c r="P151" s="3" t="s">
        <v>81</v>
      </c>
      <c r="Q151" s="3">
        <v>38.646000000000001</v>
      </c>
      <c r="R151" s="3">
        <v>0</v>
      </c>
      <c r="S151" s="3" t="s">
        <v>81</v>
      </c>
      <c r="T151" s="3" t="s">
        <v>81</v>
      </c>
      <c r="U151" s="3" t="s">
        <v>81</v>
      </c>
      <c r="V151" s="3" t="s">
        <v>81</v>
      </c>
      <c r="W151" s="3" t="s">
        <v>81</v>
      </c>
      <c r="X151" s="3" t="s">
        <v>81</v>
      </c>
      <c r="Y151" s="3" t="s">
        <v>81</v>
      </c>
      <c r="Z151" s="3" t="s">
        <v>81</v>
      </c>
      <c r="AA151" s="3" t="s">
        <v>81</v>
      </c>
      <c r="AB151" s="3">
        <v>37.652000000000001</v>
      </c>
      <c r="AC151" s="3">
        <v>0</v>
      </c>
      <c r="AD151" s="3" t="s">
        <v>81</v>
      </c>
      <c r="AE151" s="3" t="s">
        <v>81</v>
      </c>
      <c r="AF151" s="3" t="s">
        <v>81</v>
      </c>
      <c r="AG151" s="3" t="s">
        <v>81</v>
      </c>
      <c r="AH151" s="3" t="s">
        <v>81</v>
      </c>
      <c r="AI151" s="3" t="s">
        <v>81</v>
      </c>
      <c r="AJ151" s="3" t="s">
        <v>81</v>
      </c>
      <c r="AK151" s="3" t="s">
        <v>81</v>
      </c>
      <c r="AL151" s="3" t="s">
        <v>81</v>
      </c>
      <c r="AM151" s="3">
        <v>37.243000000000002</v>
      </c>
      <c r="AN151" s="3">
        <v>0</v>
      </c>
      <c r="AO151" s="3" t="s">
        <v>81</v>
      </c>
      <c r="AP151" s="3" t="s">
        <v>81</v>
      </c>
      <c r="AQ151" s="3" t="s">
        <v>81</v>
      </c>
      <c r="AR151" s="3" t="s">
        <v>81</v>
      </c>
      <c r="AS151" s="3" t="s">
        <v>81</v>
      </c>
      <c r="AT151" s="3" t="s">
        <v>81</v>
      </c>
      <c r="AU151" s="3" t="s">
        <v>81</v>
      </c>
      <c r="AV151" s="3" t="s">
        <v>81</v>
      </c>
      <c r="AW151" s="3" t="s">
        <v>81</v>
      </c>
      <c r="AX151" s="3">
        <v>40.536999999999999</v>
      </c>
      <c r="AY151" s="3">
        <v>0</v>
      </c>
      <c r="AZ151" s="3" t="s">
        <v>81</v>
      </c>
      <c r="BA151" s="3" t="s">
        <v>81</v>
      </c>
      <c r="BB151" s="3" t="s">
        <v>81</v>
      </c>
      <c r="BC151" s="3" t="s">
        <v>81</v>
      </c>
      <c r="BD151" s="3" t="s">
        <v>81</v>
      </c>
      <c r="BE151" s="3" t="s">
        <v>81</v>
      </c>
      <c r="BF151" s="3" t="s">
        <v>81</v>
      </c>
      <c r="BG151" s="3" t="s">
        <v>81</v>
      </c>
      <c r="BH151" s="3" t="s">
        <v>81</v>
      </c>
      <c r="BI151" s="3" t="s">
        <v>82</v>
      </c>
      <c r="BJ151" s="3" t="s">
        <v>82</v>
      </c>
      <c r="BK151" s="3" t="s">
        <v>83</v>
      </c>
      <c r="BL151" s="3" t="s">
        <v>84</v>
      </c>
      <c r="BM151" s="3" t="s">
        <v>84</v>
      </c>
      <c r="BN151" s="3" t="s">
        <v>84</v>
      </c>
      <c r="BO151" s="3" t="s">
        <v>84</v>
      </c>
      <c r="BP151" s="3" t="s">
        <v>81</v>
      </c>
      <c r="BQ151" s="3" t="s">
        <v>81</v>
      </c>
      <c r="BR151" s="3" t="s">
        <v>81</v>
      </c>
      <c r="BS151" s="3" t="s">
        <v>81</v>
      </c>
      <c r="BT151" s="3" t="s">
        <v>81</v>
      </c>
      <c r="BU151" s="3" t="s">
        <v>81</v>
      </c>
      <c r="BV151" s="3" t="s">
        <v>82</v>
      </c>
      <c r="BW151" s="3" t="s">
        <v>91</v>
      </c>
      <c r="BX151" s="3" t="s">
        <v>82</v>
      </c>
      <c r="BY151" s="3" t="s">
        <v>493</v>
      </c>
      <c r="BZ151" s="3" t="s">
        <v>86</v>
      </c>
      <c r="CB151" s="3" t="s">
        <v>84</v>
      </c>
      <c r="CD151" s="9">
        <v>27</v>
      </c>
      <c r="CF151" s="18"/>
      <c r="CG151" s="18"/>
      <c r="CH151" s="18"/>
      <c r="CI151" s="18"/>
    </row>
    <row r="152" spans="1:87" x14ac:dyDescent="0.15">
      <c r="A152" s="3">
        <v>2643321389</v>
      </c>
      <c r="B152" s="3" t="s">
        <v>492</v>
      </c>
      <c r="C152" s="3" t="s">
        <v>413</v>
      </c>
      <c r="D152" s="3">
        <v>9</v>
      </c>
      <c r="E152" s="3">
        <v>52</v>
      </c>
      <c r="F152" s="3">
        <v>87.778999999999996</v>
      </c>
      <c r="G152" s="3">
        <v>0</v>
      </c>
      <c r="H152" s="3" t="s">
        <v>81</v>
      </c>
      <c r="I152" s="3" t="s">
        <v>81</v>
      </c>
      <c r="J152" s="3" t="s">
        <v>81</v>
      </c>
      <c r="K152" s="3" t="s">
        <v>81</v>
      </c>
      <c r="L152" s="3" t="s">
        <v>81</v>
      </c>
      <c r="M152" s="3" t="s">
        <v>81</v>
      </c>
      <c r="N152" s="3" t="s">
        <v>81</v>
      </c>
      <c r="O152" s="3" t="s">
        <v>81</v>
      </c>
      <c r="P152" s="3" t="s">
        <v>81</v>
      </c>
      <c r="Q152" s="3">
        <v>91.26</v>
      </c>
      <c r="R152" s="3">
        <v>0</v>
      </c>
      <c r="S152" s="3" t="s">
        <v>81</v>
      </c>
      <c r="T152" s="3" t="s">
        <v>81</v>
      </c>
      <c r="U152" s="3" t="s">
        <v>81</v>
      </c>
      <c r="V152" s="3" t="s">
        <v>81</v>
      </c>
      <c r="W152" s="3" t="s">
        <v>81</v>
      </c>
      <c r="X152" s="3" t="s">
        <v>81</v>
      </c>
      <c r="Y152" s="3" t="s">
        <v>81</v>
      </c>
      <c r="Z152" s="3" t="s">
        <v>81</v>
      </c>
      <c r="AA152" s="3" t="s">
        <v>81</v>
      </c>
      <c r="AB152" s="3">
        <v>91.528999999999996</v>
      </c>
      <c r="AC152" s="3">
        <v>0</v>
      </c>
      <c r="AD152" s="3" t="s">
        <v>81</v>
      </c>
      <c r="AE152" s="3" t="s">
        <v>81</v>
      </c>
      <c r="AF152" s="3" t="s">
        <v>81</v>
      </c>
      <c r="AG152" s="3" t="s">
        <v>81</v>
      </c>
      <c r="AH152" s="3" t="s">
        <v>81</v>
      </c>
      <c r="AI152" s="3" t="s">
        <v>81</v>
      </c>
      <c r="AJ152" s="3" t="s">
        <v>81</v>
      </c>
      <c r="AK152" s="3" t="s">
        <v>81</v>
      </c>
      <c r="AL152" s="3" t="s">
        <v>81</v>
      </c>
      <c r="AM152" s="3">
        <v>74.703999999999994</v>
      </c>
      <c r="AN152" s="3">
        <v>0</v>
      </c>
      <c r="AO152" s="3" t="s">
        <v>81</v>
      </c>
      <c r="AP152" s="3" t="s">
        <v>81</v>
      </c>
      <c r="AQ152" s="3" t="s">
        <v>81</v>
      </c>
      <c r="AR152" s="3" t="s">
        <v>81</v>
      </c>
      <c r="AS152" s="3" t="s">
        <v>81</v>
      </c>
      <c r="AT152" s="3" t="s">
        <v>81</v>
      </c>
      <c r="AU152" s="3" t="s">
        <v>81</v>
      </c>
      <c r="AV152" s="3" t="s">
        <v>81</v>
      </c>
      <c r="AW152" s="3" t="s">
        <v>81</v>
      </c>
      <c r="AX152" s="3">
        <v>85.863</v>
      </c>
      <c r="AY152" s="3">
        <v>0</v>
      </c>
      <c r="AZ152" s="3" t="s">
        <v>81</v>
      </c>
      <c r="BA152" s="3" t="s">
        <v>81</v>
      </c>
      <c r="BB152" s="3" t="s">
        <v>81</v>
      </c>
      <c r="BC152" s="3" t="s">
        <v>81</v>
      </c>
      <c r="BD152" s="3" t="s">
        <v>81</v>
      </c>
      <c r="BE152" s="3" t="s">
        <v>81</v>
      </c>
      <c r="BF152" s="3" t="s">
        <v>81</v>
      </c>
      <c r="BG152" s="3" t="s">
        <v>81</v>
      </c>
      <c r="BH152" s="3" t="s">
        <v>81</v>
      </c>
      <c r="BI152" s="3" t="s">
        <v>84</v>
      </c>
      <c r="BJ152" s="3" t="s">
        <v>82</v>
      </c>
      <c r="BK152" s="3" t="s">
        <v>83</v>
      </c>
      <c r="BL152" s="3" t="s">
        <v>84</v>
      </c>
      <c r="BM152" s="3" t="s">
        <v>84</v>
      </c>
      <c r="BN152" s="3" t="s">
        <v>84</v>
      </c>
      <c r="BO152" s="3" t="s">
        <v>82</v>
      </c>
      <c r="BP152" s="3" t="s">
        <v>98</v>
      </c>
      <c r="BQ152" s="3" t="s">
        <v>98</v>
      </c>
      <c r="BR152" s="3" t="s">
        <v>98</v>
      </c>
      <c r="BS152" s="3" t="s">
        <v>98</v>
      </c>
      <c r="BT152" s="3" t="s">
        <v>98</v>
      </c>
      <c r="BU152" s="3" t="s">
        <v>81</v>
      </c>
      <c r="BV152" s="3" t="s">
        <v>82</v>
      </c>
      <c r="BW152" s="3" t="s">
        <v>91</v>
      </c>
      <c r="BX152" s="3" t="s">
        <v>82</v>
      </c>
      <c r="BZ152" s="3" t="s">
        <v>86</v>
      </c>
      <c r="CB152" s="3" t="s">
        <v>84</v>
      </c>
      <c r="CD152" s="9">
        <v>52</v>
      </c>
      <c r="CF152" s="18"/>
      <c r="CG152" s="18">
        <v>51</v>
      </c>
      <c r="CH152" s="18"/>
      <c r="CI152" s="18"/>
    </row>
    <row r="153" spans="1:87" x14ac:dyDescent="0.15">
      <c r="A153" s="3">
        <v>2625915416</v>
      </c>
      <c r="B153" s="3" t="s">
        <v>426</v>
      </c>
      <c r="C153" s="3" t="s">
        <v>426</v>
      </c>
      <c r="D153" s="3" t="s">
        <v>81</v>
      </c>
      <c r="E153" s="3">
        <v>38</v>
      </c>
      <c r="F153" s="3">
        <v>47.984000000000002</v>
      </c>
      <c r="G153" s="3">
        <v>0</v>
      </c>
      <c r="H153" s="3" t="s">
        <v>81</v>
      </c>
      <c r="I153" s="3" t="s">
        <v>81</v>
      </c>
      <c r="J153" s="3" t="s">
        <v>81</v>
      </c>
      <c r="K153" s="3" t="s">
        <v>81</v>
      </c>
      <c r="L153" s="3" t="s">
        <v>81</v>
      </c>
      <c r="M153" s="3" t="s">
        <v>81</v>
      </c>
      <c r="N153" s="3" t="s">
        <v>81</v>
      </c>
      <c r="O153" s="3" t="s">
        <v>81</v>
      </c>
      <c r="P153" s="3" t="s">
        <v>81</v>
      </c>
      <c r="Q153" s="3">
        <v>45.939</v>
      </c>
      <c r="R153" s="3">
        <v>0</v>
      </c>
      <c r="S153" s="3" t="s">
        <v>81</v>
      </c>
      <c r="T153" s="3" t="s">
        <v>81</v>
      </c>
      <c r="U153" s="3" t="s">
        <v>81</v>
      </c>
      <c r="V153" s="3" t="s">
        <v>81</v>
      </c>
      <c r="W153" s="3" t="s">
        <v>81</v>
      </c>
      <c r="X153" s="3" t="s">
        <v>81</v>
      </c>
      <c r="Y153" s="3" t="s">
        <v>81</v>
      </c>
      <c r="Z153" s="3" t="s">
        <v>81</v>
      </c>
      <c r="AA153" s="3" t="s">
        <v>81</v>
      </c>
      <c r="AB153" s="3">
        <v>44.985999999999997</v>
      </c>
      <c r="AC153" s="3">
        <v>0</v>
      </c>
      <c r="AD153" s="3" t="s">
        <v>81</v>
      </c>
      <c r="AE153" s="3" t="s">
        <v>81</v>
      </c>
      <c r="AF153" s="3" t="s">
        <v>81</v>
      </c>
      <c r="AG153" s="3" t="s">
        <v>81</v>
      </c>
      <c r="AH153" s="3" t="s">
        <v>81</v>
      </c>
      <c r="AI153" s="3" t="s">
        <v>81</v>
      </c>
      <c r="AJ153" s="3" t="s">
        <v>81</v>
      </c>
      <c r="AK153" s="3" t="s">
        <v>81</v>
      </c>
      <c r="AL153" s="3" t="s">
        <v>81</v>
      </c>
      <c r="AM153" s="3">
        <v>42.874000000000002</v>
      </c>
      <c r="AN153" s="3">
        <v>0</v>
      </c>
      <c r="AO153" s="3" t="s">
        <v>81</v>
      </c>
      <c r="AP153" s="3" t="s">
        <v>81</v>
      </c>
      <c r="AQ153" s="3" t="s">
        <v>81</v>
      </c>
      <c r="AR153" s="3" t="s">
        <v>81</v>
      </c>
      <c r="AS153" s="3" t="s">
        <v>81</v>
      </c>
      <c r="AT153" s="3" t="s">
        <v>81</v>
      </c>
      <c r="AU153" s="3" t="s">
        <v>81</v>
      </c>
      <c r="AV153" s="3" t="s">
        <v>81</v>
      </c>
      <c r="AW153" s="3" t="s">
        <v>81</v>
      </c>
      <c r="AX153" s="3">
        <v>49.994999999999997</v>
      </c>
      <c r="AY153" s="3">
        <v>0</v>
      </c>
      <c r="AZ153" s="3" t="s">
        <v>81</v>
      </c>
      <c r="BA153" s="3" t="s">
        <v>81</v>
      </c>
      <c r="BB153" s="3" t="s">
        <v>81</v>
      </c>
      <c r="BC153" s="3" t="s">
        <v>81</v>
      </c>
      <c r="BD153" s="3" t="s">
        <v>81</v>
      </c>
      <c r="BE153" s="3" t="s">
        <v>81</v>
      </c>
      <c r="BF153" s="3" t="s">
        <v>81</v>
      </c>
      <c r="BG153" s="3" t="s">
        <v>81</v>
      </c>
      <c r="BH153" s="3" t="s">
        <v>81</v>
      </c>
      <c r="BI153" s="3" t="s">
        <v>84</v>
      </c>
      <c r="BJ153" s="3" t="s">
        <v>82</v>
      </c>
      <c r="BK153" s="3" t="s">
        <v>83</v>
      </c>
      <c r="BL153" s="3" t="s">
        <v>84</v>
      </c>
      <c r="BM153" s="3" t="s">
        <v>84</v>
      </c>
      <c r="BN153" s="3"/>
      <c r="BO153" s="3" t="s">
        <v>82</v>
      </c>
      <c r="BP153" s="3" t="s">
        <v>113</v>
      </c>
      <c r="BQ153" s="3" t="s">
        <v>87</v>
      </c>
      <c r="BR153" s="3" t="s">
        <v>87</v>
      </c>
      <c r="BS153" s="3" t="s">
        <v>87</v>
      </c>
      <c r="BT153" s="3" t="s">
        <v>87</v>
      </c>
      <c r="BU153" s="3" t="s">
        <v>81</v>
      </c>
      <c r="BV153" s="3" t="s">
        <v>84</v>
      </c>
      <c r="BW153" s="3"/>
      <c r="BX153" s="3" t="s">
        <v>82</v>
      </c>
      <c r="BY153" s="3" t="s">
        <v>427</v>
      </c>
      <c r="BZ153" s="3" t="s">
        <v>86</v>
      </c>
      <c r="CB153" s="3" t="s">
        <v>84</v>
      </c>
      <c r="CD153" s="9">
        <v>38</v>
      </c>
      <c r="CF153" s="18"/>
      <c r="CG153" s="18"/>
      <c r="CH153" s="18"/>
      <c r="CI153" s="18"/>
    </row>
    <row r="154" spans="1:87" x14ac:dyDescent="0.15">
      <c r="A154" s="3">
        <v>1847925674</v>
      </c>
      <c r="B154" s="3" t="s">
        <v>426</v>
      </c>
      <c r="C154" s="3" t="s">
        <v>426</v>
      </c>
      <c r="D154" s="3">
        <v>13</v>
      </c>
      <c r="E154" s="3">
        <v>17</v>
      </c>
      <c r="F154" s="3">
        <v>62.209000000000003</v>
      </c>
      <c r="G154" s="3">
        <v>0</v>
      </c>
      <c r="H154" s="3" t="s">
        <v>81</v>
      </c>
      <c r="I154" s="3" t="s">
        <v>81</v>
      </c>
      <c r="J154" s="3" t="s">
        <v>81</v>
      </c>
      <c r="K154" s="3" t="s">
        <v>81</v>
      </c>
      <c r="L154" s="3" t="s">
        <v>81</v>
      </c>
      <c r="M154" s="3" t="s">
        <v>81</v>
      </c>
      <c r="N154" s="3" t="s">
        <v>81</v>
      </c>
      <c r="O154" s="3" t="s">
        <v>81</v>
      </c>
      <c r="P154" s="3" t="s">
        <v>81</v>
      </c>
      <c r="Q154" s="3">
        <v>47.508000000000003</v>
      </c>
      <c r="R154" s="3">
        <v>0</v>
      </c>
      <c r="S154" s="3" t="s">
        <v>81</v>
      </c>
      <c r="T154" s="3" t="s">
        <v>81</v>
      </c>
      <c r="U154" s="3" t="s">
        <v>81</v>
      </c>
      <c r="V154" s="3" t="s">
        <v>81</v>
      </c>
      <c r="W154" s="3" t="s">
        <v>81</v>
      </c>
      <c r="X154" s="3" t="s">
        <v>81</v>
      </c>
      <c r="Y154" s="3" t="s">
        <v>81</v>
      </c>
      <c r="Z154" s="3" t="s">
        <v>81</v>
      </c>
      <c r="AA154" s="3" t="s">
        <v>81</v>
      </c>
      <c r="AB154" s="3">
        <v>53.305999999999997</v>
      </c>
      <c r="AC154" s="3">
        <v>0</v>
      </c>
      <c r="AD154" s="3" t="s">
        <v>81</v>
      </c>
      <c r="AE154" s="3" t="s">
        <v>81</v>
      </c>
      <c r="AF154" s="3" t="s">
        <v>81</v>
      </c>
      <c r="AG154" s="3" t="s">
        <v>81</v>
      </c>
      <c r="AH154" s="3" t="s">
        <v>81</v>
      </c>
      <c r="AI154" s="3" t="s">
        <v>81</v>
      </c>
      <c r="AJ154" s="3" t="s">
        <v>81</v>
      </c>
      <c r="AK154" s="3" t="s">
        <v>81</v>
      </c>
      <c r="AL154" s="3" t="s">
        <v>81</v>
      </c>
      <c r="AM154" s="3">
        <v>50.073</v>
      </c>
      <c r="AN154" s="3">
        <v>0</v>
      </c>
      <c r="AO154" s="3" t="s">
        <v>81</v>
      </c>
      <c r="AP154" s="3" t="s">
        <v>81</v>
      </c>
      <c r="AQ154" s="3" t="s">
        <v>81</v>
      </c>
      <c r="AR154" s="3" t="s">
        <v>81</v>
      </c>
      <c r="AS154" s="3" t="s">
        <v>81</v>
      </c>
      <c r="AT154" s="3" t="s">
        <v>81</v>
      </c>
      <c r="AU154" s="3" t="s">
        <v>81</v>
      </c>
      <c r="AV154" s="3" t="s">
        <v>81</v>
      </c>
      <c r="AW154" s="3" t="s">
        <v>81</v>
      </c>
      <c r="AX154" s="3">
        <v>47.475999999999999</v>
      </c>
      <c r="AY154" s="3">
        <v>0</v>
      </c>
      <c r="AZ154" s="3" t="s">
        <v>81</v>
      </c>
      <c r="BA154" s="3" t="s">
        <v>81</v>
      </c>
      <c r="BB154" s="3" t="s">
        <v>81</v>
      </c>
      <c r="BC154" s="3" t="s">
        <v>81</v>
      </c>
      <c r="BD154" s="3" t="s">
        <v>81</v>
      </c>
      <c r="BE154" s="3" t="s">
        <v>81</v>
      </c>
      <c r="BF154" s="3" t="s">
        <v>81</v>
      </c>
      <c r="BG154" s="3" t="s">
        <v>81</v>
      </c>
      <c r="BH154" s="3" t="s">
        <v>81</v>
      </c>
      <c r="BI154" s="3" t="s">
        <v>84</v>
      </c>
      <c r="BJ154" s="3" t="s">
        <v>82</v>
      </c>
      <c r="BK154" s="3" t="s">
        <v>83</v>
      </c>
      <c r="BL154" s="3" t="s">
        <v>84</v>
      </c>
      <c r="BM154" s="3" t="s">
        <v>84</v>
      </c>
      <c r="BN154" s="3" t="s">
        <v>84</v>
      </c>
      <c r="BO154" s="3" t="s">
        <v>82</v>
      </c>
      <c r="BP154" s="3" t="s">
        <v>85</v>
      </c>
      <c r="BQ154" s="3" t="s">
        <v>85</v>
      </c>
      <c r="BR154" s="3" t="s">
        <v>85</v>
      </c>
      <c r="BS154" s="3" t="s">
        <v>85</v>
      </c>
      <c r="BT154" s="3" t="s">
        <v>85</v>
      </c>
      <c r="BU154" s="3" t="s">
        <v>81</v>
      </c>
      <c r="BV154" s="3" t="s">
        <v>82</v>
      </c>
      <c r="BW154" s="3" t="s">
        <v>91</v>
      </c>
      <c r="BX154" s="3" t="s">
        <v>82</v>
      </c>
      <c r="BY154" s="3" t="s">
        <v>428</v>
      </c>
      <c r="BZ154" s="3" t="s">
        <v>93</v>
      </c>
      <c r="CB154" s="3" t="s">
        <v>84</v>
      </c>
      <c r="CD154" s="9">
        <v>14</v>
      </c>
      <c r="CF154" s="18"/>
      <c r="CG154" s="18"/>
      <c r="CH154" s="18"/>
      <c r="CI154" s="17"/>
    </row>
    <row r="155" spans="1:87" x14ac:dyDescent="0.15">
      <c r="A155" s="3">
        <v>1847944574</v>
      </c>
      <c r="B155" s="3" t="s">
        <v>426</v>
      </c>
      <c r="C155" s="3" t="s">
        <v>426</v>
      </c>
      <c r="D155" s="3" t="s">
        <v>81</v>
      </c>
      <c r="E155" s="3">
        <v>21</v>
      </c>
      <c r="F155" s="3">
        <v>40.177</v>
      </c>
      <c r="G155" s="3">
        <v>0</v>
      </c>
      <c r="H155" s="3" t="s">
        <v>81</v>
      </c>
      <c r="I155" s="3" t="s">
        <v>81</v>
      </c>
      <c r="J155" s="3" t="s">
        <v>81</v>
      </c>
      <c r="K155" s="3" t="s">
        <v>81</v>
      </c>
      <c r="L155" s="3" t="s">
        <v>81</v>
      </c>
      <c r="M155" s="3" t="s">
        <v>81</v>
      </c>
      <c r="N155" s="3" t="s">
        <v>81</v>
      </c>
      <c r="O155" s="3" t="s">
        <v>81</v>
      </c>
      <c r="P155" s="3" t="s">
        <v>81</v>
      </c>
      <c r="Q155" s="3">
        <v>43.405999999999999</v>
      </c>
      <c r="R155" s="3">
        <v>0</v>
      </c>
      <c r="S155" s="3" t="s">
        <v>81</v>
      </c>
      <c r="T155" s="3" t="s">
        <v>81</v>
      </c>
      <c r="U155" s="3" t="s">
        <v>81</v>
      </c>
      <c r="V155" s="3" t="s">
        <v>81</v>
      </c>
      <c r="W155" s="3" t="s">
        <v>81</v>
      </c>
      <c r="X155" s="3" t="s">
        <v>81</v>
      </c>
      <c r="Y155" s="3" t="s">
        <v>81</v>
      </c>
      <c r="Z155" s="3" t="s">
        <v>81</v>
      </c>
      <c r="AA155" s="3" t="s">
        <v>81</v>
      </c>
      <c r="AB155" s="3">
        <v>29.611999999999998</v>
      </c>
      <c r="AC155" s="3">
        <v>0</v>
      </c>
      <c r="AD155" s="3" t="s">
        <v>81</v>
      </c>
      <c r="AE155" s="3" t="s">
        <v>81</v>
      </c>
      <c r="AF155" s="3" t="s">
        <v>81</v>
      </c>
      <c r="AG155" s="3" t="s">
        <v>81</v>
      </c>
      <c r="AH155" s="3" t="s">
        <v>81</v>
      </c>
      <c r="AI155" s="3" t="s">
        <v>81</v>
      </c>
      <c r="AJ155" s="3" t="s">
        <v>81</v>
      </c>
      <c r="AK155" s="3" t="s">
        <v>81</v>
      </c>
      <c r="AL155" s="3" t="s">
        <v>81</v>
      </c>
      <c r="AM155" s="3">
        <v>40.99</v>
      </c>
      <c r="AN155" s="3">
        <v>0</v>
      </c>
      <c r="AO155" s="3" t="s">
        <v>81</v>
      </c>
      <c r="AP155" s="3" t="s">
        <v>81</v>
      </c>
      <c r="AQ155" s="3" t="s">
        <v>81</v>
      </c>
      <c r="AR155" s="3" t="s">
        <v>81</v>
      </c>
      <c r="AS155" s="3" t="s">
        <v>81</v>
      </c>
      <c r="AT155" s="3" t="s">
        <v>81</v>
      </c>
      <c r="AU155" s="3" t="s">
        <v>81</v>
      </c>
      <c r="AV155" s="3" t="s">
        <v>81</v>
      </c>
      <c r="AW155" s="3" t="s">
        <v>81</v>
      </c>
      <c r="AX155" s="3">
        <v>49.654000000000003</v>
      </c>
      <c r="AY155" s="3">
        <v>0</v>
      </c>
      <c r="AZ155" s="3" t="s">
        <v>81</v>
      </c>
      <c r="BA155" s="3" t="s">
        <v>81</v>
      </c>
      <c r="BB155" s="3" t="s">
        <v>81</v>
      </c>
      <c r="BC155" s="3" t="s">
        <v>81</v>
      </c>
      <c r="BD155" s="3" t="s">
        <v>81</v>
      </c>
      <c r="BE155" s="3" t="s">
        <v>81</v>
      </c>
      <c r="BF155" s="3" t="s">
        <v>81</v>
      </c>
      <c r="BG155" s="3" t="s">
        <v>81</v>
      </c>
      <c r="BH155" s="3" t="s">
        <v>81</v>
      </c>
      <c r="BI155" s="3" t="s">
        <v>84</v>
      </c>
      <c r="BJ155" s="3" t="s">
        <v>82</v>
      </c>
      <c r="BK155" s="3" t="s">
        <v>83</v>
      </c>
      <c r="BL155" s="3" t="s">
        <v>84</v>
      </c>
      <c r="BM155" s="3" t="s">
        <v>84</v>
      </c>
      <c r="BN155" s="3" t="s">
        <v>84</v>
      </c>
      <c r="BO155" s="3" t="s">
        <v>82</v>
      </c>
      <c r="BP155" s="3" t="s">
        <v>429</v>
      </c>
      <c r="BQ155" s="3" t="s">
        <v>429</v>
      </c>
      <c r="BR155" s="3" t="s">
        <v>429</v>
      </c>
      <c r="BS155" s="3" t="s">
        <v>429</v>
      </c>
      <c r="BT155" s="3" t="s">
        <v>87</v>
      </c>
      <c r="BU155" s="3" t="s">
        <v>81</v>
      </c>
      <c r="BV155" s="3" t="s">
        <v>82</v>
      </c>
      <c r="BW155" s="3" t="s">
        <v>91</v>
      </c>
      <c r="BX155" s="3" t="s">
        <v>82</v>
      </c>
      <c r="BY155" s="3" t="s">
        <v>430</v>
      </c>
      <c r="BZ155" s="3" t="s">
        <v>93</v>
      </c>
      <c r="CB155" s="3" t="s">
        <v>84</v>
      </c>
      <c r="CD155" s="9">
        <v>22</v>
      </c>
      <c r="CF155" s="18"/>
      <c r="CG155" s="18"/>
      <c r="CH155" s="18"/>
      <c r="CI155" s="18"/>
    </row>
    <row r="156" spans="1:87" x14ac:dyDescent="0.15">
      <c r="A156" s="3">
        <v>2235977243</v>
      </c>
      <c r="B156" s="3" t="s">
        <v>426</v>
      </c>
      <c r="C156" s="3" t="s">
        <v>426</v>
      </c>
      <c r="D156" s="3" t="s">
        <v>81</v>
      </c>
      <c r="E156" s="3">
        <v>48</v>
      </c>
      <c r="F156" s="3">
        <v>60.908000000000001</v>
      </c>
      <c r="G156" s="3">
        <v>0</v>
      </c>
      <c r="H156" s="3" t="s">
        <v>81</v>
      </c>
      <c r="I156" s="3" t="s">
        <v>81</v>
      </c>
      <c r="J156" s="3" t="s">
        <v>81</v>
      </c>
      <c r="K156" s="3" t="s">
        <v>81</v>
      </c>
      <c r="L156" s="3" t="s">
        <v>81</v>
      </c>
      <c r="M156" s="3" t="s">
        <v>81</v>
      </c>
      <c r="N156" s="3" t="s">
        <v>81</v>
      </c>
      <c r="O156" s="3" t="s">
        <v>81</v>
      </c>
      <c r="P156" s="3" t="s">
        <v>81</v>
      </c>
      <c r="Q156" s="3">
        <v>60.765999999999998</v>
      </c>
      <c r="R156" s="3">
        <v>0</v>
      </c>
      <c r="S156" s="3" t="s">
        <v>81</v>
      </c>
      <c r="T156" s="3" t="s">
        <v>81</v>
      </c>
      <c r="U156" s="3" t="s">
        <v>81</v>
      </c>
      <c r="V156" s="3" t="s">
        <v>81</v>
      </c>
      <c r="W156" s="3" t="s">
        <v>81</v>
      </c>
      <c r="X156" s="3" t="s">
        <v>81</v>
      </c>
      <c r="Y156" s="3" t="s">
        <v>81</v>
      </c>
      <c r="Z156" s="3" t="s">
        <v>81</v>
      </c>
      <c r="AA156" s="3" t="s">
        <v>81</v>
      </c>
      <c r="AB156" s="3">
        <v>52.962000000000003</v>
      </c>
      <c r="AC156" s="3">
        <v>0</v>
      </c>
      <c r="AD156" s="3" t="s">
        <v>81</v>
      </c>
      <c r="AE156" s="3" t="s">
        <v>81</v>
      </c>
      <c r="AF156" s="3" t="s">
        <v>81</v>
      </c>
      <c r="AG156" s="3" t="s">
        <v>81</v>
      </c>
      <c r="AH156" s="3" t="s">
        <v>81</v>
      </c>
      <c r="AI156" s="3" t="s">
        <v>81</v>
      </c>
      <c r="AJ156" s="3" t="s">
        <v>81</v>
      </c>
      <c r="AK156" s="3" t="s">
        <v>81</v>
      </c>
      <c r="AL156" s="3" t="s">
        <v>81</v>
      </c>
      <c r="AM156" s="3">
        <v>55.457999999999998</v>
      </c>
      <c r="AN156" s="3">
        <v>0</v>
      </c>
      <c r="AO156" s="3" t="s">
        <v>81</v>
      </c>
      <c r="AP156" s="3" t="s">
        <v>81</v>
      </c>
      <c r="AQ156" s="3" t="s">
        <v>81</v>
      </c>
      <c r="AR156" s="3" t="s">
        <v>81</v>
      </c>
      <c r="AS156" s="3" t="s">
        <v>81</v>
      </c>
      <c r="AT156" s="3" t="s">
        <v>81</v>
      </c>
      <c r="AU156" s="3" t="s">
        <v>81</v>
      </c>
      <c r="AV156" s="3" t="s">
        <v>81</v>
      </c>
      <c r="AW156" s="3" t="s">
        <v>81</v>
      </c>
      <c r="AX156" s="3">
        <v>58.177</v>
      </c>
      <c r="AY156" s="3">
        <v>0</v>
      </c>
      <c r="AZ156" s="3" t="s">
        <v>81</v>
      </c>
      <c r="BA156" s="3" t="s">
        <v>81</v>
      </c>
      <c r="BB156" s="3" t="s">
        <v>81</v>
      </c>
      <c r="BC156" s="3" t="s">
        <v>81</v>
      </c>
      <c r="BD156" s="3" t="s">
        <v>81</v>
      </c>
      <c r="BE156" s="3" t="s">
        <v>81</v>
      </c>
      <c r="BF156" s="3" t="s">
        <v>81</v>
      </c>
      <c r="BG156" s="3" t="s">
        <v>81</v>
      </c>
      <c r="BH156" s="3" t="s">
        <v>81</v>
      </c>
      <c r="BI156" s="3" t="s">
        <v>84</v>
      </c>
      <c r="BJ156" s="3" t="s">
        <v>84</v>
      </c>
      <c r="BK156" s="3" t="s">
        <v>82</v>
      </c>
      <c r="BL156" s="3" t="s">
        <v>82</v>
      </c>
      <c r="BM156" s="3" t="s">
        <v>83</v>
      </c>
      <c r="BN156" s="3" t="s">
        <v>82</v>
      </c>
      <c r="BO156" s="3" t="s">
        <v>82</v>
      </c>
      <c r="BP156" s="3" t="s">
        <v>87</v>
      </c>
      <c r="BQ156" s="3" t="s">
        <v>87</v>
      </c>
      <c r="BR156" s="3" t="s">
        <v>87</v>
      </c>
      <c r="BS156" s="3" t="s">
        <v>87</v>
      </c>
      <c r="BT156" s="3" t="s">
        <v>87</v>
      </c>
      <c r="BU156" s="3" t="s">
        <v>81</v>
      </c>
      <c r="BV156" s="3" t="s">
        <v>83</v>
      </c>
      <c r="BW156" s="3" t="s">
        <v>83</v>
      </c>
      <c r="BX156" s="3" t="s">
        <v>83</v>
      </c>
      <c r="BY156" s="3" t="s">
        <v>431</v>
      </c>
      <c r="BZ156" s="3" t="s">
        <v>86</v>
      </c>
      <c r="CB156" s="3" t="s">
        <v>84</v>
      </c>
      <c r="CD156" s="9">
        <v>48</v>
      </c>
      <c r="CF156" s="18"/>
      <c r="CG156" s="18">
        <v>40</v>
      </c>
      <c r="CH156" s="18"/>
      <c r="CI156" s="18"/>
    </row>
    <row r="157" spans="1:87" x14ac:dyDescent="0.15">
      <c r="A157" s="3">
        <v>2643365696</v>
      </c>
      <c r="B157" s="3" t="s">
        <v>426</v>
      </c>
      <c r="C157" s="3" t="s">
        <v>426</v>
      </c>
      <c r="D157" s="3" t="s">
        <v>81</v>
      </c>
      <c r="E157" s="3">
        <v>22</v>
      </c>
      <c r="F157" s="3">
        <v>53.548999999999999</v>
      </c>
      <c r="G157" s="3">
        <v>0</v>
      </c>
      <c r="H157" s="3" t="s">
        <v>81</v>
      </c>
      <c r="I157" s="3" t="s">
        <v>81</v>
      </c>
      <c r="J157" s="3" t="s">
        <v>81</v>
      </c>
      <c r="K157" s="3" t="s">
        <v>81</v>
      </c>
      <c r="L157" s="3" t="s">
        <v>81</v>
      </c>
      <c r="M157" s="3" t="s">
        <v>81</v>
      </c>
      <c r="N157" s="3" t="s">
        <v>81</v>
      </c>
      <c r="O157" s="3" t="s">
        <v>81</v>
      </c>
      <c r="P157" s="3" t="s">
        <v>81</v>
      </c>
      <c r="Q157" s="3">
        <v>47.179000000000002</v>
      </c>
      <c r="R157" s="3">
        <v>0</v>
      </c>
      <c r="S157" s="3" t="s">
        <v>81</v>
      </c>
      <c r="T157" s="3" t="s">
        <v>81</v>
      </c>
      <c r="U157" s="3" t="s">
        <v>81</v>
      </c>
      <c r="V157" s="3" t="s">
        <v>81</v>
      </c>
      <c r="W157" s="3" t="s">
        <v>81</v>
      </c>
      <c r="X157" s="3" t="s">
        <v>81</v>
      </c>
      <c r="Y157" s="3" t="s">
        <v>81</v>
      </c>
      <c r="Z157" s="3" t="s">
        <v>81</v>
      </c>
      <c r="AA157" s="3" t="s">
        <v>81</v>
      </c>
      <c r="AB157" s="3">
        <v>49.616</v>
      </c>
      <c r="AC157" s="3">
        <v>0</v>
      </c>
      <c r="AD157" s="3" t="s">
        <v>81</v>
      </c>
      <c r="AE157" s="3" t="s">
        <v>81</v>
      </c>
      <c r="AF157" s="3" t="s">
        <v>81</v>
      </c>
      <c r="AG157" s="3" t="s">
        <v>81</v>
      </c>
      <c r="AH157" s="3" t="s">
        <v>81</v>
      </c>
      <c r="AI157" s="3" t="s">
        <v>81</v>
      </c>
      <c r="AJ157" s="3" t="s">
        <v>81</v>
      </c>
      <c r="AK157" s="3" t="s">
        <v>81</v>
      </c>
      <c r="AL157" s="3" t="s">
        <v>81</v>
      </c>
      <c r="AM157" s="3">
        <v>47.692999999999998</v>
      </c>
      <c r="AN157" s="3">
        <v>0</v>
      </c>
      <c r="AO157" s="3" t="s">
        <v>81</v>
      </c>
      <c r="AP157" s="3" t="s">
        <v>81</v>
      </c>
      <c r="AQ157" s="3" t="s">
        <v>81</v>
      </c>
      <c r="AR157" s="3" t="s">
        <v>81</v>
      </c>
      <c r="AS157" s="3" t="s">
        <v>81</v>
      </c>
      <c r="AT157" s="3" t="s">
        <v>81</v>
      </c>
      <c r="AU157" s="3" t="s">
        <v>81</v>
      </c>
      <c r="AV157" s="3" t="s">
        <v>81</v>
      </c>
      <c r="AW157" s="3" t="s">
        <v>81</v>
      </c>
      <c r="AX157" s="3" t="s">
        <v>81</v>
      </c>
      <c r="AY157" s="3" t="s">
        <v>81</v>
      </c>
      <c r="AZ157" s="3">
        <v>51.365000000000002</v>
      </c>
      <c r="BA157" s="3">
        <v>0</v>
      </c>
      <c r="BB157" s="3" t="s">
        <v>81</v>
      </c>
      <c r="BC157" s="3" t="s">
        <v>81</v>
      </c>
      <c r="BD157" s="3" t="s">
        <v>81</v>
      </c>
      <c r="BE157" s="3" t="s">
        <v>81</v>
      </c>
      <c r="BF157" s="3" t="s">
        <v>81</v>
      </c>
      <c r="BG157" s="3" t="s">
        <v>81</v>
      </c>
      <c r="BH157" s="3" t="s">
        <v>81</v>
      </c>
      <c r="BI157" s="3" t="s">
        <v>84</v>
      </c>
      <c r="BJ157" s="3" t="s">
        <v>84</v>
      </c>
      <c r="BK157" s="3" t="s">
        <v>84</v>
      </c>
      <c r="BL157" s="3" t="s">
        <v>82</v>
      </c>
      <c r="BM157" s="3" t="s">
        <v>83</v>
      </c>
      <c r="BN157" s="3" t="s">
        <v>82</v>
      </c>
      <c r="BO157" s="3" t="s">
        <v>83</v>
      </c>
      <c r="BP157" s="3" t="s">
        <v>81</v>
      </c>
      <c r="BQ157" s="3" t="s">
        <v>81</v>
      </c>
      <c r="BR157" s="3" t="s">
        <v>81</v>
      </c>
      <c r="BS157" s="3" t="s">
        <v>81</v>
      </c>
      <c r="BT157" s="3" t="s">
        <v>81</v>
      </c>
      <c r="BU157" s="3" t="s">
        <v>81</v>
      </c>
      <c r="BV157" s="3" t="s">
        <v>83</v>
      </c>
      <c r="BW157" s="3" t="s">
        <v>83</v>
      </c>
      <c r="BX157" s="3" t="s">
        <v>83</v>
      </c>
      <c r="BY157" s="3" t="s">
        <v>160</v>
      </c>
      <c r="BZ157" s="3" t="s">
        <v>86</v>
      </c>
      <c r="CB157" s="3" t="s">
        <v>84</v>
      </c>
      <c r="CD157" s="9">
        <v>21</v>
      </c>
      <c r="CF157" s="18"/>
      <c r="CG157" s="18"/>
      <c r="CH157" s="18"/>
      <c r="CI157" s="18"/>
    </row>
    <row r="158" spans="1:87" x14ac:dyDescent="0.15">
      <c r="A158" s="3">
        <v>1847925734</v>
      </c>
      <c r="B158" s="3" t="s">
        <v>432</v>
      </c>
      <c r="C158" s="3" t="s">
        <v>433</v>
      </c>
      <c r="D158" s="3">
        <v>3</v>
      </c>
      <c r="E158" s="3">
        <v>3</v>
      </c>
      <c r="F158" s="3">
        <v>76.451999999999998</v>
      </c>
      <c r="G158" s="3">
        <v>2</v>
      </c>
      <c r="H158" s="3">
        <v>46.771000000000001</v>
      </c>
      <c r="I158" s="3">
        <v>24.695</v>
      </c>
      <c r="J158" s="3">
        <v>9.8870000000000005</v>
      </c>
      <c r="K158" s="3" t="s">
        <v>81</v>
      </c>
      <c r="L158" s="3">
        <v>17.908999999999999</v>
      </c>
      <c r="M158" s="3" t="s">
        <v>81</v>
      </c>
      <c r="N158" s="3" t="s">
        <v>81</v>
      </c>
      <c r="O158" s="3" t="s">
        <v>81</v>
      </c>
      <c r="P158" s="3" t="s">
        <v>81</v>
      </c>
      <c r="Q158" s="3">
        <v>74.346999999999994</v>
      </c>
      <c r="R158" s="3">
        <v>2</v>
      </c>
      <c r="S158" s="3">
        <v>39.093000000000004</v>
      </c>
      <c r="T158" s="3" t="s">
        <v>81</v>
      </c>
      <c r="U158" s="3">
        <v>17.414999999999999</v>
      </c>
      <c r="V158" s="3" t="s">
        <v>81</v>
      </c>
      <c r="W158" s="3">
        <v>16.422000000000001</v>
      </c>
      <c r="X158" s="3" t="s">
        <v>81</v>
      </c>
      <c r="Y158" s="3" t="s">
        <v>81</v>
      </c>
      <c r="Z158" s="3" t="s">
        <v>81</v>
      </c>
      <c r="AA158" s="3" t="s">
        <v>81</v>
      </c>
      <c r="AB158" s="3">
        <v>75.531000000000006</v>
      </c>
      <c r="AC158" s="3">
        <v>2</v>
      </c>
      <c r="AD158" s="3">
        <v>39.896000000000001</v>
      </c>
      <c r="AE158" s="3">
        <v>26.387</v>
      </c>
      <c r="AF158" s="3">
        <v>16.271999999999998</v>
      </c>
      <c r="AG158" s="3" t="s">
        <v>81</v>
      </c>
      <c r="AH158" s="3">
        <v>15.522</v>
      </c>
      <c r="AI158" s="3" t="s">
        <v>81</v>
      </c>
      <c r="AJ158" s="3" t="s">
        <v>81</v>
      </c>
      <c r="AK158" s="3" t="s">
        <v>81</v>
      </c>
      <c r="AL158" s="3" t="s">
        <v>81</v>
      </c>
      <c r="AM158" s="3" t="s">
        <v>81</v>
      </c>
      <c r="AN158" s="3" t="s">
        <v>81</v>
      </c>
      <c r="AO158" s="3" t="s">
        <v>81</v>
      </c>
      <c r="AP158" s="3" t="s">
        <v>81</v>
      </c>
      <c r="AQ158" s="3" t="s">
        <v>81</v>
      </c>
      <c r="AR158" s="3" t="s">
        <v>81</v>
      </c>
      <c r="AS158" s="3" t="s">
        <v>81</v>
      </c>
      <c r="AT158" s="3" t="s">
        <v>81</v>
      </c>
      <c r="AU158" s="3" t="s">
        <v>81</v>
      </c>
      <c r="AV158" s="3" t="s">
        <v>81</v>
      </c>
      <c r="AW158" s="3" t="s">
        <v>81</v>
      </c>
      <c r="AX158" s="3" t="s">
        <v>81</v>
      </c>
      <c r="AY158" s="3" t="s">
        <v>81</v>
      </c>
      <c r="AZ158" s="3" t="s">
        <v>81</v>
      </c>
      <c r="BA158" s="3" t="s">
        <v>81</v>
      </c>
      <c r="BB158" s="3" t="s">
        <v>81</v>
      </c>
      <c r="BC158" s="3" t="s">
        <v>81</v>
      </c>
      <c r="BD158" s="3" t="s">
        <v>81</v>
      </c>
      <c r="BE158" s="3" t="s">
        <v>81</v>
      </c>
      <c r="BF158" s="3" t="s">
        <v>81</v>
      </c>
      <c r="BG158" s="3" t="s">
        <v>81</v>
      </c>
      <c r="BH158" s="3" t="s">
        <v>81</v>
      </c>
      <c r="BI158" s="3" t="s">
        <v>84</v>
      </c>
      <c r="BJ158" s="3" t="s">
        <v>82</v>
      </c>
      <c r="BK158" s="3" t="s">
        <v>83</v>
      </c>
      <c r="BL158" s="3" t="s">
        <v>84</v>
      </c>
      <c r="BM158" s="3" t="s">
        <v>84</v>
      </c>
      <c r="BN158" s="3" t="s">
        <v>82</v>
      </c>
      <c r="BO158" s="3" t="s">
        <v>84</v>
      </c>
      <c r="BP158" s="3" t="s">
        <v>87</v>
      </c>
      <c r="BQ158" s="3" t="s">
        <v>98</v>
      </c>
      <c r="BR158" s="3" t="s">
        <v>434</v>
      </c>
      <c r="BS158" s="3" t="s">
        <v>435</v>
      </c>
      <c r="BT158" s="3" t="s">
        <v>98</v>
      </c>
      <c r="BU158" s="3" t="s">
        <v>87</v>
      </c>
      <c r="BV158" s="3" t="s">
        <v>84</v>
      </c>
      <c r="BW158" s="3" t="s">
        <v>83</v>
      </c>
      <c r="BX158" s="3" t="s">
        <v>84</v>
      </c>
      <c r="BZ158" s="3" t="s">
        <v>93</v>
      </c>
      <c r="CB158" s="3" t="s">
        <v>84</v>
      </c>
      <c r="CD158" s="9">
        <v>6</v>
      </c>
      <c r="CE158" s="9"/>
      <c r="CF158" s="19"/>
      <c r="CG158" s="18"/>
      <c r="CH158" s="18"/>
      <c r="CI158" s="17"/>
    </row>
    <row r="159" spans="1:87" x14ac:dyDescent="0.15">
      <c r="A159" s="3">
        <v>1322942978</v>
      </c>
      <c r="B159" s="3" t="s">
        <v>432</v>
      </c>
      <c r="C159" s="3" t="s">
        <v>433</v>
      </c>
      <c r="D159" s="3">
        <v>3</v>
      </c>
      <c r="E159" s="3">
        <v>3</v>
      </c>
      <c r="F159" s="3">
        <v>60.167999999999999</v>
      </c>
      <c r="G159" s="3">
        <v>2</v>
      </c>
      <c r="H159" s="3">
        <v>41.357999999999997</v>
      </c>
      <c r="I159" s="3">
        <v>10.141</v>
      </c>
      <c r="J159" s="3">
        <v>17.722999999999999</v>
      </c>
      <c r="K159" s="3">
        <v>15.483000000000001</v>
      </c>
      <c r="L159" s="3">
        <v>0.24399999999999999</v>
      </c>
      <c r="M159" s="3" t="s">
        <v>81</v>
      </c>
      <c r="N159" s="3" t="s">
        <v>81</v>
      </c>
      <c r="O159" s="3" t="s">
        <v>81</v>
      </c>
      <c r="P159" s="3" t="s">
        <v>81</v>
      </c>
      <c r="Q159" s="3">
        <v>66.712000000000003</v>
      </c>
      <c r="R159" s="3">
        <v>2</v>
      </c>
      <c r="S159" s="3">
        <v>46.851999999999997</v>
      </c>
      <c r="T159" s="3" t="s">
        <v>81</v>
      </c>
      <c r="U159" s="3">
        <v>17.827999999999999</v>
      </c>
      <c r="V159" s="3">
        <v>10.74</v>
      </c>
      <c r="W159" s="3">
        <v>0.86499999999999999</v>
      </c>
      <c r="X159" s="3" t="s">
        <v>81</v>
      </c>
      <c r="Y159" s="3" t="s">
        <v>81</v>
      </c>
      <c r="Z159" s="3" t="s">
        <v>81</v>
      </c>
      <c r="AA159" s="3" t="s">
        <v>81</v>
      </c>
      <c r="AB159" s="3" t="s">
        <v>81</v>
      </c>
      <c r="AC159" s="3" t="s">
        <v>81</v>
      </c>
      <c r="AD159" s="3" t="s">
        <v>81</v>
      </c>
      <c r="AE159" s="3" t="s">
        <v>81</v>
      </c>
      <c r="AF159" s="3" t="s">
        <v>81</v>
      </c>
      <c r="AG159" s="3" t="s">
        <v>81</v>
      </c>
      <c r="AH159" s="3" t="s">
        <v>81</v>
      </c>
      <c r="AI159" s="3" t="s">
        <v>81</v>
      </c>
      <c r="AJ159" s="3" t="s">
        <v>81</v>
      </c>
      <c r="AK159" s="3" t="s">
        <v>81</v>
      </c>
      <c r="AL159" s="3" t="s">
        <v>81</v>
      </c>
      <c r="AM159" s="3" t="s">
        <v>81</v>
      </c>
      <c r="AN159" s="3" t="s">
        <v>81</v>
      </c>
      <c r="AO159" s="3" t="s">
        <v>81</v>
      </c>
      <c r="AP159" s="3" t="s">
        <v>81</v>
      </c>
      <c r="AQ159" s="3" t="s">
        <v>81</v>
      </c>
      <c r="AR159" s="3" t="s">
        <v>81</v>
      </c>
      <c r="AS159" s="3" t="s">
        <v>81</v>
      </c>
      <c r="AT159" s="3" t="s">
        <v>81</v>
      </c>
      <c r="AU159" s="3" t="s">
        <v>81</v>
      </c>
      <c r="AV159" s="3" t="s">
        <v>81</v>
      </c>
      <c r="AW159" s="3" t="s">
        <v>81</v>
      </c>
      <c r="AX159" s="3" t="s">
        <v>81</v>
      </c>
      <c r="AY159" s="3" t="s">
        <v>81</v>
      </c>
      <c r="AZ159" s="3" t="s">
        <v>81</v>
      </c>
      <c r="BA159" s="3" t="s">
        <v>81</v>
      </c>
      <c r="BB159" s="3" t="s">
        <v>81</v>
      </c>
      <c r="BC159" s="3" t="s">
        <v>81</v>
      </c>
      <c r="BD159" s="3" t="s">
        <v>81</v>
      </c>
      <c r="BE159" s="3" t="s">
        <v>81</v>
      </c>
      <c r="BF159" s="3" t="s">
        <v>81</v>
      </c>
      <c r="BG159" s="3" t="s">
        <v>81</v>
      </c>
      <c r="BH159" s="3" t="s">
        <v>81</v>
      </c>
      <c r="BI159" s="3" t="s">
        <v>84</v>
      </c>
      <c r="BJ159" s="3" t="s">
        <v>82</v>
      </c>
      <c r="BK159" s="3" t="s">
        <v>83</v>
      </c>
      <c r="BL159" s="3" t="s">
        <v>84</v>
      </c>
      <c r="BM159" s="3" t="s">
        <v>84</v>
      </c>
      <c r="BN159" s="3" t="s">
        <v>82</v>
      </c>
      <c r="BO159" s="3" t="s">
        <v>84</v>
      </c>
      <c r="BP159" s="3" t="s">
        <v>436</v>
      </c>
      <c r="BQ159" s="3" t="s">
        <v>436</v>
      </c>
      <c r="BR159" s="3" t="s">
        <v>437</v>
      </c>
      <c r="BS159" s="3" t="s">
        <v>437</v>
      </c>
      <c r="BT159" s="3" t="s">
        <v>98</v>
      </c>
      <c r="BU159" s="3" t="s">
        <v>87</v>
      </c>
      <c r="BV159" s="3" t="s">
        <v>84</v>
      </c>
      <c r="BW159" s="3" t="s">
        <v>83</v>
      </c>
      <c r="BX159" s="3" t="s">
        <v>84</v>
      </c>
      <c r="BY159" s="3" t="s">
        <v>201</v>
      </c>
      <c r="BZ159" s="3" t="s">
        <v>86</v>
      </c>
      <c r="CB159" s="3" t="s">
        <v>84</v>
      </c>
      <c r="CD159" s="9">
        <v>2</v>
      </c>
      <c r="CE159" s="9"/>
      <c r="CF159" s="19"/>
      <c r="CG159" s="18"/>
      <c r="CH159" s="18"/>
      <c r="CI159" s="18"/>
    </row>
    <row r="160" spans="1:87" x14ac:dyDescent="0.15">
      <c r="A160" s="3">
        <v>2643312860</v>
      </c>
      <c r="B160" s="3" t="s">
        <v>432</v>
      </c>
      <c r="C160" s="3" t="s">
        <v>433</v>
      </c>
      <c r="D160" s="3">
        <v>4</v>
      </c>
      <c r="E160" s="3">
        <v>4</v>
      </c>
      <c r="F160" s="3">
        <v>26.792999999999999</v>
      </c>
      <c r="G160" s="3">
        <v>1</v>
      </c>
      <c r="H160" s="3">
        <v>25.927</v>
      </c>
      <c r="I160" s="3">
        <v>9.532</v>
      </c>
      <c r="J160" s="3">
        <v>0.89900000000000002</v>
      </c>
      <c r="K160" s="3" t="s">
        <v>81</v>
      </c>
      <c r="L160" s="3" t="s">
        <v>81</v>
      </c>
      <c r="M160" s="3" t="s">
        <v>81</v>
      </c>
      <c r="N160" s="3" t="s">
        <v>81</v>
      </c>
      <c r="O160" s="3" t="s">
        <v>81</v>
      </c>
      <c r="P160" s="3" t="s">
        <v>81</v>
      </c>
      <c r="Q160" s="3">
        <v>22.411999999999999</v>
      </c>
      <c r="R160" s="3">
        <v>1</v>
      </c>
      <c r="S160" s="3">
        <v>21.286999999999999</v>
      </c>
      <c r="T160" s="3">
        <v>8.3810000000000002</v>
      </c>
      <c r="U160" s="3">
        <v>1.2030000000000001</v>
      </c>
      <c r="V160" s="3" t="s">
        <v>81</v>
      </c>
      <c r="W160" s="3" t="s">
        <v>81</v>
      </c>
      <c r="X160" s="3" t="s">
        <v>81</v>
      </c>
      <c r="Y160" s="3" t="s">
        <v>81</v>
      </c>
      <c r="Z160" s="3" t="s">
        <v>81</v>
      </c>
      <c r="AA160" s="3" t="s">
        <v>81</v>
      </c>
      <c r="AB160" s="3">
        <v>27.856999999999999</v>
      </c>
      <c r="AC160" s="3">
        <v>0</v>
      </c>
      <c r="AD160" s="3">
        <v>26.207999999999998</v>
      </c>
      <c r="AE160" s="3">
        <v>9.9209999999999994</v>
      </c>
      <c r="AF160" s="3">
        <v>1.375</v>
      </c>
      <c r="AG160" s="3" t="s">
        <v>81</v>
      </c>
      <c r="AH160" s="3" t="s">
        <v>81</v>
      </c>
      <c r="AI160" s="3" t="s">
        <v>81</v>
      </c>
      <c r="AJ160" s="3" t="s">
        <v>81</v>
      </c>
      <c r="AK160" s="3" t="s">
        <v>81</v>
      </c>
      <c r="AL160" s="3" t="s">
        <v>81</v>
      </c>
      <c r="AM160" s="3">
        <v>25.283000000000001</v>
      </c>
      <c r="AN160" s="3">
        <v>1</v>
      </c>
      <c r="AO160" s="3">
        <v>23.812000000000001</v>
      </c>
      <c r="AP160" s="3">
        <v>9.8780000000000001</v>
      </c>
      <c r="AQ160" s="3">
        <v>1.3160000000000001</v>
      </c>
      <c r="AR160" s="3" t="s">
        <v>81</v>
      </c>
      <c r="AS160" s="3" t="s">
        <v>81</v>
      </c>
      <c r="AT160" s="3" t="s">
        <v>81</v>
      </c>
      <c r="AU160" s="3" t="s">
        <v>81</v>
      </c>
      <c r="AV160" s="3" t="s">
        <v>81</v>
      </c>
      <c r="AW160" s="3" t="s">
        <v>81</v>
      </c>
      <c r="AX160" s="3" t="s">
        <v>81</v>
      </c>
      <c r="AY160" s="3" t="s">
        <v>81</v>
      </c>
      <c r="AZ160" s="3" t="s">
        <v>81</v>
      </c>
      <c r="BA160" s="3" t="s">
        <v>81</v>
      </c>
      <c r="BB160" s="3" t="s">
        <v>81</v>
      </c>
      <c r="BC160" s="3" t="s">
        <v>81</v>
      </c>
      <c r="BD160" s="3" t="s">
        <v>81</v>
      </c>
      <c r="BE160" s="3" t="s">
        <v>81</v>
      </c>
      <c r="BF160" s="3" t="s">
        <v>81</v>
      </c>
      <c r="BG160" s="3" t="s">
        <v>81</v>
      </c>
      <c r="BH160" s="3" t="s">
        <v>81</v>
      </c>
      <c r="BI160" s="3" t="s">
        <v>84</v>
      </c>
      <c r="BJ160" s="3" t="s">
        <v>82</v>
      </c>
      <c r="BK160" s="3" t="s">
        <v>83</v>
      </c>
      <c r="BL160" s="3" t="s">
        <v>84</v>
      </c>
      <c r="BM160" s="3" t="s">
        <v>84</v>
      </c>
      <c r="BN160" s="3" t="s">
        <v>82</v>
      </c>
      <c r="BO160" s="3" t="s">
        <v>84</v>
      </c>
      <c r="BP160" s="3" t="s">
        <v>133</v>
      </c>
      <c r="BQ160" s="3" t="s">
        <v>438</v>
      </c>
      <c r="BR160" s="3" t="s">
        <v>439</v>
      </c>
      <c r="BS160" s="3" t="s">
        <v>439</v>
      </c>
      <c r="BT160" s="3" t="s">
        <v>98</v>
      </c>
      <c r="BU160" s="3" t="s">
        <v>87</v>
      </c>
      <c r="BV160" s="3" t="s">
        <v>84</v>
      </c>
      <c r="BW160" s="3" t="s">
        <v>83</v>
      </c>
      <c r="BX160" s="3" t="s">
        <v>82</v>
      </c>
      <c r="BZ160" s="3" t="s">
        <v>86</v>
      </c>
      <c r="CB160" s="3" t="s">
        <v>84</v>
      </c>
      <c r="CF160" s="18"/>
      <c r="CG160" s="18"/>
      <c r="CH160" s="18"/>
      <c r="CI160" s="18"/>
    </row>
    <row r="161" spans="1:87" x14ac:dyDescent="0.15">
      <c r="A161" s="3">
        <v>2643317998</v>
      </c>
      <c r="B161" s="3" t="s">
        <v>440</v>
      </c>
      <c r="C161" s="3" t="s">
        <v>433</v>
      </c>
      <c r="D161" s="3">
        <v>2</v>
      </c>
      <c r="E161" s="3">
        <v>2</v>
      </c>
      <c r="F161" s="3">
        <v>31.152999999999999</v>
      </c>
      <c r="G161" s="3">
        <v>0</v>
      </c>
      <c r="H161" s="3" t="s">
        <v>81</v>
      </c>
      <c r="I161" s="3" t="s">
        <v>81</v>
      </c>
      <c r="J161" s="3" t="s">
        <v>81</v>
      </c>
      <c r="K161" s="3" t="s">
        <v>81</v>
      </c>
      <c r="L161" s="3" t="s">
        <v>81</v>
      </c>
      <c r="M161" s="3" t="s">
        <v>81</v>
      </c>
      <c r="N161" s="3" t="s">
        <v>81</v>
      </c>
      <c r="O161" s="3" t="s">
        <v>81</v>
      </c>
      <c r="P161" s="3" t="s">
        <v>81</v>
      </c>
      <c r="Q161" s="3">
        <v>30.614999999999998</v>
      </c>
      <c r="R161" s="3">
        <v>0</v>
      </c>
      <c r="S161" s="3" t="s">
        <v>81</v>
      </c>
      <c r="T161" s="3" t="s">
        <v>81</v>
      </c>
      <c r="U161" s="3" t="s">
        <v>81</v>
      </c>
      <c r="V161" s="3" t="s">
        <v>81</v>
      </c>
      <c r="W161" s="3" t="s">
        <v>81</v>
      </c>
      <c r="X161" s="3" t="s">
        <v>81</v>
      </c>
      <c r="Y161" s="3" t="s">
        <v>81</v>
      </c>
      <c r="Z161" s="3" t="s">
        <v>81</v>
      </c>
      <c r="AA161" s="3" t="s">
        <v>81</v>
      </c>
      <c r="AB161" s="3" t="s">
        <v>81</v>
      </c>
      <c r="AC161" s="3" t="s">
        <v>81</v>
      </c>
      <c r="AD161" s="3" t="s">
        <v>81</v>
      </c>
      <c r="AE161" s="3" t="s">
        <v>81</v>
      </c>
      <c r="AF161" s="3" t="s">
        <v>81</v>
      </c>
      <c r="AG161" s="3" t="s">
        <v>81</v>
      </c>
      <c r="AH161" s="3" t="s">
        <v>81</v>
      </c>
      <c r="AI161" s="3" t="s">
        <v>81</v>
      </c>
      <c r="AJ161" s="3" t="s">
        <v>81</v>
      </c>
      <c r="AK161" s="3" t="s">
        <v>81</v>
      </c>
      <c r="AL161" s="3" t="s">
        <v>81</v>
      </c>
      <c r="AM161" s="3" t="s">
        <v>81</v>
      </c>
      <c r="AN161" s="3" t="s">
        <v>81</v>
      </c>
      <c r="AO161" s="3" t="s">
        <v>81</v>
      </c>
      <c r="AP161" s="3" t="s">
        <v>81</v>
      </c>
      <c r="AQ161" s="3" t="s">
        <v>81</v>
      </c>
      <c r="AR161" s="3" t="s">
        <v>81</v>
      </c>
      <c r="AS161" s="3" t="s">
        <v>81</v>
      </c>
      <c r="AT161" s="3" t="s">
        <v>81</v>
      </c>
      <c r="AU161" s="3" t="s">
        <v>81</v>
      </c>
      <c r="AV161" s="3" t="s">
        <v>81</v>
      </c>
      <c r="AW161" s="3" t="s">
        <v>81</v>
      </c>
      <c r="AX161" s="3" t="s">
        <v>81</v>
      </c>
      <c r="AY161" s="3" t="s">
        <v>81</v>
      </c>
      <c r="AZ161" s="3" t="s">
        <v>81</v>
      </c>
      <c r="BA161" s="3" t="s">
        <v>81</v>
      </c>
      <c r="BB161" s="3" t="s">
        <v>81</v>
      </c>
      <c r="BC161" s="3" t="s">
        <v>81</v>
      </c>
      <c r="BD161" s="3" t="s">
        <v>81</v>
      </c>
      <c r="BE161" s="3" t="s">
        <v>81</v>
      </c>
      <c r="BF161" s="3" t="s">
        <v>81</v>
      </c>
      <c r="BG161" s="3" t="s">
        <v>81</v>
      </c>
      <c r="BH161" s="3" t="s">
        <v>81</v>
      </c>
      <c r="BI161" s="3" t="s">
        <v>84</v>
      </c>
      <c r="BJ161" s="3" t="s">
        <v>82</v>
      </c>
      <c r="BK161" s="3" t="s">
        <v>83</v>
      </c>
      <c r="BL161" s="3" t="s">
        <v>84</v>
      </c>
      <c r="BM161" s="3" t="s">
        <v>82</v>
      </c>
      <c r="BN161" s="3" t="s">
        <v>84</v>
      </c>
      <c r="BO161" s="3" t="s">
        <v>83</v>
      </c>
      <c r="BP161" s="3" t="s">
        <v>81</v>
      </c>
      <c r="BQ161" s="3" t="s">
        <v>81</v>
      </c>
      <c r="BR161" s="3" t="s">
        <v>81</v>
      </c>
      <c r="BS161" s="3" t="s">
        <v>81</v>
      </c>
      <c r="BT161" s="3" t="s">
        <v>81</v>
      </c>
      <c r="BU161" s="3" t="s">
        <v>81</v>
      </c>
      <c r="BV161" s="3" t="s">
        <v>83</v>
      </c>
      <c r="BW161" s="3" t="s">
        <v>83</v>
      </c>
      <c r="BX161" s="3" t="s">
        <v>83</v>
      </c>
      <c r="BY161" s="3" t="s">
        <v>173</v>
      </c>
      <c r="BZ161" s="3" t="s">
        <v>86</v>
      </c>
      <c r="CB161" s="3" t="s">
        <v>84</v>
      </c>
      <c r="CD161" s="9">
        <v>2</v>
      </c>
      <c r="CE161" s="9">
        <v>2</v>
      </c>
      <c r="CF161" s="19">
        <v>2</v>
      </c>
      <c r="CG161" s="18"/>
      <c r="CH161" s="18"/>
      <c r="CI161" s="18"/>
    </row>
    <row r="162" spans="1:87" x14ac:dyDescent="0.15">
      <c r="A162" s="3">
        <v>1847921869</v>
      </c>
      <c r="B162" s="3" t="s">
        <v>433</v>
      </c>
      <c r="C162" s="3" t="s">
        <v>433</v>
      </c>
      <c r="D162" s="3">
        <v>4</v>
      </c>
      <c r="E162" s="3">
        <v>4</v>
      </c>
      <c r="F162" s="3">
        <v>31.481000000000002</v>
      </c>
      <c r="G162" s="3">
        <v>1</v>
      </c>
      <c r="H162" s="3">
        <v>17.515000000000001</v>
      </c>
      <c r="I162" s="3" t="s">
        <v>81</v>
      </c>
      <c r="J162" s="3">
        <v>13.958</v>
      </c>
      <c r="K162" s="3" t="s">
        <v>81</v>
      </c>
      <c r="L162" s="3" t="s">
        <v>81</v>
      </c>
      <c r="M162" s="3" t="s">
        <v>81</v>
      </c>
      <c r="N162" s="3" t="s">
        <v>81</v>
      </c>
      <c r="O162" s="3" t="s">
        <v>81</v>
      </c>
      <c r="P162" s="3" t="s">
        <v>81</v>
      </c>
      <c r="Q162" s="3">
        <v>38.606000000000002</v>
      </c>
      <c r="R162" s="3">
        <v>1</v>
      </c>
      <c r="S162" s="3">
        <v>26.25</v>
      </c>
      <c r="T162" s="3">
        <v>13.321</v>
      </c>
      <c r="U162" s="3">
        <v>6.32</v>
      </c>
      <c r="V162" s="3" t="s">
        <v>81</v>
      </c>
      <c r="W162" s="3">
        <v>3.43</v>
      </c>
      <c r="X162" s="3" t="s">
        <v>81</v>
      </c>
      <c r="Y162" s="3" t="s">
        <v>81</v>
      </c>
      <c r="Z162" s="3" t="s">
        <v>81</v>
      </c>
      <c r="AA162" s="3" t="s">
        <v>81</v>
      </c>
      <c r="AB162" s="3">
        <v>27.215</v>
      </c>
      <c r="AC162" s="3">
        <v>1</v>
      </c>
      <c r="AD162" s="3">
        <v>24.53</v>
      </c>
      <c r="AE162" s="3">
        <v>5.4029999999999996</v>
      </c>
      <c r="AF162" s="3">
        <v>1.121</v>
      </c>
      <c r="AG162" s="3" t="s">
        <v>81</v>
      </c>
      <c r="AH162" s="3" t="s">
        <v>81</v>
      </c>
      <c r="AI162" s="3" t="s">
        <v>81</v>
      </c>
      <c r="AJ162" s="3" t="s">
        <v>81</v>
      </c>
      <c r="AK162" s="3" t="s">
        <v>81</v>
      </c>
      <c r="AL162" s="3" t="s">
        <v>81</v>
      </c>
      <c r="AM162" s="3">
        <v>24.760999999999999</v>
      </c>
      <c r="AN162" s="3">
        <v>1</v>
      </c>
      <c r="AO162" s="3">
        <v>23.097000000000001</v>
      </c>
      <c r="AP162" s="3" t="s">
        <v>81</v>
      </c>
      <c r="AQ162" s="3">
        <v>1.871</v>
      </c>
      <c r="AR162" s="3" t="s">
        <v>81</v>
      </c>
      <c r="AS162" s="3" t="s">
        <v>81</v>
      </c>
      <c r="AT162" s="3" t="s">
        <v>81</v>
      </c>
      <c r="AU162" s="3" t="s">
        <v>81</v>
      </c>
      <c r="AV162" s="3" t="s">
        <v>81</v>
      </c>
      <c r="AW162" s="3" t="s">
        <v>81</v>
      </c>
      <c r="AX162" s="3" t="s">
        <v>81</v>
      </c>
      <c r="AY162" s="3" t="s">
        <v>81</v>
      </c>
      <c r="AZ162" s="3" t="s">
        <v>81</v>
      </c>
      <c r="BA162" s="3" t="s">
        <v>81</v>
      </c>
      <c r="BB162" s="3" t="s">
        <v>81</v>
      </c>
      <c r="BC162" s="3" t="s">
        <v>81</v>
      </c>
      <c r="BD162" s="3" t="s">
        <v>81</v>
      </c>
      <c r="BE162" s="3" t="s">
        <v>81</v>
      </c>
      <c r="BF162" s="3" t="s">
        <v>81</v>
      </c>
      <c r="BG162" s="3" t="s">
        <v>81</v>
      </c>
      <c r="BH162" s="3" t="s">
        <v>81</v>
      </c>
      <c r="BI162" s="3" t="s">
        <v>84</v>
      </c>
      <c r="BJ162" s="3" t="s">
        <v>82</v>
      </c>
      <c r="BK162" s="3" t="s">
        <v>83</v>
      </c>
      <c r="BL162" s="3" t="s">
        <v>84</v>
      </c>
      <c r="BM162" s="3" t="s">
        <v>84</v>
      </c>
      <c r="BN162" s="3" t="s">
        <v>82</v>
      </c>
      <c r="BO162" s="3" t="s">
        <v>84</v>
      </c>
      <c r="BP162" s="3" t="s">
        <v>133</v>
      </c>
      <c r="BQ162" s="3" t="s">
        <v>438</v>
      </c>
      <c r="BR162" s="3" t="s">
        <v>439</v>
      </c>
      <c r="BS162" s="3" t="s">
        <v>439</v>
      </c>
      <c r="BT162" s="3" t="s">
        <v>87</v>
      </c>
      <c r="BU162" s="3" t="s">
        <v>98</v>
      </c>
      <c r="BV162" s="3" t="s">
        <v>84</v>
      </c>
      <c r="BW162" s="3" t="s">
        <v>83</v>
      </c>
      <c r="BX162" s="3" t="s">
        <v>82</v>
      </c>
      <c r="BY162" s="3" t="s">
        <v>441</v>
      </c>
      <c r="CB162" s="3" t="s">
        <v>84</v>
      </c>
      <c r="CD162" s="9">
        <v>2</v>
      </c>
      <c r="CE162" s="9">
        <v>5</v>
      </c>
      <c r="CF162" s="19"/>
      <c r="CG162" s="18"/>
      <c r="CH162" s="18"/>
      <c r="CI162" s="17"/>
    </row>
    <row r="163" spans="1:87" x14ac:dyDescent="0.15">
      <c r="A163" s="3">
        <v>1847938664</v>
      </c>
      <c r="B163" s="3" t="s">
        <v>433</v>
      </c>
      <c r="C163" s="3" t="s">
        <v>433</v>
      </c>
      <c r="D163" s="3">
        <v>7</v>
      </c>
      <c r="E163" s="3">
        <v>7</v>
      </c>
      <c r="F163" s="3">
        <v>116.64400000000001</v>
      </c>
      <c r="G163" s="3">
        <v>1</v>
      </c>
      <c r="H163" s="3">
        <v>68.471999999999994</v>
      </c>
      <c r="I163" s="3">
        <v>19.303999999999998</v>
      </c>
      <c r="J163" s="3">
        <v>48.070999999999998</v>
      </c>
      <c r="K163" s="3" t="s">
        <v>81</v>
      </c>
      <c r="L163" s="3" t="s">
        <v>81</v>
      </c>
      <c r="M163" s="3" t="s">
        <v>81</v>
      </c>
      <c r="N163" s="3" t="s">
        <v>81</v>
      </c>
      <c r="O163" s="3" t="s">
        <v>81</v>
      </c>
      <c r="P163" s="3" t="s">
        <v>81</v>
      </c>
      <c r="Q163" s="3">
        <v>119.747</v>
      </c>
      <c r="R163" s="3">
        <v>1</v>
      </c>
      <c r="S163" s="3">
        <v>75.122</v>
      </c>
      <c r="T163" s="3">
        <v>18.835999999999999</v>
      </c>
      <c r="U163" s="3">
        <v>43.661000000000001</v>
      </c>
      <c r="V163" s="3" t="s">
        <v>81</v>
      </c>
      <c r="W163" s="3" t="s">
        <v>81</v>
      </c>
      <c r="X163" s="3" t="s">
        <v>81</v>
      </c>
      <c r="Y163" s="3" t="s">
        <v>81</v>
      </c>
      <c r="Z163" s="3" t="s">
        <v>81</v>
      </c>
      <c r="AA163" s="3" t="s">
        <v>81</v>
      </c>
      <c r="AB163" s="3">
        <v>117.001</v>
      </c>
      <c r="AC163" s="3">
        <v>1</v>
      </c>
      <c r="AD163" s="3">
        <v>70.225999999999999</v>
      </c>
      <c r="AE163" s="3">
        <v>21.148</v>
      </c>
      <c r="AF163" s="3">
        <v>44.264000000000003</v>
      </c>
      <c r="AG163" s="3" t="s">
        <v>81</v>
      </c>
      <c r="AH163" s="3" t="s">
        <v>81</v>
      </c>
      <c r="AI163" s="3" t="s">
        <v>81</v>
      </c>
      <c r="AJ163" s="3" t="s">
        <v>81</v>
      </c>
      <c r="AK163" s="3" t="s">
        <v>81</v>
      </c>
      <c r="AL163" s="3" t="s">
        <v>81</v>
      </c>
      <c r="AM163" s="3" t="s">
        <v>81</v>
      </c>
      <c r="AN163" s="3" t="s">
        <v>81</v>
      </c>
      <c r="AO163" s="3" t="s">
        <v>81</v>
      </c>
      <c r="AP163" s="3" t="s">
        <v>81</v>
      </c>
      <c r="AQ163" s="3" t="s">
        <v>81</v>
      </c>
      <c r="AR163" s="3" t="s">
        <v>81</v>
      </c>
      <c r="AS163" s="3" t="s">
        <v>81</v>
      </c>
      <c r="AT163" s="3" t="s">
        <v>81</v>
      </c>
      <c r="AU163" s="3" t="s">
        <v>81</v>
      </c>
      <c r="AV163" s="3" t="s">
        <v>81</v>
      </c>
      <c r="AW163" s="3" t="s">
        <v>81</v>
      </c>
      <c r="AX163" s="3" t="s">
        <v>81</v>
      </c>
      <c r="AY163" s="3" t="s">
        <v>81</v>
      </c>
      <c r="AZ163" s="3" t="s">
        <v>81</v>
      </c>
      <c r="BA163" s="3" t="s">
        <v>81</v>
      </c>
      <c r="BB163" s="3" t="s">
        <v>81</v>
      </c>
      <c r="BC163" s="3" t="s">
        <v>81</v>
      </c>
      <c r="BD163" s="3" t="s">
        <v>81</v>
      </c>
      <c r="BE163" s="3" t="s">
        <v>81</v>
      </c>
      <c r="BF163" s="3" t="s">
        <v>81</v>
      </c>
      <c r="BG163" s="3" t="s">
        <v>81</v>
      </c>
      <c r="BH163" s="3" t="s">
        <v>81</v>
      </c>
      <c r="BI163" s="3" t="s">
        <v>84</v>
      </c>
      <c r="BJ163" s="3" t="s">
        <v>84</v>
      </c>
      <c r="BK163" s="3" t="s">
        <v>82</v>
      </c>
      <c r="BL163" s="3" t="s">
        <v>84</v>
      </c>
      <c r="BM163" s="3" t="s">
        <v>84</v>
      </c>
      <c r="BN163" s="3" t="s">
        <v>84</v>
      </c>
      <c r="BO163" s="3" t="s">
        <v>82</v>
      </c>
      <c r="BP163" s="3" t="s">
        <v>133</v>
      </c>
      <c r="BQ163" s="3" t="s">
        <v>438</v>
      </c>
      <c r="BR163" s="3" t="s">
        <v>442</v>
      </c>
      <c r="BS163" s="3" t="s">
        <v>443</v>
      </c>
      <c r="BT163" s="3" t="s">
        <v>87</v>
      </c>
      <c r="BU163" s="3" t="s">
        <v>98</v>
      </c>
      <c r="BV163" s="3" t="s">
        <v>84</v>
      </c>
      <c r="BW163" s="3" t="s">
        <v>83</v>
      </c>
      <c r="BX163" s="3" t="s">
        <v>82</v>
      </c>
      <c r="BY163" s="3" t="s">
        <v>444</v>
      </c>
      <c r="BZ163" s="3" t="s">
        <v>93</v>
      </c>
      <c r="CB163" s="3" t="s">
        <v>84</v>
      </c>
      <c r="CD163" s="9">
        <v>13</v>
      </c>
      <c r="CE163" s="9"/>
      <c r="CF163" s="19"/>
      <c r="CG163" s="18"/>
      <c r="CH163" s="18"/>
      <c r="CI163" s="18"/>
    </row>
    <row r="164" spans="1:87" x14ac:dyDescent="0.15">
      <c r="A164" s="3">
        <v>1847941932</v>
      </c>
      <c r="B164" s="3" t="s">
        <v>445</v>
      </c>
      <c r="C164" s="3" t="s">
        <v>445</v>
      </c>
      <c r="D164" s="3">
        <v>15</v>
      </c>
      <c r="E164" s="3">
        <v>20</v>
      </c>
      <c r="F164" s="3">
        <v>86.957999999999998</v>
      </c>
      <c r="G164" s="3">
        <v>0</v>
      </c>
      <c r="H164" s="3" t="s">
        <v>81</v>
      </c>
      <c r="I164" s="3" t="s">
        <v>81</v>
      </c>
      <c r="J164" s="3" t="s">
        <v>81</v>
      </c>
      <c r="K164" s="3" t="s">
        <v>81</v>
      </c>
      <c r="L164" s="3" t="s">
        <v>81</v>
      </c>
      <c r="M164" s="3" t="s">
        <v>81</v>
      </c>
      <c r="N164" s="3" t="s">
        <v>81</v>
      </c>
      <c r="O164" s="3" t="s">
        <v>81</v>
      </c>
      <c r="P164" s="3" t="s">
        <v>81</v>
      </c>
      <c r="Q164" s="3">
        <v>84.688000000000002</v>
      </c>
      <c r="R164" s="3">
        <v>0</v>
      </c>
      <c r="S164" s="3" t="s">
        <v>81</v>
      </c>
      <c r="T164" s="3" t="s">
        <v>81</v>
      </c>
      <c r="U164" s="3" t="s">
        <v>81</v>
      </c>
      <c r="V164" s="3" t="s">
        <v>81</v>
      </c>
      <c r="W164" s="3" t="s">
        <v>81</v>
      </c>
      <c r="X164" s="3" t="s">
        <v>81</v>
      </c>
      <c r="Y164" s="3" t="s">
        <v>81</v>
      </c>
      <c r="Z164" s="3" t="s">
        <v>81</v>
      </c>
      <c r="AA164" s="3" t="s">
        <v>81</v>
      </c>
      <c r="AB164" s="3">
        <v>83.212999999999994</v>
      </c>
      <c r="AC164" s="3">
        <v>0</v>
      </c>
      <c r="AD164" s="3" t="s">
        <v>81</v>
      </c>
      <c r="AE164" s="3" t="s">
        <v>81</v>
      </c>
      <c r="AF164" s="3" t="s">
        <v>81</v>
      </c>
      <c r="AG164" s="3" t="s">
        <v>81</v>
      </c>
      <c r="AH164" s="3" t="s">
        <v>81</v>
      </c>
      <c r="AI164" s="3" t="s">
        <v>81</v>
      </c>
      <c r="AJ164" s="3" t="s">
        <v>81</v>
      </c>
      <c r="AK164" s="3" t="s">
        <v>81</v>
      </c>
      <c r="AL164" s="3" t="s">
        <v>81</v>
      </c>
      <c r="AM164" s="3">
        <v>68.332999999999998</v>
      </c>
      <c r="AN164" s="3">
        <v>0</v>
      </c>
      <c r="AO164" s="3" t="s">
        <v>81</v>
      </c>
      <c r="AP164" s="3" t="s">
        <v>81</v>
      </c>
      <c r="AQ164" s="3" t="s">
        <v>81</v>
      </c>
      <c r="AR164" s="3" t="s">
        <v>81</v>
      </c>
      <c r="AS164" s="3" t="s">
        <v>81</v>
      </c>
      <c r="AT164" s="3" t="s">
        <v>81</v>
      </c>
      <c r="AU164" s="3" t="s">
        <v>81</v>
      </c>
      <c r="AV164" s="3" t="s">
        <v>81</v>
      </c>
      <c r="AW164" s="3" t="s">
        <v>81</v>
      </c>
      <c r="AX164" s="3">
        <v>81.903000000000006</v>
      </c>
      <c r="AY164" s="3">
        <v>0</v>
      </c>
      <c r="AZ164" s="3" t="s">
        <v>81</v>
      </c>
      <c r="BA164" s="3" t="s">
        <v>81</v>
      </c>
      <c r="BB164" s="3" t="s">
        <v>81</v>
      </c>
      <c r="BC164" s="3" t="s">
        <v>81</v>
      </c>
      <c r="BD164" s="3" t="s">
        <v>81</v>
      </c>
      <c r="BE164" s="3" t="s">
        <v>81</v>
      </c>
      <c r="BF164" s="3" t="s">
        <v>81</v>
      </c>
      <c r="BG164" s="3" t="s">
        <v>81</v>
      </c>
      <c r="BH164" s="3" t="s">
        <v>81</v>
      </c>
      <c r="BI164" s="3" t="s">
        <v>82</v>
      </c>
      <c r="BJ164" s="3" t="s">
        <v>82</v>
      </c>
      <c r="BK164" s="3" t="s">
        <v>83</v>
      </c>
      <c r="BL164" s="3" t="s">
        <v>84</v>
      </c>
      <c r="BM164" s="3" t="s">
        <v>84</v>
      </c>
      <c r="BN164" s="3" t="s">
        <v>84</v>
      </c>
      <c r="BO164" s="3" t="s">
        <v>82</v>
      </c>
      <c r="BP164" s="3" t="s">
        <v>87</v>
      </c>
      <c r="BQ164" s="3" t="s">
        <v>87</v>
      </c>
      <c r="BR164" s="3" t="s">
        <v>87</v>
      </c>
      <c r="BS164" s="3" t="s">
        <v>87</v>
      </c>
      <c r="BT164" s="3" t="s">
        <v>87</v>
      </c>
      <c r="BU164" s="3" t="s">
        <v>81</v>
      </c>
      <c r="BV164" s="3" t="s">
        <v>82</v>
      </c>
      <c r="BW164" s="3" t="s">
        <v>91</v>
      </c>
      <c r="BX164" s="3" t="s">
        <v>82</v>
      </c>
      <c r="BY164" s="3"/>
      <c r="BZ164" s="3" t="s">
        <v>93</v>
      </c>
      <c r="CA164" s="3" t="s">
        <v>103</v>
      </c>
      <c r="CB164" s="3" t="s">
        <v>84</v>
      </c>
      <c r="CC164" s="3"/>
      <c r="CD164" s="9">
        <v>20</v>
      </c>
      <c r="CE164" s="3"/>
      <c r="CF164" s="17"/>
      <c r="CG164" s="17">
        <v>19</v>
      </c>
      <c r="CH164" s="17"/>
      <c r="CI164" s="18"/>
    </row>
    <row r="165" spans="1:87" x14ac:dyDescent="0.15">
      <c r="A165" s="9" t="s">
        <v>557</v>
      </c>
      <c r="B165" s="9" t="s">
        <v>563</v>
      </c>
      <c r="C165" s="9" t="s">
        <v>563</v>
      </c>
      <c r="E165">
        <v>6</v>
      </c>
      <c r="G165" s="3">
        <v>2</v>
      </c>
      <c r="H165">
        <v>104.08</v>
      </c>
      <c r="I165" s="3">
        <v>20.82</v>
      </c>
      <c r="J165">
        <v>68.27</v>
      </c>
      <c r="K165">
        <v>63.4</v>
      </c>
      <c r="L165">
        <v>57.73</v>
      </c>
      <c r="M165">
        <v>69.290000000000006</v>
      </c>
      <c r="N165" s="3" t="s">
        <v>81</v>
      </c>
      <c r="O165" s="3" t="s">
        <v>81</v>
      </c>
      <c r="P165" s="3" t="s">
        <v>81</v>
      </c>
      <c r="Q165" s="3">
        <v>249.21999999999997</v>
      </c>
      <c r="R165" s="3">
        <v>2</v>
      </c>
      <c r="S165">
        <v>100.92</v>
      </c>
      <c r="T165">
        <v>67.58</v>
      </c>
      <c r="U165">
        <v>60.22</v>
      </c>
      <c r="V165">
        <v>70.540000000000006</v>
      </c>
      <c r="W165">
        <v>88.08</v>
      </c>
      <c r="X165" s="3" t="s">
        <v>81</v>
      </c>
      <c r="Y165" s="3" t="s">
        <v>81</v>
      </c>
      <c r="Z165" s="3" t="s">
        <v>81</v>
      </c>
      <c r="AA165" s="3" t="s">
        <v>81</v>
      </c>
      <c r="AB165" s="3">
        <v>247.31</v>
      </c>
      <c r="AC165">
        <v>2</v>
      </c>
      <c r="AD165">
        <v>130.69</v>
      </c>
      <c r="AE165">
        <v>57.58</v>
      </c>
      <c r="AF165">
        <v>59.75</v>
      </c>
      <c r="AG165">
        <v>19.5</v>
      </c>
      <c r="AH165">
        <v>56.87</v>
      </c>
      <c r="AI165" s="3" t="s">
        <v>81</v>
      </c>
      <c r="AJ165" s="3" t="s">
        <v>81</v>
      </c>
      <c r="AK165" s="3" t="s">
        <v>81</v>
      </c>
      <c r="AL165" s="3" t="s">
        <v>81</v>
      </c>
      <c r="AM165">
        <v>173.32</v>
      </c>
      <c r="AN165">
        <v>1</v>
      </c>
      <c r="AO165">
        <v>117.47</v>
      </c>
      <c r="AP165">
        <v>92.82</v>
      </c>
      <c r="AQ165">
        <v>55.849999999999994</v>
      </c>
      <c r="AR165" s="3" t="s">
        <v>81</v>
      </c>
      <c r="AS165" s="3" t="s">
        <v>81</v>
      </c>
      <c r="AT165" s="3" t="s">
        <v>81</v>
      </c>
      <c r="AU165" s="3" t="s">
        <v>81</v>
      </c>
      <c r="AV165" s="3" t="s">
        <v>81</v>
      </c>
      <c r="AW165" s="3" t="s">
        <v>81</v>
      </c>
      <c r="AX165">
        <v>325.5</v>
      </c>
      <c r="AY165">
        <v>4</v>
      </c>
      <c r="AZ165">
        <v>109.44000000000001</v>
      </c>
      <c r="BA165">
        <v>62.38</v>
      </c>
      <c r="BB165">
        <v>49.849999999999994</v>
      </c>
      <c r="BC165">
        <v>29.97</v>
      </c>
      <c r="BD165">
        <v>32.58</v>
      </c>
      <c r="BE165">
        <v>67.61</v>
      </c>
      <c r="BF165">
        <v>58.33</v>
      </c>
      <c r="BG165">
        <v>55.48</v>
      </c>
      <c r="BH165">
        <v>75.3</v>
      </c>
      <c r="BI165" s="3" t="s">
        <v>84</v>
      </c>
      <c r="BJ165" s="3" t="s">
        <v>84</v>
      </c>
      <c r="BK165" s="3" t="s">
        <v>84</v>
      </c>
      <c r="BL165" s="3" t="s">
        <v>82</v>
      </c>
      <c r="BM165" s="3" t="s">
        <v>83</v>
      </c>
      <c r="BN165" s="3" t="s">
        <v>83</v>
      </c>
      <c r="BO165" s="3"/>
      <c r="BV165" s="3"/>
      <c r="BW165" s="3"/>
      <c r="BX165" s="3"/>
      <c r="BZ165" s="9" t="s">
        <v>93</v>
      </c>
      <c r="CB165" s="9" t="s">
        <v>84</v>
      </c>
      <c r="CD165">
        <v>30</v>
      </c>
      <c r="CF165" s="18"/>
      <c r="CG165" s="18">
        <v>30</v>
      </c>
      <c r="CH165" s="18"/>
      <c r="CI165" s="17"/>
    </row>
    <row r="166" spans="1:87" x14ac:dyDescent="0.15">
      <c r="A166" s="3">
        <v>1228381036</v>
      </c>
      <c r="B166" s="3" t="s">
        <v>446</v>
      </c>
      <c r="C166" s="3" t="s">
        <v>446</v>
      </c>
      <c r="D166" s="3">
        <v>7</v>
      </c>
      <c r="E166" s="3">
        <v>8</v>
      </c>
      <c r="F166" s="3">
        <v>18.841000000000001</v>
      </c>
      <c r="G166" s="3">
        <v>0</v>
      </c>
      <c r="H166" s="3" t="s">
        <v>81</v>
      </c>
      <c r="I166" s="3" t="s">
        <v>81</v>
      </c>
      <c r="J166" s="3" t="s">
        <v>81</v>
      </c>
      <c r="K166" s="3" t="s">
        <v>81</v>
      </c>
      <c r="L166" s="3" t="s">
        <v>81</v>
      </c>
      <c r="M166" s="3" t="s">
        <v>81</v>
      </c>
      <c r="N166" s="3" t="s">
        <v>81</v>
      </c>
      <c r="O166" s="3" t="s">
        <v>81</v>
      </c>
      <c r="P166" s="3" t="s">
        <v>81</v>
      </c>
      <c r="Q166" s="3">
        <v>15.670999999999999</v>
      </c>
      <c r="R166" s="3">
        <v>0</v>
      </c>
      <c r="S166" s="3" t="s">
        <v>81</v>
      </c>
      <c r="T166" s="3" t="s">
        <v>81</v>
      </c>
      <c r="U166" s="3" t="s">
        <v>81</v>
      </c>
      <c r="V166" s="3" t="s">
        <v>81</v>
      </c>
      <c r="W166" s="3" t="s">
        <v>81</v>
      </c>
      <c r="X166" s="3" t="s">
        <v>81</v>
      </c>
      <c r="Y166" s="3" t="s">
        <v>81</v>
      </c>
      <c r="Z166" s="3" t="s">
        <v>81</v>
      </c>
      <c r="AA166" s="3" t="s">
        <v>81</v>
      </c>
      <c r="AB166" s="3">
        <v>14.722</v>
      </c>
      <c r="AC166" s="3">
        <v>0</v>
      </c>
      <c r="AD166" s="3" t="s">
        <v>81</v>
      </c>
      <c r="AE166" s="3" t="s">
        <v>81</v>
      </c>
      <c r="AF166" s="3" t="s">
        <v>81</v>
      </c>
      <c r="AG166" s="3" t="s">
        <v>81</v>
      </c>
      <c r="AH166" s="3" t="s">
        <v>81</v>
      </c>
      <c r="AI166" s="3" t="s">
        <v>81</v>
      </c>
      <c r="AJ166" s="3" t="s">
        <v>81</v>
      </c>
      <c r="AK166" s="3" t="s">
        <v>81</v>
      </c>
      <c r="AL166" s="3" t="s">
        <v>81</v>
      </c>
      <c r="AM166" s="3">
        <v>14.324999999999999</v>
      </c>
      <c r="AN166" s="3">
        <v>0</v>
      </c>
      <c r="AO166" s="3" t="s">
        <v>81</v>
      </c>
      <c r="AP166" s="3" t="s">
        <v>81</v>
      </c>
      <c r="AQ166" s="3" t="s">
        <v>81</v>
      </c>
      <c r="AR166" s="3" t="s">
        <v>81</v>
      </c>
      <c r="AS166" s="3" t="s">
        <v>81</v>
      </c>
      <c r="AT166" s="3" t="s">
        <v>81</v>
      </c>
      <c r="AU166" s="3" t="s">
        <v>81</v>
      </c>
      <c r="AV166" s="3" t="s">
        <v>81</v>
      </c>
      <c r="AW166" s="3" t="s">
        <v>81</v>
      </c>
      <c r="AX166" s="3">
        <v>14.922000000000001</v>
      </c>
      <c r="AY166" s="3">
        <v>0</v>
      </c>
      <c r="AZ166" s="3" t="s">
        <v>81</v>
      </c>
      <c r="BA166" s="3" t="s">
        <v>81</v>
      </c>
      <c r="BB166" s="3" t="s">
        <v>81</v>
      </c>
      <c r="BC166" s="3" t="s">
        <v>81</v>
      </c>
      <c r="BD166" s="3" t="s">
        <v>81</v>
      </c>
      <c r="BE166" s="3" t="s">
        <v>81</v>
      </c>
      <c r="BF166" s="3" t="s">
        <v>81</v>
      </c>
      <c r="BG166" s="3" t="s">
        <v>81</v>
      </c>
      <c r="BH166" s="3" t="s">
        <v>81</v>
      </c>
      <c r="BI166" s="3" t="s">
        <v>84</v>
      </c>
      <c r="BJ166" s="3" t="s">
        <v>84</v>
      </c>
      <c r="BK166" s="3" t="s">
        <v>82</v>
      </c>
      <c r="BL166" s="3" t="s">
        <v>84</v>
      </c>
      <c r="BM166" s="3" t="s">
        <v>84</v>
      </c>
      <c r="BN166" s="3" t="s">
        <v>82</v>
      </c>
      <c r="BO166" s="3" t="s">
        <v>84</v>
      </c>
      <c r="BP166" s="3" t="s">
        <v>447</v>
      </c>
      <c r="BQ166" s="3" t="s">
        <v>447</v>
      </c>
      <c r="BR166" s="3" t="s">
        <v>448</v>
      </c>
      <c r="BS166" s="3" t="s">
        <v>448</v>
      </c>
      <c r="BT166" s="3" t="s">
        <v>87</v>
      </c>
      <c r="BU166" s="3" t="s">
        <v>98</v>
      </c>
      <c r="BV166" s="3" t="s">
        <v>84</v>
      </c>
      <c r="BW166" s="3" t="s">
        <v>83</v>
      </c>
      <c r="BX166" s="3" t="s">
        <v>82</v>
      </c>
      <c r="BY166" s="3"/>
      <c r="BZ166" s="3" t="s">
        <v>93</v>
      </c>
      <c r="CA166" s="3"/>
      <c r="CB166" s="3" t="s">
        <v>84</v>
      </c>
      <c r="CC166" s="3"/>
      <c r="CD166" s="9">
        <v>8</v>
      </c>
      <c r="CE166" s="9">
        <v>4</v>
      </c>
      <c r="CF166" s="19">
        <v>14</v>
      </c>
      <c r="CG166" s="17"/>
      <c r="CH166" s="17"/>
      <c r="CI166" s="18"/>
    </row>
    <row r="167" spans="1:87" x14ac:dyDescent="0.15">
      <c r="A167" s="3">
        <v>1228606915</v>
      </c>
      <c r="B167" s="3" t="s">
        <v>446</v>
      </c>
      <c r="C167" s="3" t="s">
        <v>446</v>
      </c>
      <c r="D167" s="3">
        <v>4</v>
      </c>
      <c r="E167" s="3">
        <v>4</v>
      </c>
      <c r="F167" s="3">
        <v>18</v>
      </c>
      <c r="G167" s="3">
        <v>1</v>
      </c>
      <c r="H167" s="3">
        <v>8.5139999999999993</v>
      </c>
      <c r="I167" s="3">
        <v>7.2169999999999996</v>
      </c>
      <c r="J167" s="3">
        <v>8.7620000000000005</v>
      </c>
      <c r="K167" s="3" t="s">
        <v>81</v>
      </c>
      <c r="L167" s="3" t="s">
        <v>81</v>
      </c>
      <c r="M167" s="3" t="s">
        <v>81</v>
      </c>
      <c r="N167" s="3" t="s">
        <v>81</v>
      </c>
      <c r="O167" s="3" t="s">
        <v>81</v>
      </c>
      <c r="P167" s="3" t="s">
        <v>81</v>
      </c>
      <c r="Q167" s="3">
        <v>21.126999999999999</v>
      </c>
      <c r="R167" s="3">
        <v>1</v>
      </c>
      <c r="S167" s="3">
        <v>12.022</v>
      </c>
      <c r="T167" s="3">
        <v>8.6519999999999992</v>
      </c>
      <c r="U167" s="3">
        <v>7.976</v>
      </c>
      <c r="V167" s="3" t="s">
        <v>81</v>
      </c>
      <c r="W167" s="3" t="s">
        <v>81</v>
      </c>
      <c r="X167" s="3" t="s">
        <v>81</v>
      </c>
      <c r="Y167" s="3" t="s">
        <v>81</v>
      </c>
      <c r="Z167" s="3" t="s">
        <v>81</v>
      </c>
      <c r="AA167" s="3" t="s">
        <v>81</v>
      </c>
      <c r="AB167" s="3">
        <v>15.209</v>
      </c>
      <c r="AC167" s="3">
        <v>1</v>
      </c>
      <c r="AD167" s="3">
        <v>11.833</v>
      </c>
      <c r="AE167" s="3">
        <v>6.923</v>
      </c>
      <c r="AF167" s="3" t="s">
        <v>81</v>
      </c>
      <c r="AG167" s="3" t="s">
        <v>81</v>
      </c>
      <c r="AH167" s="3" t="s">
        <v>81</v>
      </c>
      <c r="AI167" s="3" t="s">
        <v>81</v>
      </c>
      <c r="AJ167" s="3" t="s">
        <v>81</v>
      </c>
      <c r="AK167" s="3" t="s">
        <v>81</v>
      </c>
      <c r="AL167" s="3" t="s">
        <v>81</v>
      </c>
      <c r="AM167" s="3">
        <v>19.748000000000001</v>
      </c>
      <c r="AN167" s="3">
        <v>1</v>
      </c>
      <c r="AO167" s="3">
        <v>10.724</v>
      </c>
      <c r="AP167" s="3">
        <v>7.9329999999999998</v>
      </c>
      <c r="AQ167" s="3">
        <v>9.6039999999999992</v>
      </c>
      <c r="AR167" s="3" t="s">
        <v>81</v>
      </c>
      <c r="AS167" s="3" t="s">
        <v>81</v>
      </c>
      <c r="AT167" s="3" t="s">
        <v>81</v>
      </c>
      <c r="AU167" s="3" t="s">
        <v>81</v>
      </c>
      <c r="AV167" s="3" t="s">
        <v>81</v>
      </c>
      <c r="AW167" s="3" t="s">
        <v>81</v>
      </c>
      <c r="AX167" s="3" t="s">
        <v>81</v>
      </c>
      <c r="AY167" s="3" t="s">
        <v>81</v>
      </c>
      <c r="AZ167" s="3" t="s">
        <v>81</v>
      </c>
      <c r="BA167" s="3" t="s">
        <v>81</v>
      </c>
      <c r="BB167" s="3" t="s">
        <v>81</v>
      </c>
      <c r="BC167" s="3" t="s">
        <v>81</v>
      </c>
      <c r="BD167" s="3" t="s">
        <v>81</v>
      </c>
      <c r="BE167" s="3" t="s">
        <v>81</v>
      </c>
      <c r="BF167" s="3" t="s">
        <v>81</v>
      </c>
      <c r="BG167" s="3" t="s">
        <v>81</v>
      </c>
      <c r="BH167" s="3" t="s">
        <v>81</v>
      </c>
      <c r="BI167" s="3" t="s">
        <v>84</v>
      </c>
      <c r="BJ167" s="3" t="s">
        <v>82</v>
      </c>
      <c r="BK167" s="3" t="s">
        <v>83</v>
      </c>
      <c r="BL167" s="3" t="s">
        <v>84</v>
      </c>
      <c r="BM167" s="3" t="s">
        <v>84</v>
      </c>
      <c r="BN167" s="3" t="s">
        <v>82</v>
      </c>
      <c r="BO167" s="3" t="s">
        <v>82</v>
      </c>
      <c r="BP167" s="3" t="s">
        <v>87</v>
      </c>
      <c r="BQ167" s="3" t="s">
        <v>87</v>
      </c>
      <c r="BR167" s="3" t="s">
        <v>87</v>
      </c>
      <c r="BS167" s="3" t="s">
        <v>87</v>
      </c>
      <c r="BT167" s="3" t="s">
        <v>87</v>
      </c>
      <c r="BU167" s="3" t="s">
        <v>81</v>
      </c>
      <c r="BV167" s="3" t="s">
        <v>84</v>
      </c>
      <c r="BW167" s="3" t="s">
        <v>83</v>
      </c>
      <c r="BX167" s="3" t="s">
        <v>82</v>
      </c>
      <c r="BY167" s="3" t="s">
        <v>449</v>
      </c>
      <c r="BZ167" s="3" t="s">
        <v>93</v>
      </c>
      <c r="CB167" s="3" t="s">
        <v>84</v>
      </c>
      <c r="CD167" s="9">
        <v>8</v>
      </c>
      <c r="CE167" s="9">
        <v>7</v>
      </c>
      <c r="CF167" s="19"/>
      <c r="CG167" s="18"/>
      <c r="CH167" s="18"/>
      <c r="CI167" s="18"/>
    </row>
    <row r="168" spans="1:87" x14ac:dyDescent="0.15">
      <c r="A168" s="3">
        <v>1318214206</v>
      </c>
      <c r="B168" s="3" t="s">
        <v>446</v>
      </c>
      <c r="C168" s="3" t="s">
        <v>446</v>
      </c>
      <c r="D168" s="3" t="s">
        <v>81</v>
      </c>
      <c r="E168" s="3">
        <v>3</v>
      </c>
      <c r="F168" s="3">
        <v>6.5369999999999999</v>
      </c>
      <c r="G168" s="3">
        <v>2</v>
      </c>
      <c r="H168" s="3">
        <v>1.589</v>
      </c>
      <c r="I168" s="3">
        <v>12.375999999999999</v>
      </c>
      <c r="J168" s="3">
        <v>4.3140000000000001</v>
      </c>
      <c r="K168" s="3">
        <v>7.4950000000000001</v>
      </c>
      <c r="L168" s="3">
        <v>0.48799999999999999</v>
      </c>
      <c r="M168" s="3" t="s">
        <v>81</v>
      </c>
      <c r="N168" s="3" t="s">
        <v>81</v>
      </c>
      <c r="O168" s="3" t="s">
        <v>81</v>
      </c>
      <c r="P168" s="3" t="s">
        <v>81</v>
      </c>
      <c r="Q168" s="3">
        <v>6.7370000000000001</v>
      </c>
      <c r="R168" s="3">
        <v>2</v>
      </c>
      <c r="S168" s="3">
        <v>2.0139999999999998</v>
      </c>
      <c r="T168" s="3">
        <v>12.792</v>
      </c>
      <c r="U168" s="3">
        <v>3.375</v>
      </c>
      <c r="V168" s="3">
        <v>9.2379999999999995</v>
      </c>
      <c r="W168" s="3">
        <v>0.85</v>
      </c>
      <c r="X168" s="3" t="s">
        <v>81</v>
      </c>
      <c r="Y168" s="3" t="s">
        <v>81</v>
      </c>
      <c r="Z168" s="3" t="s">
        <v>81</v>
      </c>
      <c r="AA168" s="3" t="s">
        <v>81</v>
      </c>
      <c r="AB168" s="3" t="s">
        <v>81</v>
      </c>
      <c r="AC168" s="3" t="s">
        <v>81</v>
      </c>
      <c r="AD168" s="3" t="s">
        <v>81</v>
      </c>
      <c r="AE168" s="3" t="s">
        <v>81</v>
      </c>
      <c r="AF168" s="3" t="s">
        <v>81</v>
      </c>
      <c r="AG168" s="3" t="s">
        <v>81</v>
      </c>
      <c r="AH168" s="3" t="s">
        <v>81</v>
      </c>
      <c r="AI168" s="3" t="s">
        <v>81</v>
      </c>
      <c r="AJ168" s="3" t="s">
        <v>81</v>
      </c>
      <c r="AK168" s="3" t="s">
        <v>81</v>
      </c>
      <c r="AL168" s="3" t="s">
        <v>81</v>
      </c>
      <c r="AM168" s="3" t="s">
        <v>81</v>
      </c>
      <c r="AN168" s="3" t="s">
        <v>81</v>
      </c>
      <c r="AO168" s="3" t="s">
        <v>81</v>
      </c>
      <c r="AP168" s="3" t="s">
        <v>81</v>
      </c>
      <c r="AQ168" s="3" t="s">
        <v>81</v>
      </c>
      <c r="AR168" s="3" t="s">
        <v>81</v>
      </c>
      <c r="AS168" s="3" t="s">
        <v>81</v>
      </c>
      <c r="AT168" s="3" t="s">
        <v>81</v>
      </c>
      <c r="AU168" s="3" t="s">
        <v>81</v>
      </c>
      <c r="AV168" s="3" t="s">
        <v>81</v>
      </c>
      <c r="AW168" s="3" t="s">
        <v>81</v>
      </c>
      <c r="AX168" s="3" t="s">
        <v>81</v>
      </c>
      <c r="AY168" s="3" t="s">
        <v>81</v>
      </c>
      <c r="AZ168" s="3" t="s">
        <v>81</v>
      </c>
      <c r="BA168" s="3" t="s">
        <v>81</v>
      </c>
      <c r="BB168" s="3" t="s">
        <v>81</v>
      </c>
      <c r="BC168" s="3" t="s">
        <v>81</v>
      </c>
      <c r="BD168" s="3" t="s">
        <v>81</v>
      </c>
      <c r="BE168" s="3" t="s">
        <v>81</v>
      </c>
      <c r="BF168" s="3" t="s">
        <v>81</v>
      </c>
      <c r="BG168" s="3" t="s">
        <v>81</v>
      </c>
      <c r="BH168" s="3" t="s">
        <v>81</v>
      </c>
      <c r="BI168" s="3" t="s">
        <v>84</v>
      </c>
      <c r="BJ168" s="3" t="s">
        <v>84</v>
      </c>
      <c r="BK168" s="3" t="s">
        <v>82</v>
      </c>
      <c r="BL168" s="3" t="s">
        <v>84</v>
      </c>
      <c r="BM168" s="3" t="s">
        <v>84</v>
      </c>
      <c r="BN168" s="3" t="s">
        <v>82</v>
      </c>
      <c r="BO168" s="3" t="s">
        <v>84</v>
      </c>
      <c r="BP168" s="3" t="s">
        <v>447</v>
      </c>
      <c r="BQ168" s="3" t="s">
        <v>447</v>
      </c>
      <c r="BR168" s="3" t="s">
        <v>450</v>
      </c>
      <c r="BS168" s="3" t="s">
        <v>451</v>
      </c>
      <c r="BT168" s="3" t="s">
        <v>106</v>
      </c>
      <c r="BU168" s="3" t="s">
        <v>98</v>
      </c>
      <c r="BV168" s="3" t="s">
        <v>84</v>
      </c>
      <c r="BW168" s="3" t="s">
        <v>83</v>
      </c>
      <c r="BX168" s="3" t="s">
        <v>82</v>
      </c>
      <c r="BY168" s="3" t="s">
        <v>452</v>
      </c>
      <c r="BZ168" s="3" t="s">
        <v>86</v>
      </c>
      <c r="CB168" s="3" t="s">
        <v>84</v>
      </c>
      <c r="CD168" s="9">
        <v>6</v>
      </c>
      <c r="CE168" s="9"/>
      <c r="CF168" s="19"/>
      <c r="CG168" s="18"/>
      <c r="CH168" s="18"/>
      <c r="CI168" s="17"/>
    </row>
    <row r="169" spans="1:87" x14ac:dyDescent="0.15">
      <c r="A169" s="3">
        <v>1228382386</v>
      </c>
      <c r="B169" s="3" t="s">
        <v>453</v>
      </c>
      <c r="C169" s="3" t="s">
        <v>453</v>
      </c>
      <c r="D169" s="3">
        <v>1</v>
      </c>
      <c r="E169" s="3">
        <v>1</v>
      </c>
      <c r="F169" s="3">
        <v>25.132999999999999</v>
      </c>
      <c r="G169" s="3">
        <v>0</v>
      </c>
      <c r="H169" s="3" t="s">
        <v>81</v>
      </c>
      <c r="I169" s="3" t="s">
        <v>81</v>
      </c>
      <c r="J169" s="3" t="s">
        <v>81</v>
      </c>
      <c r="K169" s="3" t="s">
        <v>81</v>
      </c>
      <c r="L169" s="3" t="s">
        <v>81</v>
      </c>
      <c r="M169" s="3" t="s">
        <v>81</v>
      </c>
      <c r="N169" s="3" t="s">
        <v>81</v>
      </c>
      <c r="O169" s="3" t="s">
        <v>81</v>
      </c>
      <c r="P169" s="3" t="s">
        <v>81</v>
      </c>
      <c r="Q169" s="3" t="s">
        <v>81</v>
      </c>
      <c r="R169" s="3" t="s">
        <v>81</v>
      </c>
      <c r="S169" s="3" t="s">
        <v>81</v>
      </c>
      <c r="T169" s="3" t="s">
        <v>81</v>
      </c>
      <c r="U169" s="3" t="s">
        <v>81</v>
      </c>
      <c r="V169" s="3" t="s">
        <v>81</v>
      </c>
      <c r="W169" s="3" t="s">
        <v>81</v>
      </c>
      <c r="X169" s="3" t="s">
        <v>81</v>
      </c>
      <c r="Y169" s="3" t="s">
        <v>81</v>
      </c>
      <c r="Z169" s="3" t="s">
        <v>81</v>
      </c>
      <c r="AA169" s="3" t="s">
        <v>81</v>
      </c>
      <c r="AB169" s="3" t="s">
        <v>81</v>
      </c>
      <c r="AC169" s="3" t="s">
        <v>81</v>
      </c>
      <c r="AD169" s="3" t="s">
        <v>81</v>
      </c>
      <c r="AE169" s="3" t="s">
        <v>81</v>
      </c>
      <c r="AF169" s="3" t="s">
        <v>81</v>
      </c>
      <c r="AG169" s="3" t="s">
        <v>81</v>
      </c>
      <c r="AH169" s="3" t="s">
        <v>81</v>
      </c>
      <c r="AI169" s="3" t="s">
        <v>81</v>
      </c>
      <c r="AJ169" s="3" t="s">
        <v>81</v>
      </c>
      <c r="AK169" s="3" t="s">
        <v>81</v>
      </c>
      <c r="AL169" s="3" t="s">
        <v>81</v>
      </c>
      <c r="AM169" s="3" t="s">
        <v>81</v>
      </c>
      <c r="AN169" s="3" t="s">
        <v>81</v>
      </c>
      <c r="AO169" s="3" t="s">
        <v>81</v>
      </c>
      <c r="AP169" s="3" t="s">
        <v>81</v>
      </c>
      <c r="AQ169" s="3" t="s">
        <v>81</v>
      </c>
      <c r="AR169" s="3" t="s">
        <v>81</v>
      </c>
      <c r="AS169" s="3" t="s">
        <v>81</v>
      </c>
      <c r="AT169" s="3" t="s">
        <v>81</v>
      </c>
      <c r="AU169" s="3" t="s">
        <v>81</v>
      </c>
      <c r="AV169" s="3" t="s">
        <v>81</v>
      </c>
      <c r="AW169" s="3" t="s">
        <v>81</v>
      </c>
      <c r="AX169" s="3" t="s">
        <v>81</v>
      </c>
      <c r="AY169" s="3" t="s">
        <v>81</v>
      </c>
      <c r="AZ169" s="3" t="s">
        <v>81</v>
      </c>
      <c r="BA169" s="3" t="s">
        <v>81</v>
      </c>
      <c r="BB169" s="3" t="s">
        <v>81</v>
      </c>
      <c r="BC169" s="3" t="s">
        <v>81</v>
      </c>
      <c r="BD169" s="3" t="s">
        <v>81</v>
      </c>
      <c r="BE169" s="3" t="s">
        <v>81</v>
      </c>
      <c r="BF169" s="3" t="s">
        <v>81</v>
      </c>
      <c r="BG169" s="3" t="s">
        <v>81</v>
      </c>
      <c r="BH169" s="3" t="s">
        <v>81</v>
      </c>
      <c r="BI169" s="3" t="s">
        <v>82</v>
      </c>
      <c r="BJ169" s="3" t="s">
        <v>82</v>
      </c>
      <c r="BK169" s="3" t="s">
        <v>83</v>
      </c>
      <c r="BL169" s="3" t="s">
        <v>84</v>
      </c>
      <c r="BM169" s="3" t="s">
        <v>84</v>
      </c>
      <c r="BN169" s="3" t="s">
        <v>83</v>
      </c>
      <c r="BO169" s="3" t="s">
        <v>82</v>
      </c>
      <c r="BP169" s="3" t="s">
        <v>218</v>
      </c>
      <c r="BQ169" s="3" t="s">
        <v>218</v>
      </c>
      <c r="BR169" s="3" t="s">
        <v>454</v>
      </c>
      <c r="BS169" s="3" t="s">
        <v>454</v>
      </c>
      <c r="BT169" s="3" t="s">
        <v>85</v>
      </c>
      <c r="BU169" s="3" t="s">
        <v>98</v>
      </c>
      <c r="BV169" s="3" t="s">
        <v>84</v>
      </c>
      <c r="BW169" s="3" t="s">
        <v>83</v>
      </c>
      <c r="BX169" s="3" t="s">
        <v>82</v>
      </c>
      <c r="BY169" s="3" t="s">
        <v>455</v>
      </c>
      <c r="BZ169" s="3" t="s">
        <v>93</v>
      </c>
      <c r="CA169" s="3"/>
      <c r="CB169" s="3" t="s">
        <v>84</v>
      </c>
      <c r="CC169" s="3"/>
      <c r="CD169" s="9">
        <v>1</v>
      </c>
      <c r="CE169" s="9">
        <v>1</v>
      </c>
      <c r="CF169" s="19">
        <v>1</v>
      </c>
      <c r="CG169" s="17"/>
      <c r="CH169" s="17"/>
      <c r="CI169" s="17"/>
    </row>
    <row r="170" spans="1:87" x14ac:dyDescent="0.15">
      <c r="A170" s="3">
        <v>2643381650</v>
      </c>
      <c r="B170" s="3" t="s">
        <v>453</v>
      </c>
      <c r="C170" s="3" t="s">
        <v>453</v>
      </c>
      <c r="D170" s="3">
        <v>1</v>
      </c>
      <c r="E170" s="3">
        <v>1</v>
      </c>
      <c r="F170" s="3">
        <v>27.585999999999999</v>
      </c>
      <c r="G170" s="3">
        <v>0</v>
      </c>
      <c r="H170" s="3" t="s">
        <v>81</v>
      </c>
      <c r="I170" s="3" t="s">
        <v>81</v>
      </c>
      <c r="J170" s="3" t="s">
        <v>81</v>
      </c>
      <c r="K170" s="3" t="s">
        <v>81</v>
      </c>
      <c r="L170" s="3" t="s">
        <v>81</v>
      </c>
      <c r="M170" s="3" t="s">
        <v>81</v>
      </c>
      <c r="N170" s="3" t="s">
        <v>81</v>
      </c>
      <c r="O170" s="3" t="s">
        <v>81</v>
      </c>
      <c r="P170" s="3" t="s">
        <v>81</v>
      </c>
      <c r="Q170" s="3" t="s">
        <v>81</v>
      </c>
      <c r="R170" s="3" t="s">
        <v>81</v>
      </c>
      <c r="S170" s="3" t="s">
        <v>81</v>
      </c>
      <c r="T170" s="3" t="s">
        <v>81</v>
      </c>
      <c r="U170" s="3" t="s">
        <v>81</v>
      </c>
      <c r="V170" s="3" t="s">
        <v>81</v>
      </c>
      <c r="W170" s="3" t="s">
        <v>81</v>
      </c>
      <c r="X170" s="3" t="s">
        <v>81</v>
      </c>
      <c r="Y170" s="3" t="s">
        <v>81</v>
      </c>
      <c r="Z170" s="3" t="s">
        <v>81</v>
      </c>
      <c r="AA170" s="3" t="s">
        <v>81</v>
      </c>
      <c r="AB170" s="3" t="s">
        <v>81</v>
      </c>
      <c r="AC170" s="3" t="s">
        <v>81</v>
      </c>
      <c r="AD170" s="3" t="s">
        <v>81</v>
      </c>
      <c r="AE170" s="3" t="s">
        <v>81</v>
      </c>
      <c r="AF170" s="3" t="s">
        <v>81</v>
      </c>
      <c r="AG170" s="3" t="s">
        <v>81</v>
      </c>
      <c r="AH170" s="3" t="s">
        <v>81</v>
      </c>
      <c r="AI170" s="3" t="s">
        <v>81</v>
      </c>
      <c r="AJ170" s="3" t="s">
        <v>81</v>
      </c>
      <c r="AK170" s="3" t="s">
        <v>81</v>
      </c>
      <c r="AL170" s="3" t="s">
        <v>81</v>
      </c>
      <c r="AM170" s="3" t="s">
        <v>81</v>
      </c>
      <c r="AN170" s="3" t="s">
        <v>81</v>
      </c>
      <c r="AO170" s="3" t="s">
        <v>81</v>
      </c>
      <c r="AP170" s="3" t="s">
        <v>81</v>
      </c>
      <c r="AQ170" s="3" t="s">
        <v>81</v>
      </c>
      <c r="AR170" s="3" t="s">
        <v>81</v>
      </c>
      <c r="AS170" s="3" t="s">
        <v>81</v>
      </c>
      <c r="AT170" s="3" t="s">
        <v>81</v>
      </c>
      <c r="AU170" s="3" t="s">
        <v>81</v>
      </c>
      <c r="AV170" s="3" t="s">
        <v>81</v>
      </c>
      <c r="AW170" s="3" t="s">
        <v>81</v>
      </c>
      <c r="AX170" s="3" t="s">
        <v>81</v>
      </c>
      <c r="AY170" s="3" t="s">
        <v>81</v>
      </c>
      <c r="AZ170" s="3" t="s">
        <v>81</v>
      </c>
      <c r="BA170" s="3" t="s">
        <v>81</v>
      </c>
      <c r="BB170" s="3" t="s">
        <v>81</v>
      </c>
      <c r="BC170" s="3" t="s">
        <v>81</v>
      </c>
      <c r="BD170" s="3" t="s">
        <v>81</v>
      </c>
      <c r="BE170" s="3" t="s">
        <v>81</v>
      </c>
      <c r="BF170" s="3" t="s">
        <v>81</v>
      </c>
      <c r="BG170" s="3" t="s">
        <v>81</v>
      </c>
      <c r="BH170" s="3" t="s">
        <v>81</v>
      </c>
      <c r="BI170" s="3" t="s">
        <v>84</v>
      </c>
      <c r="BJ170" s="3" t="s">
        <v>82</v>
      </c>
      <c r="BK170" s="3" t="s">
        <v>83</v>
      </c>
      <c r="BL170" s="3" t="s">
        <v>84</v>
      </c>
      <c r="BM170" s="3" t="s">
        <v>84</v>
      </c>
      <c r="BN170" s="3" t="s">
        <v>84</v>
      </c>
      <c r="BO170" s="3" t="s">
        <v>83</v>
      </c>
      <c r="BP170" s="3" t="s">
        <v>81</v>
      </c>
      <c r="BQ170" s="3" t="s">
        <v>81</v>
      </c>
      <c r="BR170" s="3" t="s">
        <v>81</v>
      </c>
      <c r="BS170" s="3" t="s">
        <v>81</v>
      </c>
      <c r="BT170" s="3" t="s">
        <v>81</v>
      </c>
      <c r="BU170" s="3" t="s">
        <v>81</v>
      </c>
      <c r="BV170" s="3" t="s">
        <v>84</v>
      </c>
      <c r="BW170" s="3" t="s">
        <v>83</v>
      </c>
      <c r="BX170" s="3" t="s">
        <v>82</v>
      </c>
      <c r="BY170" s="3" t="s">
        <v>173</v>
      </c>
      <c r="BZ170" s="3" t="s">
        <v>86</v>
      </c>
      <c r="CB170" s="3" t="s">
        <v>84</v>
      </c>
      <c r="CD170" s="9">
        <v>1</v>
      </c>
      <c r="CE170" s="9">
        <v>1</v>
      </c>
      <c r="CF170" s="19">
        <v>1</v>
      </c>
      <c r="CG170" s="18"/>
      <c r="CH170" s="18"/>
      <c r="CI170" s="17"/>
    </row>
    <row r="171" spans="1:87" x14ac:dyDescent="0.15">
      <c r="A171" s="3">
        <v>2643381650</v>
      </c>
      <c r="B171" s="3" t="s">
        <v>453</v>
      </c>
      <c r="C171" s="3" t="s">
        <v>453</v>
      </c>
      <c r="D171" s="3">
        <v>1</v>
      </c>
      <c r="E171" s="3">
        <v>1</v>
      </c>
      <c r="F171" s="3">
        <v>17.744</v>
      </c>
      <c r="G171" s="3">
        <v>0</v>
      </c>
      <c r="H171" s="3" t="s">
        <v>81</v>
      </c>
      <c r="I171" s="3" t="s">
        <v>81</v>
      </c>
      <c r="J171" s="3" t="s">
        <v>81</v>
      </c>
      <c r="K171" s="3" t="s">
        <v>81</v>
      </c>
      <c r="L171" s="3" t="s">
        <v>81</v>
      </c>
      <c r="M171" s="3" t="s">
        <v>81</v>
      </c>
      <c r="N171" s="3" t="s">
        <v>81</v>
      </c>
      <c r="O171" s="3" t="s">
        <v>81</v>
      </c>
      <c r="P171" s="3" t="s">
        <v>81</v>
      </c>
      <c r="Q171" s="3" t="s">
        <v>81</v>
      </c>
      <c r="R171" s="3" t="s">
        <v>81</v>
      </c>
      <c r="S171" s="3" t="s">
        <v>81</v>
      </c>
      <c r="T171" s="3" t="s">
        <v>81</v>
      </c>
      <c r="U171" s="3" t="s">
        <v>81</v>
      </c>
      <c r="V171" s="3" t="s">
        <v>81</v>
      </c>
      <c r="W171" s="3" t="s">
        <v>81</v>
      </c>
      <c r="X171" s="3" t="s">
        <v>81</v>
      </c>
      <c r="Y171" s="3" t="s">
        <v>81</v>
      </c>
      <c r="Z171" s="3" t="s">
        <v>81</v>
      </c>
      <c r="AA171" s="3" t="s">
        <v>81</v>
      </c>
      <c r="AB171" s="3" t="s">
        <v>81</v>
      </c>
      <c r="AC171" s="3" t="s">
        <v>81</v>
      </c>
      <c r="AD171" s="3" t="s">
        <v>81</v>
      </c>
      <c r="AE171" s="3" t="s">
        <v>81</v>
      </c>
      <c r="AF171" s="3" t="s">
        <v>81</v>
      </c>
      <c r="AG171" s="3" t="s">
        <v>81</v>
      </c>
      <c r="AH171" s="3" t="s">
        <v>81</v>
      </c>
      <c r="AI171" s="3" t="s">
        <v>81</v>
      </c>
      <c r="AJ171" s="3" t="s">
        <v>81</v>
      </c>
      <c r="AK171" s="3" t="s">
        <v>81</v>
      </c>
      <c r="AL171" s="3" t="s">
        <v>81</v>
      </c>
      <c r="AM171" s="3" t="s">
        <v>81</v>
      </c>
      <c r="AN171" s="3" t="s">
        <v>81</v>
      </c>
      <c r="AO171" s="3" t="s">
        <v>81</v>
      </c>
      <c r="AP171" s="3" t="s">
        <v>81</v>
      </c>
      <c r="AQ171" s="3" t="s">
        <v>81</v>
      </c>
      <c r="AR171" s="3" t="s">
        <v>81</v>
      </c>
      <c r="AS171" s="3" t="s">
        <v>81</v>
      </c>
      <c r="AT171" s="3" t="s">
        <v>81</v>
      </c>
      <c r="AU171" s="3" t="s">
        <v>81</v>
      </c>
      <c r="AV171" s="3" t="s">
        <v>81</v>
      </c>
      <c r="AW171" s="3" t="s">
        <v>81</v>
      </c>
      <c r="AX171" s="3" t="s">
        <v>81</v>
      </c>
      <c r="AY171" s="3" t="s">
        <v>81</v>
      </c>
      <c r="AZ171" s="3" t="s">
        <v>81</v>
      </c>
      <c r="BA171" s="3" t="s">
        <v>81</v>
      </c>
      <c r="BB171" s="3" t="s">
        <v>81</v>
      </c>
      <c r="BC171" s="3" t="s">
        <v>81</v>
      </c>
      <c r="BD171" s="3" t="s">
        <v>81</v>
      </c>
      <c r="BE171" s="3" t="s">
        <v>81</v>
      </c>
      <c r="BF171" s="3" t="s">
        <v>81</v>
      </c>
      <c r="BG171" s="3" t="s">
        <v>81</v>
      </c>
      <c r="BH171" s="3" t="s">
        <v>81</v>
      </c>
      <c r="BI171" s="3" t="s">
        <v>84</v>
      </c>
      <c r="BJ171" s="3" t="s">
        <v>82</v>
      </c>
      <c r="BK171" s="3" t="s">
        <v>83</v>
      </c>
      <c r="BL171" s="3" t="s">
        <v>84</v>
      </c>
      <c r="BM171" s="3" t="s">
        <v>84</v>
      </c>
      <c r="BN171" s="3" t="s">
        <v>84</v>
      </c>
      <c r="BO171" s="3" t="s">
        <v>83</v>
      </c>
      <c r="BP171" s="3" t="s">
        <v>81</v>
      </c>
      <c r="BQ171" s="3" t="s">
        <v>81</v>
      </c>
      <c r="BR171" s="3" t="s">
        <v>81</v>
      </c>
      <c r="BS171" s="3" t="s">
        <v>81</v>
      </c>
      <c r="BT171" s="3" t="s">
        <v>81</v>
      </c>
      <c r="BU171" s="3" t="s">
        <v>81</v>
      </c>
      <c r="BV171" s="3" t="s">
        <v>84</v>
      </c>
      <c r="BW171" s="3" t="s">
        <v>83</v>
      </c>
      <c r="BX171" s="3" t="s">
        <v>82</v>
      </c>
      <c r="BY171" s="3" t="s">
        <v>173</v>
      </c>
      <c r="BZ171" s="3" t="s">
        <v>86</v>
      </c>
      <c r="CB171" s="3" t="s">
        <v>84</v>
      </c>
      <c r="CD171" s="9">
        <v>1</v>
      </c>
      <c r="CE171" s="9">
        <v>1</v>
      </c>
      <c r="CF171" s="19">
        <v>1</v>
      </c>
      <c r="CG171" s="18"/>
      <c r="CH171" s="18"/>
      <c r="CI171" s="17"/>
    </row>
    <row r="172" spans="1:87" x14ac:dyDescent="0.15">
      <c r="A172" s="3">
        <v>2235911604</v>
      </c>
      <c r="B172" s="3" t="s">
        <v>456</v>
      </c>
      <c r="C172" s="3" t="s">
        <v>456</v>
      </c>
      <c r="D172" s="3">
        <v>3</v>
      </c>
      <c r="E172" s="3">
        <v>3</v>
      </c>
      <c r="F172" s="3">
        <v>41.77</v>
      </c>
      <c r="G172" s="3">
        <v>0</v>
      </c>
      <c r="H172" s="3" t="s">
        <v>81</v>
      </c>
      <c r="I172" s="3" t="s">
        <v>81</v>
      </c>
      <c r="J172" s="3" t="s">
        <v>81</v>
      </c>
      <c r="K172" s="3" t="s">
        <v>81</v>
      </c>
      <c r="L172" s="3" t="s">
        <v>81</v>
      </c>
      <c r="M172" s="3" t="s">
        <v>81</v>
      </c>
      <c r="N172" s="3" t="s">
        <v>81</v>
      </c>
      <c r="O172" s="3" t="s">
        <v>81</v>
      </c>
      <c r="P172" s="3" t="s">
        <v>81</v>
      </c>
      <c r="Q172" s="3">
        <v>41.308</v>
      </c>
      <c r="R172" s="3">
        <v>0</v>
      </c>
      <c r="S172" s="3" t="s">
        <v>81</v>
      </c>
      <c r="T172" s="3" t="s">
        <v>81</v>
      </c>
      <c r="U172" s="3" t="s">
        <v>81</v>
      </c>
      <c r="V172" s="3" t="s">
        <v>81</v>
      </c>
      <c r="W172" s="3" t="s">
        <v>81</v>
      </c>
      <c r="X172" s="3" t="s">
        <v>81</v>
      </c>
      <c r="Y172" s="3" t="s">
        <v>81</v>
      </c>
      <c r="Z172" s="3" t="s">
        <v>81</v>
      </c>
      <c r="AA172" s="3" t="s">
        <v>81</v>
      </c>
      <c r="AB172" s="3" t="s">
        <v>81</v>
      </c>
      <c r="AC172" s="3" t="s">
        <v>81</v>
      </c>
      <c r="AD172" s="3" t="s">
        <v>81</v>
      </c>
      <c r="AE172" s="3" t="s">
        <v>81</v>
      </c>
      <c r="AF172" s="3" t="s">
        <v>81</v>
      </c>
      <c r="AG172" s="3" t="s">
        <v>81</v>
      </c>
      <c r="AH172" s="3" t="s">
        <v>81</v>
      </c>
      <c r="AI172" s="3" t="s">
        <v>81</v>
      </c>
      <c r="AJ172" s="3" t="s">
        <v>81</v>
      </c>
      <c r="AK172" s="3" t="s">
        <v>81</v>
      </c>
      <c r="AL172" s="3" t="s">
        <v>81</v>
      </c>
      <c r="AM172" s="3" t="s">
        <v>81</v>
      </c>
      <c r="AN172" s="3" t="s">
        <v>81</v>
      </c>
      <c r="AO172" s="3" t="s">
        <v>81</v>
      </c>
      <c r="AP172" s="3" t="s">
        <v>81</v>
      </c>
      <c r="AQ172" s="3" t="s">
        <v>81</v>
      </c>
      <c r="AR172" s="3" t="s">
        <v>81</v>
      </c>
      <c r="AS172" s="3" t="s">
        <v>81</v>
      </c>
      <c r="AT172" s="3" t="s">
        <v>81</v>
      </c>
      <c r="AU172" s="3" t="s">
        <v>81</v>
      </c>
      <c r="AV172" s="3" t="s">
        <v>81</v>
      </c>
      <c r="AW172" s="3" t="s">
        <v>81</v>
      </c>
      <c r="AX172" s="3" t="s">
        <v>81</v>
      </c>
      <c r="AY172" s="3" t="s">
        <v>81</v>
      </c>
      <c r="AZ172" s="3" t="s">
        <v>81</v>
      </c>
      <c r="BA172" s="3" t="s">
        <v>81</v>
      </c>
      <c r="BB172" s="3" t="s">
        <v>81</v>
      </c>
      <c r="BC172" s="3" t="s">
        <v>81</v>
      </c>
      <c r="BD172" s="3" t="s">
        <v>81</v>
      </c>
      <c r="BE172" s="3" t="s">
        <v>81</v>
      </c>
      <c r="BF172" s="3" t="s">
        <v>81</v>
      </c>
      <c r="BG172" s="3" t="s">
        <v>81</v>
      </c>
      <c r="BH172" s="3" t="s">
        <v>81</v>
      </c>
      <c r="BI172" s="3" t="s">
        <v>84</v>
      </c>
      <c r="BJ172" s="3" t="s">
        <v>82</v>
      </c>
      <c r="BK172" s="3" t="s">
        <v>83</v>
      </c>
      <c r="BL172" s="3" t="s">
        <v>84</v>
      </c>
      <c r="BM172" s="3" t="s">
        <v>84</v>
      </c>
      <c r="BN172" s="3" t="s">
        <v>84</v>
      </c>
      <c r="BO172" s="3" t="s">
        <v>83</v>
      </c>
      <c r="BP172" s="3" t="s">
        <v>81</v>
      </c>
      <c r="BQ172" s="3" t="s">
        <v>81</v>
      </c>
      <c r="BR172" s="3" t="s">
        <v>81</v>
      </c>
      <c r="BS172" s="3" t="s">
        <v>81</v>
      </c>
      <c r="BT172" s="3" t="s">
        <v>81</v>
      </c>
      <c r="BU172" s="3" t="s">
        <v>81</v>
      </c>
      <c r="BV172" s="3" t="s">
        <v>82</v>
      </c>
      <c r="BW172" s="3" t="s">
        <v>91</v>
      </c>
      <c r="BX172" s="3" t="s">
        <v>82</v>
      </c>
      <c r="BY172" s="3" t="s">
        <v>173</v>
      </c>
      <c r="BZ172" s="3" t="s">
        <v>86</v>
      </c>
      <c r="CA172" s="3"/>
      <c r="CB172" s="3" t="s">
        <v>84</v>
      </c>
      <c r="CC172" s="3"/>
      <c r="CD172" s="9">
        <v>3</v>
      </c>
      <c r="CE172" s="9"/>
      <c r="CF172" s="19"/>
      <c r="CG172" s="17"/>
      <c r="CH172" s="17"/>
      <c r="CI172" s="18"/>
    </row>
    <row r="173" spans="1:87" x14ac:dyDescent="0.15">
      <c r="A173" s="3">
        <v>2236155623</v>
      </c>
      <c r="B173" s="3" t="s">
        <v>456</v>
      </c>
      <c r="C173" s="3" t="s">
        <v>456</v>
      </c>
      <c r="D173" s="3">
        <v>7</v>
      </c>
      <c r="E173" s="3">
        <v>13</v>
      </c>
      <c r="F173" s="3">
        <v>26.893000000000001</v>
      </c>
      <c r="G173" s="3">
        <v>0</v>
      </c>
      <c r="H173" s="3" t="s">
        <v>81</v>
      </c>
      <c r="I173" s="3" t="s">
        <v>81</v>
      </c>
      <c r="J173" s="3" t="s">
        <v>81</v>
      </c>
      <c r="K173" s="3" t="s">
        <v>81</v>
      </c>
      <c r="L173" s="3" t="s">
        <v>81</v>
      </c>
      <c r="M173" s="3" t="s">
        <v>81</v>
      </c>
      <c r="N173" s="3" t="s">
        <v>81</v>
      </c>
      <c r="O173" s="3" t="s">
        <v>81</v>
      </c>
      <c r="P173" s="3" t="s">
        <v>81</v>
      </c>
      <c r="Q173" s="3">
        <v>30.591999999999999</v>
      </c>
      <c r="R173" s="3">
        <v>0</v>
      </c>
      <c r="S173" s="3" t="s">
        <v>81</v>
      </c>
      <c r="T173" s="3" t="s">
        <v>81</v>
      </c>
      <c r="U173" s="3" t="s">
        <v>81</v>
      </c>
      <c r="V173" s="3" t="s">
        <v>81</v>
      </c>
      <c r="W173" s="3" t="s">
        <v>81</v>
      </c>
      <c r="X173" s="3" t="s">
        <v>81</v>
      </c>
      <c r="Y173" s="3" t="s">
        <v>81</v>
      </c>
      <c r="Z173" s="3" t="s">
        <v>81</v>
      </c>
      <c r="AA173" s="3" t="s">
        <v>81</v>
      </c>
      <c r="AB173" s="3">
        <v>29.991</v>
      </c>
      <c r="AC173" s="3">
        <v>0</v>
      </c>
      <c r="AD173" s="3" t="s">
        <v>81</v>
      </c>
      <c r="AE173" s="3" t="s">
        <v>81</v>
      </c>
      <c r="AF173" s="3" t="s">
        <v>81</v>
      </c>
      <c r="AG173" s="3" t="s">
        <v>81</v>
      </c>
      <c r="AH173" s="3" t="s">
        <v>81</v>
      </c>
      <c r="AI173" s="3" t="s">
        <v>81</v>
      </c>
      <c r="AJ173" s="3" t="s">
        <v>81</v>
      </c>
      <c r="AK173" s="3" t="s">
        <v>81</v>
      </c>
      <c r="AL173" s="3" t="s">
        <v>81</v>
      </c>
      <c r="AM173" s="3">
        <v>34.953000000000003</v>
      </c>
      <c r="AN173" s="3">
        <v>0</v>
      </c>
      <c r="AO173" s="3" t="s">
        <v>81</v>
      </c>
      <c r="AP173" s="3" t="s">
        <v>81</v>
      </c>
      <c r="AQ173" s="3" t="s">
        <v>81</v>
      </c>
      <c r="AR173" s="3" t="s">
        <v>81</v>
      </c>
      <c r="AS173" s="3" t="s">
        <v>81</v>
      </c>
      <c r="AT173" s="3" t="s">
        <v>81</v>
      </c>
      <c r="AU173" s="3" t="s">
        <v>81</v>
      </c>
      <c r="AV173" s="3" t="s">
        <v>81</v>
      </c>
      <c r="AW173" s="3" t="s">
        <v>81</v>
      </c>
      <c r="AX173" s="3">
        <v>32.713000000000001</v>
      </c>
      <c r="AY173" s="3">
        <v>0</v>
      </c>
      <c r="AZ173" s="3" t="s">
        <v>81</v>
      </c>
      <c r="BA173" s="3" t="s">
        <v>81</v>
      </c>
      <c r="BB173" s="3" t="s">
        <v>81</v>
      </c>
      <c r="BC173" s="3" t="s">
        <v>81</v>
      </c>
      <c r="BD173" s="3" t="s">
        <v>81</v>
      </c>
      <c r="BE173" s="3" t="s">
        <v>81</v>
      </c>
      <c r="BF173" s="3" t="s">
        <v>81</v>
      </c>
      <c r="BG173" s="3" t="s">
        <v>81</v>
      </c>
      <c r="BH173" s="3" t="s">
        <v>81</v>
      </c>
      <c r="BI173" s="3" t="s">
        <v>84</v>
      </c>
      <c r="BJ173" s="3" t="s">
        <v>82</v>
      </c>
      <c r="BK173" s="3" t="s">
        <v>83</v>
      </c>
      <c r="BL173" s="3" t="s">
        <v>84</v>
      </c>
      <c r="BM173" s="3" t="s">
        <v>84</v>
      </c>
      <c r="BN173" s="3" t="s">
        <v>84</v>
      </c>
      <c r="BO173" s="3" t="s">
        <v>82</v>
      </c>
      <c r="BP173" s="3" t="s">
        <v>87</v>
      </c>
      <c r="BQ173" s="3" t="s">
        <v>87</v>
      </c>
      <c r="BR173" s="3" t="s">
        <v>457</v>
      </c>
      <c r="BS173" s="3" t="s">
        <v>457</v>
      </c>
      <c r="BT173" s="3" t="s">
        <v>87</v>
      </c>
      <c r="BU173" s="3" t="s">
        <v>98</v>
      </c>
      <c r="BV173" s="3" t="s">
        <v>82</v>
      </c>
      <c r="BW173" s="3" t="s">
        <v>91</v>
      </c>
      <c r="BX173" s="3" t="s">
        <v>82</v>
      </c>
      <c r="BZ173" s="3" t="s">
        <v>86</v>
      </c>
      <c r="CB173" s="3" t="s">
        <v>84</v>
      </c>
      <c r="CD173" s="9">
        <v>7</v>
      </c>
      <c r="CE173" s="9">
        <v>13</v>
      </c>
      <c r="CF173" s="19"/>
      <c r="CG173" s="18"/>
      <c r="CH173" s="18"/>
      <c r="CI173" s="18"/>
    </row>
    <row r="174" spans="1:87" x14ac:dyDescent="0.15">
      <c r="A174" s="3">
        <v>2235832671</v>
      </c>
      <c r="B174" s="3" t="s">
        <v>456</v>
      </c>
      <c r="C174" s="3" t="s">
        <v>456</v>
      </c>
      <c r="D174" s="3">
        <v>5</v>
      </c>
      <c r="E174" s="3">
        <v>9</v>
      </c>
      <c r="F174" s="3">
        <v>24.709</v>
      </c>
      <c r="G174" s="3">
        <v>0</v>
      </c>
      <c r="H174" s="3" t="s">
        <v>81</v>
      </c>
      <c r="I174" s="3" t="s">
        <v>81</v>
      </c>
      <c r="J174" s="3" t="s">
        <v>81</v>
      </c>
      <c r="K174" s="3" t="s">
        <v>81</v>
      </c>
      <c r="L174" s="3" t="s">
        <v>81</v>
      </c>
      <c r="M174" s="3" t="s">
        <v>81</v>
      </c>
      <c r="N174" s="3" t="s">
        <v>81</v>
      </c>
      <c r="O174" s="3" t="s">
        <v>81</v>
      </c>
      <c r="P174" s="3" t="s">
        <v>81</v>
      </c>
      <c r="Q174" s="3">
        <v>20.446999999999999</v>
      </c>
      <c r="R174" s="3">
        <v>0</v>
      </c>
      <c r="S174" s="3" t="s">
        <v>81</v>
      </c>
      <c r="T174" s="3" t="s">
        <v>81</v>
      </c>
      <c r="U174" s="3" t="s">
        <v>81</v>
      </c>
      <c r="V174" s="3" t="s">
        <v>81</v>
      </c>
      <c r="W174" s="3" t="s">
        <v>81</v>
      </c>
      <c r="X174" s="3" t="s">
        <v>81</v>
      </c>
      <c r="Y174" s="3" t="s">
        <v>81</v>
      </c>
      <c r="Z174" s="3" t="s">
        <v>81</v>
      </c>
      <c r="AA174" s="3" t="s">
        <v>81</v>
      </c>
      <c r="AB174" s="3">
        <v>23.07</v>
      </c>
      <c r="AC174" s="3">
        <v>0</v>
      </c>
      <c r="AD174" s="3" t="s">
        <v>81</v>
      </c>
      <c r="AE174" s="3" t="s">
        <v>81</v>
      </c>
      <c r="AF174" s="3" t="s">
        <v>81</v>
      </c>
      <c r="AG174" s="3" t="s">
        <v>81</v>
      </c>
      <c r="AH174" s="3" t="s">
        <v>81</v>
      </c>
      <c r="AI174" s="3" t="s">
        <v>81</v>
      </c>
      <c r="AJ174" s="3" t="s">
        <v>81</v>
      </c>
      <c r="AK174" s="3" t="s">
        <v>81</v>
      </c>
      <c r="AL174" s="3" t="s">
        <v>81</v>
      </c>
      <c r="AM174" s="3">
        <v>19.652000000000001</v>
      </c>
      <c r="AN174" s="3">
        <v>0</v>
      </c>
      <c r="AO174" s="3" t="s">
        <v>81</v>
      </c>
      <c r="AP174" s="3" t="s">
        <v>81</v>
      </c>
      <c r="AQ174" s="3" t="s">
        <v>81</v>
      </c>
      <c r="AR174" s="3" t="s">
        <v>81</v>
      </c>
      <c r="AS174" s="3" t="s">
        <v>81</v>
      </c>
      <c r="AT174" s="3" t="s">
        <v>81</v>
      </c>
      <c r="AU174" s="3" t="s">
        <v>81</v>
      </c>
      <c r="AV174" s="3" t="s">
        <v>81</v>
      </c>
      <c r="AW174" s="3" t="s">
        <v>81</v>
      </c>
      <c r="AX174" s="3">
        <v>23.763000000000002</v>
      </c>
      <c r="AY174" s="3">
        <v>0</v>
      </c>
      <c r="AZ174" s="3" t="s">
        <v>81</v>
      </c>
      <c r="BA174" s="3" t="s">
        <v>81</v>
      </c>
      <c r="BB174" s="3" t="s">
        <v>81</v>
      </c>
      <c r="BC174" s="3" t="s">
        <v>81</v>
      </c>
      <c r="BD174" s="3" t="s">
        <v>81</v>
      </c>
      <c r="BE174" s="3" t="s">
        <v>81</v>
      </c>
      <c r="BF174" s="3" t="s">
        <v>81</v>
      </c>
      <c r="BG174" s="3" t="s">
        <v>81</v>
      </c>
      <c r="BH174" s="3" t="s">
        <v>81</v>
      </c>
      <c r="BI174" s="3" t="s">
        <v>84</v>
      </c>
      <c r="BJ174" s="3" t="s">
        <v>82</v>
      </c>
      <c r="BK174" s="3" t="s">
        <v>83</v>
      </c>
      <c r="BL174" s="3" t="s">
        <v>84</v>
      </c>
      <c r="BM174" s="3" t="s">
        <v>84</v>
      </c>
      <c r="BN174" s="3" t="s">
        <v>82</v>
      </c>
      <c r="BO174" s="3" t="s">
        <v>84</v>
      </c>
      <c r="BP174" s="3" t="s">
        <v>458</v>
      </c>
      <c r="BQ174" s="3" t="s">
        <v>458</v>
      </c>
      <c r="BR174" s="3" t="s">
        <v>459</v>
      </c>
      <c r="BS174" s="3" t="s">
        <v>460</v>
      </c>
      <c r="BT174" s="3" t="s">
        <v>87</v>
      </c>
      <c r="BU174" s="3" t="s">
        <v>98</v>
      </c>
      <c r="BV174" s="3" t="s">
        <v>82</v>
      </c>
      <c r="BW174" s="3" t="s">
        <v>91</v>
      </c>
      <c r="BX174" s="3" t="s">
        <v>82</v>
      </c>
      <c r="BY174" s="3" t="s">
        <v>461</v>
      </c>
      <c r="BZ174" s="3" t="s">
        <v>86</v>
      </c>
      <c r="CB174" s="3" t="s">
        <v>84</v>
      </c>
      <c r="CD174" s="9">
        <v>6</v>
      </c>
      <c r="CE174" s="9"/>
      <c r="CF174" s="19"/>
      <c r="CG174" s="18"/>
      <c r="CH174" s="18"/>
      <c r="CI174" s="17"/>
    </row>
    <row r="175" spans="1:87" x14ac:dyDescent="0.15">
      <c r="A175" s="3">
        <v>1847924430</v>
      </c>
      <c r="B175" s="3" t="s">
        <v>469</v>
      </c>
      <c r="C175" s="3" t="s">
        <v>469</v>
      </c>
      <c r="D175" s="3" t="s">
        <v>81</v>
      </c>
      <c r="E175" s="3">
        <v>9</v>
      </c>
      <c r="F175" s="3">
        <v>39.061999999999998</v>
      </c>
      <c r="G175" s="3">
        <v>1</v>
      </c>
      <c r="H175" s="3">
        <v>21.24</v>
      </c>
      <c r="I175" s="3">
        <v>3.302</v>
      </c>
      <c r="J175" s="3">
        <v>16.32</v>
      </c>
      <c r="K175" s="3" t="s">
        <v>81</v>
      </c>
      <c r="L175" s="3" t="s">
        <v>81</v>
      </c>
      <c r="M175" s="3" t="s">
        <v>81</v>
      </c>
      <c r="N175" s="3" t="s">
        <v>81</v>
      </c>
      <c r="O175" s="3" t="s">
        <v>81</v>
      </c>
      <c r="P175" s="3" t="s">
        <v>81</v>
      </c>
      <c r="Q175" s="3">
        <v>34.786000000000001</v>
      </c>
      <c r="R175" s="3">
        <v>1</v>
      </c>
      <c r="S175" s="3">
        <v>19.219000000000001</v>
      </c>
      <c r="T175" s="3">
        <v>4.5709999999999997</v>
      </c>
      <c r="U175" s="3">
        <v>14.231999999999999</v>
      </c>
      <c r="V175" s="3" t="s">
        <v>81</v>
      </c>
      <c r="W175" s="3" t="s">
        <v>81</v>
      </c>
      <c r="X175" s="3" t="s">
        <v>81</v>
      </c>
      <c r="Y175" s="3" t="s">
        <v>81</v>
      </c>
      <c r="Z175" s="3" t="s">
        <v>81</v>
      </c>
      <c r="AA175" s="3" t="s">
        <v>81</v>
      </c>
      <c r="AB175" s="3">
        <v>31.404</v>
      </c>
      <c r="AC175" s="3">
        <v>1</v>
      </c>
      <c r="AD175" s="3">
        <v>18.704999999999998</v>
      </c>
      <c r="AE175" s="3">
        <v>4.58</v>
      </c>
      <c r="AF175" s="3">
        <v>14.722</v>
      </c>
      <c r="AG175" s="3" t="s">
        <v>81</v>
      </c>
      <c r="AH175" s="3" t="s">
        <v>81</v>
      </c>
      <c r="AI175" s="3" t="s">
        <v>81</v>
      </c>
      <c r="AJ175" s="3" t="s">
        <v>81</v>
      </c>
      <c r="AK175" s="3" t="s">
        <v>81</v>
      </c>
      <c r="AL175" s="3" t="s">
        <v>81</v>
      </c>
      <c r="AM175" s="3">
        <v>33.427999999999997</v>
      </c>
      <c r="AN175" s="3">
        <v>1</v>
      </c>
      <c r="AO175" s="3">
        <v>19.594000000000001</v>
      </c>
      <c r="AP175" s="3">
        <v>3.6339999999999999</v>
      </c>
      <c r="AQ175" s="3">
        <v>13.358000000000001</v>
      </c>
      <c r="AR175" s="3" t="s">
        <v>81</v>
      </c>
      <c r="AS175" s="3" t="s">
        <v>81</v>
      </c>
      <c r="AT175" s="3" t="s">
        <v>81</v>
      </c>
      <c r="AU175" s="3" t="s">
        <v>81</v>
      </c>
      <c r="AV175" s="3" t="s">
        <v>81</v>
      </c>
      <c r="AW175" s="3" t="s">
        <v>81</v>
      </c>
      <c r="AX175" s="3" t="s">
        <v>81</v>
      </c>
      <c r="AY175" s="3" t="s">
        <v>81</v>
      </c>
      <c r="AZ175" s="3" t="s">
        <v>81</v>
      </c>
      <c r="BA175" s="3" t="s">
        <v>81</v>
      </c>
      <c r="BB175" s="3" t="s">
        <v>81</v>
      </c>
      <c r="BC175" s="3" t="s">
        <v>81</v>
      </c>
      <c r="BD175" s="3" t="s">
        <v>81</v>
      </c>
      <c r="BE175" s="3" t="s">
        <v>81</v>
      </c>
      <c r="BF175" s="3" t="s">
        <v>81</v>
      </c>
      <c r="BG175" s="3" t="s">
        <v>81</v>
      </c>
      <c r="BH175" s="3" t="s">
        <v>81</v>
      </c>
      <c r="BI175" s="3" t="s">
        <v>84</v>
      </c>
      <c r="BJ175" s="3" t="s">
        <v>82</v>
      </c>
      <c r="BK175" s="3" t="s">
        <v>83</v>
      </c>
      <c r="BL175" s="3" t="s">
        <v>84</v>
      </c>
      <c r="BM175" s="3" t="s">
        <v>84</v>
      </c>
      <c r="BN175" s="3" t="s">
        <v>84</v>
      </c>
      <c r="BO175" s="3" t="s">
        <v>82</v>
      </c>
      <c r="BP175" s="3" t="s">
        <v>81</v>
      </c>
      <c r="BQ175" s="3" t="s">
        <v>81</v>
      </c>
      <c r="BR175" s="3" t="s">
        <v>81</v>
      </c>
      <c r="BS175" s="3" t="s">
        <v>81</v>
      </c>
      <c r="BT175" s="3" t="s">
        <v>81</v>
      </c>
      <c r="BU175" s="3" t="s">
        <v>81</v>
      </c>
      <c r="BV175" s="3" t="s">
        <v>84</v>
      </c>
      <c r="BW175" s="3" t="s">
        <v>83</v>
      </c>
      <c r="BX175" s="3" t="s">
        <v>82</v>
      </c>
      <c r="BY175" s="3" t="s">
        <v>470</v>
      </c>
      <c r="BZ175" s="3" t="s">
        <v>93</v>
      </c>
      <c r="CA175" s="3"/>
      <c r="CB175" s="3" t="s">
        <v>84</v>
      </c>
      <c r="CC175" s="3"/>
      <c r="CD175" s="9"/>
      <c r="CE175" s="9"/>
      <c r="CF175" s="17"/>
      <c r="CG175" s="17"/>
      <c r="CH175" s="17"/>
      <c r="CI175" s="18"/>
    </row>
    <row r="176" spans="1:87" x14ac:dyDescent="0.15">
      <c r="A176" s="3">
        <v>2625892819</v>
      </c>
      <c r="B176" s="3" t="s">
        <v>469</v>
      </c>
      <c r="C176" s="3" t="s">
        <v>469</v>
      </c>
      <c r="D176" s="3" t="s">
        <v>81</v>
      </c>
      <c r="E176" s="3">
        <v>7</v>
      </c>
      <c r="F176" s="3">
        <v>31.914999999999999</v>
      </c>
      <c r="G176" s="3">
        <v>1</v>
      </c>
      <c r="H176" s="3">
        <v>2.347</v>
      </c>
      <c r="I176" s="3">
        <v>18.579000000000001</v>
      </c>
      <c r="J176" s="3">
        <v>29.129000000000001</v>
      </c>
      <c r="K176" s="3" t="s">
        <v>81</v>
      </c>
      <c r="L176" s="3" t="s">
        <v>81</v>
      </c>
      <c r="M176" s="3" t="s">
        <v>81</v>
      </c>
      <c r="N176" s="3" t="s">
        <v>81</v>
      </c>
      <c r="O176" s="3" t="s">
        <v>81</v>
      </c>
      <c r="P176" s="3" t="s">
        <v>81</v>
      </c>
      <c r="Q176" s="3">
        <v>37.186999999999998</v>
      </c>
      <c r="R176" s="3">
        <v>1</v>
      </c>
      <c r="S176" s="3">
        <v>3.0390000000000001</v>
      </c>
      <c r="T176" s="3">
        <v>16.631</v>
      </c>
      <c r="U176" s="3">
        <v>34.317</v>
      </c>
      <c r="V176" s="3" t="s">
        <v>81</v>
      </c>
      <c r="W176" s="3" t="s">
        <v>81</v>
      </c>
      <c r="X176" s="3" t="s">
        <v>81</v>
      </c>
      <c r="Y176" s="3" t="s">
        <v>81</v>
      </c>
      <c r="Z176" s="3" t="s">
        <v>81</v>
      </c>
      <c r="AA176" s="3" t="s">
        <v>81</v>
      </c>
      <c r="AB176" s="3">
        <v>36.139000000000003</v>
      </c>
      <c r="AC176" s="3">
        <v>1</v>
      </c>
      <c r="AD176" s="3">
        <v>3.9929999999999999</v>
      </c>
      <c r="AE176" s="3">
        <v>18.143000000000001</v>
      </c>
      <c r="AF176" s="3">
        <v>31.861999999999998</v>
      </c>
      <c r="AG176" s="3" t="s">
        <v>81</v>
      </c>
      <c r="AH176" s="3" t="s">
        <v>81</v>
      </c>
      <c r="AI176" s="3" t="s">
        <v>81</v>
      </c>
      <c r="AJ176" s="3" t="s">
        <v>81</v>
      </c>
      <c r="AK176" s="3" t="s">
        <v>81</v>
      </c>
      <c r="AL176" s="3" t="s">
        <v>81</v>
      </c>
      <c r="AM176" s="3">
        <v>32.045000000000002</v>
      </c>
      <c r="AN176" s="3">
        <v>1</v>
      </c>
      <c r="AO176" s="3">
        <v>4.0990000000000002</v>
      </c>
      <c r="AP176" s="3">
        <v>13.247999999999999</v>
      </c>
      <c r="AQ176" s="3">
        <v>27.463000000000001</v>
      </c>
      <c r="AR176" s="3" t="s">
        <v>81</v>
      </c>
      <c r="AS176" s="3" t="s">
        <v>81</v>
      </c>
      <c r="AT176" s="3" t="s">
        <v>81</v>
      </c>
      <c r="AU176" s="3" t="s">
        <v>81</v>
      </c>
      <c r="AV176" s="3" t="s">
        <v>81</v>
      </c>
      <c r="AW176" s="3" t="s">
        <v>81</v>
      </c>
      <c r="AX176" s="3">
        <v>38.323</v>
      </c>
      <c r="AY176" s="3">
        <v>1</v>
      </c>
      <c r="AZ176" s="3">
        <v>10.085000000000001</v>
      </c>
      <c r="BA176" s="3">
        <v>11.731</v>
      </c>
      <c r="BB176" s="3">
        <v>27.852</v>
      </c>
      <c r="BC176" s="3" t="s">
        <v>81</v>
      </c>
      <c r="BD176" s="3" t="s">
        <v>81</v>
      </c>
      <c r="BE176" s="3" t="s">
        <v>81</v>
      </c>
      <c r="BF176" s="3" t="s">
        <v>81</v>
      </c>
      <c r="BG176" s="3" t="s">
        <v>81</v>
      </c>
      <c r="BH176" s="3" t="s">
        <v>81</v>
      </c>
      <c r="BI176" s="3" t="s">
        <v>84</v>
      </c>
      <c r="BJ176" s="3" t="s">
        <v>84</v>
      </c>
      <c r="BK176" s="3" t="s">
        <v>84</v>
      </c>
      <c r="BL176" s="3" t="s">
        <v>84</v>
      </c>
      <c r="BM176" s="3" t="s">
        <v>84</v>
      </c>
      <c r="BN176" s="3" t="s">
        <v>82</v>
      </c>
      <c r="BO176" s="3" t="s">
        <v>84</v>
      </c>
      <c r="BP176" s="3" t="s">
        <v>87</v>
      </c>
      <c r="BQ176" s="3" t="s">
        <v>87</v>
      </c>
      <c r="BR176" s="3" t="s">
        <v>87</v>
      </c>
      <c r="BS176" s="3" t="s">
        <v>471</v>
      </c>
      <c r="BT176" s="3" t="s">
        <v>87</v>
      </c>
      <c r="BU176" s="3" t="s">
        <v>81</v>
      </c>
      <c r="BV176" s="3" t="s">
        <v>84</v>
      </c>
      <c r="BW176" s="3" t="s">
        <v>83</v>
      </c>
      <c r="BX176" s="3" t="s">
        <v>82</v>
      </c>
      <c r="BZ176" s="3" t="s">
        <v>86</v>
      </c>
      <c r="CB176" s="3" t="s">
        <v>84</v>
      </c>
      <c r="CD176" s="9">
        <v>13</v>
      </c>
      <c r="CE176" s="9"/>
      <c r="CF176" s="18"/>
      <c r="CG176" s="18"/>
      <c r="CH176" s="18"/>
      <c r="CI176" s="17"/>
    </row>
    <row r="177" spans="1:87" x14ac:dyDescent="0.15">
      <c r="A177" s="3">
        <v>2643383797</v>
      </c>
      <c r="B177" s="3" t="s">
        <v>469</v>
      </c>
      <c r="C177" s="3" t="s">
        <v>469</v>
      </c>
      <c r="D177" s="3">
        <v>5</v>
      </c>
      <c r="E177" s="3">
        <v>10</v>
      </c>
      <c r="F177" s="3">
        <v>85.563000000000002</v>
      </c>
      <c r="G177" s="3">
        <v>2</v>
      </c>
      <c r="H177" s="3">
        <v>41.604999999999997</v>
      </c>
      <c r="I177" s="3">
        <v>10.151</v>
      </c>
      <c r="J177" s="3">
        <v>25.148</v>
      </c>
      <c r="K177" s="3">
        <v>6.9880000000000004</v>
      </c>
      <c r="L177" s="3">
        <v>17.175999999999998</v>
      </c>
      <c r="M177" s="3" t="s">
        <v>81</v>
      </c>
      <c r="N177" s="3" t="s">
        <v>81</v>
      </c>
      <c r="O177" s="3" t="s">
        <v>81</v>
      </c>
      <c r="P177" s="3" t="s">
        <v>81</v>
      </c>
      <c r="Q177" s="3">
        <v>80.881</v>
      </c>
      <c r="R177" s="3">
        <v>2</v>
      </c>
      <c r="S177" s="3">
        <v>43.195999999999998</v>
      </c>
      <c r="T177" s="3">
        <v>9.5239999999999991</v>
      </c>
      <c r="U177" s="3">
        <v>32.96</v>
      </c>
      <c r="V177" s="3">
        <v>8.5079999999999991</v>
      </c>
      <c r="W177" s="3">
        <v>5.0469999999999997</v>
      </c>
      <c r="X177" s="3" t="s">
        <v>81</v>
      </c>
      <c r="Y177" s="3" t="s">
        <v>81</v>
      </c>
      <c r="Z177" s="3" t="s">
        <v>81</v>
      </c>
      <c r="AA177" s="3" t="s">
        <v>81</v>
      </c>
      <c r="AB177" s="3">
        <v>85.87</v>
      </c>
      <c r="AC177" s="3">
        <v>2</v>
      </c>
      <c r="AD177" s="3">
        <v>37.883000000000003</v>
      </c>
      <c r="AE177" s="3">
        <v>14.513999999999999</v>
      </c>
      <c r="AF177" s="3">
        <v>33.887999999999998</v>
      </c>
      <c r="AG177" s="3">
        <v>5.9820000000000002</v>
      </c>
      <c r="AH177" s="3">
        <v>13.755000000000001</v>
      </c>
      <c r="AI177" s="3" t="s">
        <v>81</v>
      </c>
      <c r="AJ177" s="3" t="s">
        <v>81</v>
      </c>
      <c r="AK177" s="3" t="s">
        <v>81</v>
      </c>
      <c r="AL177" s="3" t="s">
        <v>81</v>
      </c>
      <c r="AM177" s="3">
        <v>83.915000000000006</v>
      </c>
      <c r="AN177" s="3">
        <v>2</v>
      </c>
      <c r="AO177" s="3">
        <v>38.814</v>
      </c>
      <c r="AP177" s="3">
        <v>9.0120000000000005</v>
      </c>
      <c r="AQ177" s="3">
        <v>29.385999999999999</v>
      </c>
      <c r="AR177" s="3">
        <v>7.3620000000000001</v>
      </c>
      <c r="AS177" s="3">
        <v>15.125</v>
      </c>
      <c r="AT177" s="3" t="s">
        <v>81</v>
      </c>
      <c r="AU177" s="3" t="s">
        <v>81</v>
      </c>
      <c r="AV177" s="3" t="s">
        <v>81</v>
      </c>
      <c r="AW177" s="3" t="s">
        <v>81</v>
      </c>
      <c r="AX177" s="3">
        <v>81.459000000000003</v>
      </c>
      <c r="AY177" s="3">
        <v>2</v>
      </c>
      <c r="AZ177" s="3">
        <v>45.268000000000001</v>
      </c>
      <c r="BA177" s="3">
        <v>6.8090000000000002</v>
      </c>
      <c r="BB177" s="3">
        <v>18.97</v>
      </c>
      <c r="BC177" s="3">
        <v>9.1980000000000004</v>
      </c>
      <c r="BD177" s="3">
        <v>17.021000000000001</v>
      </c>
      <c r="BE177" s="3" t="s">
        <v>81</v>
      </c>
      <c r="BF177" s="3" t="s">
        <v>81</v>
      </c>
      <c r="BG177" s="3" t="s">
        <v>81</v>
      </c>
      <c r="BH177" s="3" t="s">
        <v>81</v>
      </c>
      <c r="BI177" s="3" t="s">
        <v>84</v>
      </c>
      <c r="BJ177" s="3" t="s">
        <v>84</v>
      </c>
      <c r="BK177" s="3" t="s">
        <v>84</v>
      </c>
      <c r="BL177" s="3" t="s">
        <v>84</v>
      </c>
      <c r="BM177" s="3" t="s">
        <v>84</v>
      </c>
      <c r="BN177" s="3" t="s">
        <v>82</v>
      </c>
      <c r="BO177" s="3" t="s">
        <v>82</v>
      </c>
      <c r="BP177" s="3" t="s">
        <v>472</v>
      </c>
      <c r="BQ177" s="3" t="s">
        <v>472</v>
      </c>
      <c r="BR177" s="3" t="s">
        <v>473</v>
      </c>
      <c r="BS177" s="3" t="s">
        <v>473</v>
      </c>
      <c r="BT177" s="3" t="s">
        <v>106</v>
      </c>
      <c r="BU177" s="3" t="s">
        <v>474</v>
      </c>
      <c r="BV177" s="3" t="s">
        <v>84</v>
      </c>
      <c r="BW177" s="3" t="s">
        <v>83</v>
      </c>
      <c r="BX177" s="3" t="s">
        <v>82</v>
      </c>
      <c r="BZ177" s="3" t="s">
        <v>86</v>
      </c>
      <c r="CB177" s="3" t="s">
        <v>84</v>
      </c>
      <c r="CD177" s="9">
        <v>20</v>
      </c>
      <c r="CE177" s="9">
        <v>18</v>
      </c>
      <c r="CF177" s="18"/>
      <c r="CG177" s="18"/>
      <c r="CH177" s="18"/>
      <c r="CI177" s="18"/>
    </row>
    <row r="178" spans="1:87" x14ac:dyDescent="0.15">
      <c r="A178" s="3">
        <v>1847924066</v>
      </c>
      <c r="B178" s="3" t="s">
        <v>475</v>
      </c>
      <c r="C178" s="3" t="s">
        <v>475</v>
      </c>
      <c r="D178" s="3">
        <v>4</v>
      </c>
      <c r="E178" s="3">
        <v>4</v>
      </c>
      <c r="F178" s="3">
        <v>30.576000000000001</v>
      </c>
      <c r="G178" s="3">
        <v>0</v>
      </c>
      <c r="H178" s="3" t="s">
        <v>81</v>
      </c>
      <c r="I178" s="3" t="s">
        <v>81</v>
      </c>
      <c r="J178" s="3" t="s">
        <v>81</v>
      </c>
      <c r="K178" s="3" t="s">
        <v>81</v>
      </c>
      <c r="L178" s="3" t="s">
        <v>81</v>
      </c>
      <c r="M178" s="3" t="s">
        <v>81</v>
      </c>
      <c r="N178" s="3" t="s">
        <v>81</v>
      </c>
      <c r="O178" s="3" t="s">
        <v>81</v>
      </c>
      <c r="P178" s="3" t="s">
        <v>81</v>
      </c>
      <c r="Q178" s="3">
        <v>30.163</v>
      </c>
      <c r="R178" s="3">
        <v>0</v>
      </c>
      <c r="S178" s="3" t="s">
        <v>81</v>
      </c>
      <c r="T178" s="3" t="s">
        <v>81</v>
      </c>
      <c r="U178" s="3" t="s">
        <v>81</v>
      </c>
      <c r="V178" s="3" t="s">
        <v>81</v>
      </c>
      <c r="W178" s="3" t="s">
        <v>81</v>
      </c>
      <c r="X178" s="3" t="s">
        <v>81</v>
      </c>
      <c r="Y178" s="3" t="s">
        <v>81</v>
      </c>
      <c r="Z178" s="3" t="s">
        <v>81</v>
      </c>
      <c r="AA178" s="3" t="s">
        <v>81</v>
      </c>
      <c r="AB178" s="3">
        <v>20.102</v>
      </c>
      <c r="AC178" s="3">
        <v>0</v>
      </c>
      <c r="AD178" s="3" t="s">
        <v>81</v>
      </c>
      <c r="AE178" s="3" t="s">
        <v>81</v>
      </c>
      <c r="AF178" s="3" t="s">
        <v>81</v>
      </c>
      <c r="AG178" s="3" t="s">
        <v>81</v>
      </c>
      <c r="AH178" s="3" t="s">
        <v>81</v>
      </c>
      <c r="AI178" s="3" t="s">
        <v>81</v>
      </c>
      <c r="AJ178" s="3" t="s">
        <v>81</v>
      </c>
      <c r="AK178" s="3" t="s">
        <v>81</v>
      </c>
      <c r="AL178" s="3" t="s">
        <v>81</v>
      </c>
      <c r="AM178" s="3" t="s">
        <v>81</v>
      </c>
      <c r="AN178" s="3" t="s">
        <v>81</v>
      </c>
      <c r="AO178" s="3" t="s">
        <v>81</v>
      </c>
      <c r="AP178" s="3" t="s">
        <v>81</v>
      </c>
      <c r="AQ178" s="3" t="s">
        <v>81</v>
      </c>
      <c r="AR178" s="3" t="s">
        <v>81</v>
      </c>
      <c r="AS178" s="3" t="s">
        <v>81</v>
      </c>
      <c r="AT178" s="3" t="s">
        <v>81</v>
      </c>
      <c r="AU178" s="3" t="s">
        <v>81</v>
      </c>
      <c r="AV178" s="3" t="s">
        <v>81</v>
      </c>
      <c r="AW178" s="3" t="s">
        <v>81</v>
      </c>
      <c r="AX178" s="3" t="s">
        <v>81</v>
      </c>
      <c r="AY178" s="3" t="s">
        <v>81</v>
      </c>
      <c r="AZ178" s="3" t="s">
        <v>81</v>
      </c>
      <c r="BA178" s="3" t="s">
        <v>81</v>
      </c>
      <c r="BB178" s="3" t="s">
        <v>81</v>
      </c>
      <c r="BC178" s="3" t="s">
        <v>81</v>
      </c>
      <c r="BD178" s="3" t="s">
        <v>81</v>
      </c>
      <c r="BE178" s="3" t="s">
        <v>81</v>
      </c>
      <c r="BF178" s="3" t="s">
        <v>81</v>
      </c>
      <c r="BG178" s="3" t="s">
        <v>81</v>
      </c>
      <c r="BH178" s="3" t="s">
        <v>81</v>
      </c>
      <c r="BI178" s="3" t="s">
        <v>82</v>
      </c>
      <c r="BJ178" s="3" t="s">
        <v>82</v>
      </c>
      <c r="BK178" s="3" t="s">
        <v>83</v>
      </c>
      <c r="BL178" s="3" t="s">
        <v>84</v>
      </c>
      <c r="BM178" s="3" t="s">
        <v>84</v>
      </c>
      <c r="BN178" s="3" t="s">
        <v>82</v>
      </c>
      <c r="BO178" s="3" t="s">
        <v>82</v>
      </c>
      <c r="BP178" s="3" t="s">
        <v>369</v>
      </c>
      <c r="BQ178" s="3" t="s">
        <v>369</v>
      </c>
      <c r="BR178" s="3" t="s">
        <v>476</v>
      </c>
      <c r="BS178" s="3" t="s">
        <v>476</v>
      </c>
      <c r="BT178" s="3" t="s">
        <v>85</v>
      </c>
      <c r="BU178" s="3" t="s">
        <v>98</v>
      </c>
      <c r="BV178" s="3" t="s">
        <v>82</v>
      </c>
      <c r="BW178" s="3" t="s">
        <v>111</v>
      </c>
      <c r="BX178" s="3" t="s">
        <v>84</v>
      </c>
      <c r="BY178" s="3"/>
      <c r="BZ178" s="3" t="s">
        <v>93</v>
      </c>
      <c r="CA178" s="3" t="s">
        <v>103</v>
      </c>
      <c r="CB178" s="3" t="s">
        <v>84</v>
      </c>
      <c r="CC178" s="3"/>
      <c r="CD178" s="9">
        <v>4</v>
      </c>
      <c r="CE178" s="9"/>
      <c r="CF178" s="17"/>
      <c r="CG178" s="17"/>
      <c r="CH178" s="17"/>
      <c r="CI178" s="18"/>
    </row>
    <row r="179" spans="1:87" x14ac:dyDescent="0.15">
      <c r="A179" s="3">
        <v>2236117833</v>
      </c>
      <c r="B179" s="3" t="s">
        <v>477</v>
      </c>
      <c r="C179" s="3" t="s">
        <v>477</v>
      </c>
      <c r="D179" s="3" t="s">
        <v>81</v>
      </c>
      <c r="E179" s="3">
        <v>23</v>
      </c>
      <c r="F179" s="3">
        <v>18.702999999999999</v>
      </c>
      <c r="G179" s="3">
        <v>0</v>
      </c>
      <c r="H179" s="3" t="s">
        <v>81</v>
      </c>
      <c r="I179" s="3" t="s">
        <v>81</v>
      </c>
      <c r="J179" s="3" t="s">
        <v>81</v>
      </c>
      <c r="K179" s="3" t="s">
        <v>81</v>
      </c>
      <c r="L179" s="3" t="s">
        <v>81</v>
      </c>
      <c r="M179" s="3" t="s">
        <v>81</v>
      </c>
      <c r="N179" s="3" t="s">
        <v>81</v>
      </c>
      <c r="O179" s="3" t="s">
        <v>81</v>
      </c>
      <c r="P179" s="3" t="s">
        <v>81</v>
      </c>
      <c r="Q179" s="3">
        <v>15.464</v>
      </c>
      <c r="R179" s="3">
        <v>0</v>
      </c>
      <c r="S179" s="3" t="s">
        <v>81</v>
      </c>
      <c r="T179" s="3" t="s">
        <v>81</v>
      </c>
      <c r="U179" s="3" t="s">
        <v>81</v>
      </c>
      <c r="V179" s="3" t="s">
        <v>81</v>
      </c>
      <c r="W179" s="3" t="s">
        <v>81</v>
      </c>
      <c r="X179" s="3" t="s">
        <v>81</v>
      </c>
      <c r="Y179" s="3" t="s">
        <v>81</v>
      </c>
      <c r="Z179" s="3" t="s">
        <v>81</v>
      </c>
      <c r="AA179" s="3" t="s">
        <v>81</v>
      </c>
      <c r="AB179" s="3">
        <v>18.318999999999999</v>
      </c>
      <c r="AC179" s="3">
        <v>0</v>
      </c>
      <c r="AD179" s="3" t="s">
        <v>81</v>
      </c>
      <c r="AE179" s="3" t="s">
        <v>81</v>
      </c>
      <c r="AF179" s="3" t="s">
        <v>81</v>
      </c>
      <c r="AG179" s="3" t="s">
        <v>81</v>
      </c>
      <c r="AH179" s="3" t="s">
        <v>81</v>
      </c>
      <c r="AI179" s="3" t="s">
        <v>81</v>
      </c>
      <c r="AJ179" s="3" t="s">
        <v>81</v>
      </c>
      <c r="AK179" s="3" t="s">
        <v>81</v>
      </c>
      <c r="AL179" s="3" t="s">
        <v>81</v>
      </c>
      <c r="AM179" s="3">
        <v>17.454999999999998</v>
      </c>
      <c r="AN179" s="3">
        <v>0</v>
      </c>
      <c r="AO179" s="3" t="s">
        <v>81</v>
      </c>
      <c r="AP179" s="3" t="s">
        <v>81</v>
      </c>
      <c r="AQ179" s="3" t="s">
        <v>81</v>
      </c>
      <c r="AR179" s="3" t="s">
        <v>81</v>
      </c>
      <c r="AS179" s="3" t="s">
        <v>81</v>
      </c>
      <c r="AT179" s="3" t="s">
        <v>81</v>
      </c>
      <c r="AU179" s="3" t="s">
        <v>81</v>
      </c>
      <c r="AV179" s="3" t="s">
        <v>81</v>
      </c>
      <c r="AW179" s="3" t="s">
        <v>81</v>
      </c>
      <c r="AX179" s="3">
        <v>16.329999999999998</v>
      </c>
      <c r="AY179" s="3">
        <v>0</v>
      </c>
      <c r="AZ179" s="3" t="s">
        <v>81</v>
      </c>
      <c r="BA179" s="3" t="s">
        <v>81</v>
      </c>
      <c r="BB179" s="3" t="s">
        <v>81</v>
      </c>
      <c r="BC179" s="3" t="s">
        <v>81</v>
      </c>
      <c r="BD179" s="3" t="s">
        <v>81</v>
      </c>
      <c r="BE179" s="3" t="s">
        <v>81</v>
      </c>
      <c r="BF179" s="3" t="s">
        <v>81</v>
      </c>
      <c r="BG179" s="3" t="s">
        <v>81</v>
      </c>
      <c r="BH179" s="3" t="s">
        <v>81</v>
      </c>
      <c r="BI179" s="3" t="s">
        <v>82</v>
      </c>
      <c r="BJ179" s="3" t="s">
        <v>84</v>
      </c>
      <c r="BK179" s="3" t="s">
        <v>84</v>
      </c>
      <c r="BL179" s="3" t="s">
        <v>84</v>
      </c>
      <c r="BM179" s="3" t="s">
        <v>84</v>
      </c>
      <c r="BN179" s="3"/>
      <c r="BO179" s="3" t="s">
        <v>82</v>
      </c>
      <c r="BP179" s="3" t="s">
        <v>478</v>
      </c>
      <c r="BQ179" s="3" t="s">
        <v>478</v>
      </c>
      <c r="BR179" s="3" t="s">
        <v>478</v>
      </c>
      <c r="BS179" s="3" t="s">
        <v>478</v>
      </c>
      <c r="BT179" s="3" t="s">
        <v>87</v>
      </c>
      <c r="BU179" s="3" t="s">
        <v>81</v>
      </c>
      <c r="BV179" s="3" t="s">
        <v>84</v>
      </c>
      <c r="BW179" s="3"/>
      <c r="BX179" s="3" t="s">
        <v>82</v>
      </c>
      <c r="BY179" s="8" t="s">
        <v>160</v>
      </c>
      <c r="BZ179" s="3" t="s">
        <v>86</v>
      </c>
      <c r="CB179" s="3" t="s">
        <v>84</v>
      </c>
      <c r="CD179" s="9">
        <v>35</v>
      </c>
      <c r="CE179" s="9"/>
      <c r="CF179" s="18"/>
      <c r="CG179" s="18"/>
      <c r="CH179" s="18"/>
      <c r="CI179" s="18"/>
    </row>
    <row r="180" spans="1:87" x14ac:dyDescent="0.15">
      <c r="A180" s="3">
        <v>1228374622</v>
      </c>
      <c r="B180" s="3" t="s">
        <v>477</v>
      </c>
      <c r="C180" s="3" t="s">
        <v>477</v>
      </c>
      <c r="D180" s="3">
        <v>17</v>
      </c>
      <c r="E180" s="3">
        <v>20</v>
      </c>
      <c r="F180" s="3">
        <v>28.972999999999999</v>
      </c>
      <c r="G180" s="3">
        <v>0</v>
      </c>
      <c r="H180" s="3" t="s">
        <v>81</v>
      </c>
      <c r="I180" s="3" t="s">
        <v>81</v>
      </c>
      <c r="J180" s="3" t="s">
        <v>81</v>
      </c>
      <c r="K180" s="3" t="s">
        <v>81</v>
      </c>
      <c r="L180" s="3" t="s">
        <v>81</v>
      </c>
      <c r="M180" s="3" t="s">
        <v>81</v>
      </c>
      <c r="N180" s="3" t="s">
        <v>81</v>
      </c>
      <c r="O180" s="3" t="s">
        <v>81</v>
      </c>
      <c r="P180" s="3" t="s">
        <v>81</v>
      </c>
      <c r="Q180" s="3">
        <v>27.507000000000001</v>
      </c>
      <c r="R180" s="3">
        <v>0</v>
      </c>
      <c r="S180" s="3" t="s">
        <v>81</v>
      </c>
      <c r="T180" s="3" t="s">
        <v>81</v>
      </c>
      <c r="U180" s="3" t="s">
        <v>81</v>
      </c>
      <c r="V180" s="3" t="s">
        <v>81</v>
      </c>
      <c r="W180" s="3" t="s">
        <v>81</v>
      </c>
      <c r="X180" s="3" t="s">
        <v>81</v>
      </c>
      <c r="Y180" s="3" t="s">
        <v>81</v>
      </c>
      <c r="Z180" s="3" t="s">
        <v>81</v>
      </c>
      <c r="AA180" s="3" t="s">
        <v>81</v>
      </c>
      <c r="AB180" s="3">
        <v>32.4</v>
      </c>
      <c r="AC180" s="3">
        <v>0</v>
      </c>
      <c r="AD180" s="3" t="s">
        <v>81</v>
      </c>
      <c r="AE180" s="3" t="s">
        <v>81</v>
      </c>
      <c r="AF180" s="3" t="s">
        <v>81</v>
      </c>
      <c r="AG180" s="3" t="s">
        <v>81</v>
      </c>
      <c r="AH180" s="3" t="s">
        <v>81</v>
      </c>
      <c r="AI180" s="3" t="s">
        <v>81</v>
      </c>
      <c r="AJ180" s="3" t="s">
        <v>81</v>
      </c>
      <c r="AK180" s="3" t="s">
        <v>81</v>
      </c>
      <c r="AL180" s="3" t="s">
        <v>81</v>
      </c>
      <c r="AM180" s="3">
        <v>32.284999999999997</v>
      </c>
      <c r="AN180" s="3">
        <v>0</v>
      </c>
      <c r="AO180" s="3" t="s">
        <v>81</v>
      </c>
      <c r="AP180" s="3" t="s">
        <v>81</v>
      </c>
      <c r="AQ180" s="3" t="s">
        <v>81</v>
      </c>
      <c r="AR180" s="3" t="s">
        <v>81</v>
      </c>
      <c r="AS180" s="3" t="s">
        <v>81</v>
      </c>
      <c r="AT180" s="3" t="s">
        <v>81</v>
      </c>
      <c r="AU180" s="3" t="s">
        <v>81</v>
      </c>
      <c r="AV180" s="3" t="s">
        <v>81</v>
      </c>
      <c r="AW180" s="3" t="s">
        <v>81</v>
      </c>
      <c r="AX180" s="3">
        <v>31.821999999999999</v>
      </c>
      <c r="AY180" s="3">
        <v>0</v>
      </c>
      <c r="AZ180" s="3" t="s">
        <v>81</v>
      </c>
      <c r="BA180" s="3" t="s">
        <v>81</v>
      </c>
      <c r="BB180" s="3" t="s">
        <v>81</v>
      </c>
      <c r="BC180" s="3" t="s">
        <v>81</v>
      </c>
      <c r="BD180" s="3" t="s">
        <v>81</v>
      </c>
      <c r="BE180" s="3" t="s">
        <v>81</v>
      </c>
      <c r="BF180" s="3" t="s">
        <v>81</v>
      </c>
      <c r="BG180" s="3" t="s">
        <v>81</v>
      </c>
      <c r="BH180" s="3" t="s">
        <v>81</v>
      </c>
      <c r="BI180" s="3" t="s">
        <v>82</v>
      </c>
      <c r="BJ180" s="3" t="s">
        <v>82</v>
      </c>
      <c r="BK180" s="3" t="s">
        <v>83</v>
      </c>
      <c r="BL180" s="3" t="s">
        <v>84</v>
      </c>
      <c r="BM180" s="3" t="s">
        <v>84</v>
      </c>
      <c r="BN180" s="3" t="s">
        <v>84</v>
      </c>
      <c r="BO180" s="3" t="s">
        <v>84</v>
      </c>
      <c r="BP180" s="3" t="s">
        <v>87</v>
      </c>
      <c r="BQ180" s="3" t="s">
        <v>87</v>
      </c>
      <c r="BR180" s="3" t="s">
        <v>87</v>
      </c>
      <c r="BS180" s="3" t="s">
        <v>87</v>
      </c>
      <c r="BT180" s="3" t="s">
        <v>87</v>
      </c>
      <c r="BU180" s="3" t="s">
        <v>81</v>
      </c>
      <c r="BV180" s="3" t="s">
        <v>82</v>
      </c>
      <c r="BW180" s="3" t="s">
        <v>111</v>
      </c>
      <c r="BX180" s="3" t="s">
        <v>82</v>
      </c>
      <c r="BY180" s="3" t="s">
        <v>468</v>
      </c>
      <c r="BZ180" s="3" t="s">
        <v>93</v>
      </c>
      <c r="CB180" s="3" t="s">
        <v>84</v>
      </c>
      <c r="CD180" s="9">
        <v>20</v>
      </c>
      <c r="CE180" s="9"/>
      <c r="CF180" s="18"/>
      <c r="CG180" s="18"/>
      <c r="CH180" s="18"/>
      <c r="CI180" s="18"/>
    </row>
    <row r="181" spans="1:87" x14ac:dyDescent="0.15">
      <c r="A181" s="3">
        <v>1228446902</v>
      </c>
      <c r="B181" s="3" t="s">
        <v>477</v>
      </c>
      <c r="C181" s="3" t="s">
        <v>477</v>
      </c>
      <c r="D181" s="3">
        <v>4</v>
      </c>
      <c r="E181" s="3">
        <v>4</v>
      </c>
      <c r="F181" s="3">
        <v>32.767000000000003</v>
      </c>
      <c r="G181" s="3">
        <v>0</v>
      </c>
      <c r="H181" s="3" t="s">
        <v>81</v>
      </c>
      <c r="I181" s="3" t="s">
        <v>81</v>
      </c>
      <c r="J181" s="3" t="s">
        <v>81</v>
      </c>
      <c r="K181" s="3" t="s">
        <v>81</v>
      </c>
      <c r="L181" s="3" t="s">
        <v>81</v>
      </c>
      <c r="M181" s="3" t="s">
        <v>81</v>
      </c>
      <c r="N181" s="3" t="s">
        <v>81</v>
      </c>
      <c r="O181" s="3" t="s">
        <v>81</v>
      </c>
      <c r="P181" s="3" t="s">
        <v>81</v>
      </c>
      <c r="Q181" s="3">
        <v>30.93</v>
      </c>
      <c r="R181" s="3">
        <v>0</v>
      </c>
      <c r="S181" s="3" t="s">
        <v>81</v>
      </c>
      <c r="T181" s="3" t="s">
        <v>81</v>
      </c>
      <c r="U181" s="3" t="s">
        <v>81</v>
      </c>
      <c r="V181" s="3" t="s">
        <v>81</v>
      </c>
      <c r="W181" s="3" t="s">
        <v>81</v>
      </c>
      <c r="X181" s="3" t="s">
        <v>81</v>
      </c>
      <c r="Y181" s="3" t="s">
        <v>81</v>
      </c>
      <c r="Z181" s="3" t="s">
        <v>81</v>
      </c>
      <c r="AA181" s="3" t="s">
        <v>81</v>
      </c>
      <c r="AB181" s="3">
        <v>28.108000000000001</v>
      </c>
      <c r="AC181" s="3">
        <v>0</v>
      </c>
      <c r="AD181" s="3" t="s">
        <v>81</v>
      </c>
      <c r="AE181" s="3" t="s">
        <v>81</v>
      </c>
      <c r="AF181" s="3" t="s">
        <v>81</v>
      </c>
      <c r="AG181" s="3" t="s">
        <v>81</v>
      </c>
      <c r="AH181" s="3" t="s">
        <v>81</v>
      </c>
      <c r="AI181" s="3" t="s">
        <v>81</v>
      </c>
      <c r="AJ181" s="3" t="s">
        <v>81</v>
      </c>
      <c r="AK181" s="3" t="s">
        <v>81</v>
      </c>
      <c r="AL181" s="3" t="s">
        <v>81</v>
      </c>
      <c r="AM181" s="3">
        <v>24.318999999999999</v>
      </c>
      <c r="AN181" s="3">
        <v>0</v>
      </c>
      <c r="AO181" s="3" t="s">
        <v>81</v>
      </c>
      <c r="AP181" s="3" t="s">
        <v>81</v>
      </c>
      <c r="AQ181" s="3" t="s">
        <v>81</v>
      </c>
      <c r="AR181" s="3" t="s">
        <v>81</v>
      </c>
      <c r="AS181" s="3" t="s">
        <v>81</v>
      </c>
      <c r="AT181" s="3" t="s">
        <v>81</v>
      </c>
      <c r="AU181" s="3" t="s">
        <v>81</v>
      </c>
      <c r="AV181" s="3" t="s">
        <v>81</v>
      </c>
      <c r="AW181" s="3" t="s">
        <v>81</v>
      </c>
      <c r="AX181" s="3" t="s">
        <v>81</v>
      </c>
      <c r="AY181" s="3" t="s">
        <v>81</v>
      </c>
      <c r="AZ181" s="3" t="s">
        <v>81</v>
      </c>
      <c r="BA181" s="3" t="s">
        <v>81</v>
      </c>
      <c r="BB181" s="3" t="s">
        <v>81</v>
      </c>
      <c r="BC181" s="3" t="s">
        <v>81</v>
      </c>
      <c r="BD181" s="3" t="s">
        <v>81</v>
      </c>
      <c r="BE181" s="3" t="s">
        <v>81</v>
      </c>
      <c r="BF181" s="3" t="s">
        <v>81</v>
      </c>
      <c r="BG181" s="3" t="s">
        <v>81</v>
      </c>
      <c r="BH181" s="3" t="s">
        <v>81</v>
      </c>
      <c r="BI181" s="3" t="s">
        <v>84</v>
      </c>
      <c r="BJ181" s="3" t="s">
        <v>84</v>
      </c>
      <c r="BK181" s="3" t="s">
        <v>84</v>
      </c>
      <c r="BL181" s="3" t="s">
        <v>82</v>
      </c>
      <c r="BM181" s="3" t="s">
        <v>83</v>
      </c>
      <c r="BN181" s="3" t="s">
        <v>84</v>
      </c>
      <c r="BO181" s="3" t="s">
        <v>83</v>
      </c>
      <c r="BP181" s="3" t="s">
        <v>81</v>
      </c>
      <c r="BQ181" s="3" t="s">
        <v>81</v>
      </c>
      <c r="BR181" s="3" t="s">
        <v>81</v>
      </c>
      <c r="BS181" s="3" t="s">
        <v>81</v>
      </c>
      <c r="BT181" s="3" t="s">
        <v>81</v>
      </c>
      <c r="BU181" s="3" t="s">
        <v>81</v>
      </c>
      <c r="BV181" s="3" t="s">
        <v>83</v>
      </c>
      <c r="BW181" s="3" t="s">
        <v>83</v>
      </c>
      <c r="BX181" s="3" t="s">
        <v>83</v>
      </c>
      <c r="BY181" s="3" t="s">
        <v>479</v>
      </c>
      <c r="BZ181" s="3" t="s">
        <v>93</v>
      </c>
      <c r="CB181" s="3" t="s">
        <v>84</v>
      </c>
      <c r="CD181" s="9">
        <v>4</v>
      </c>
      <c r="CE181" s="9"/>
      <c r="CF181" s="18"/>
      <c r="CG181" s="18"/>
      <c r="CH181" s="18"/>
      <c r="CI181" s="18"/>
    </row>
    <row r="182" spans="1:87" x14ac:dyDescent="0.15">
      <c r="A182" s="3">
        <v>1228545309</v>
      </c>
      <c r="B182" s="3" t="s">
        <v>477</v>
      </c>
      <c r="C182" s="3" t="s">
        <v>477</v>
      </c>
      <c r="D182" s="3">
        <v>11</v>
      </c>
      <c r="E182" s="3">
        <v>11</v>
      </c>
      <c r="F182" s="3">
        <v>22.164999999999999</v>
      </c>
      <c r="G182" s="3">
        <v>0</v>
      </c>
      <c r="H182" s="3" t="s">
        <v>81</v>
      </c>
      <c r="I182" s="3" t="s">
        <v>81</v>
      </c>
      <c r="J182" s="3" t="s">
        <v>81</v>
      </c>
      <c r="K182" s="3" t="s">
        <v>81</v>
      </c>
      <c r="L182" s="3" t="s">
        <v>81</v>
      </c>
      <c r="M182" s="3" t="s">
        <v>81</v>
      </c>
      <c r="N182" s="3" t="s">
        <v>81</v>
      </c>
      <c r="O182" s="3" t="s">
        <v>81</v>
      </c>
      <c r="P182" s="3" t="s">
        <v>81</v>
      </c>
      <c r="Q182" s="3">
        <v>20.974</v>
      </c>
      <c r="R182" s="3">
        <v>0</v>
      </c>
      <c r="S182" s="3" t="s">
        <v>81</v>
      </c>
      <c r="T182" s="3" t="s">
        <v>81</v>
      </c>
      <c r="U182" s="3" t="s">
        <v>81</v>
      </c>
      <c r="V182" s="3" t="s">
        <v>81</v>
      </c>
      <c r="W182" s="3" t="s">
        <v>81</v>
      </c>
      <c r="X182" s="3" t="s">
        <v>81</v>
      </c>
      <c r="Y182" s="3" t="s">
        <v>81</v>
      </c>
      <c r="Z182" s="3" t="s">
        <v>81</v>
      </c>
      <c r="AA182" s="3" t="s">
        <v>81</v>
      </c>
      <c r="AB182" s="3">
        <v>20.785</v>
      </c>
      <c r="AC182" s="3">
        <v>0</v>
      </c>
      <c r="AD182" s="3" t="s">
        <v>81</v>
      </c>
      <c r="AE182" s="3" t="s">
        <v>81</v>
      </c>
      <c r="AF182" s="3" t="s">
        <v>81</v>
      </c>
      <c r="AG182" s="3" t="s">
        <v>81</v>
      </c>
      <c r="AH182" s="3" t="s">
        <v>81</v>
      </c>
      <c r="AI182" s="3" t="s">
        <v>81</v>
      </c>
      <c r="AJ182" s="3" t="s">
        <v>81</v>
      </c>
      <c r="AK182" s="3" t="s">
        <v>81</v>
      </c>
      <c r="AL182" s="3" t="s">
        <v>81</v>
      </c>
      <c r="AM182" s="3">
        <v>21.585999999999999</v>
      </c>
      <c r="AN182" s="3">
        <v>0</v>
      </c>
      <c r="AO182" s="3" t="s">
        <v>81</v>
      </c>
      <c r="AP182" s="3" t="s">
        <v>81</v>
      </c>
      <c r="AQ182" s="3" t="s">
        <v>81</v>
      </c>
      <c r="AR182" s="3" t="s">
        <v>81</v>
      </c>
      <c r="AS182" s="3" t="s">
        <v>81</v>
      </c>
      <c r="AT182" s="3" t="s">
        <v>81</v>
      </c>
      <c r="AU182" s="3" t="s">
        <v>81</v>
      </c>
      <c r="AV182" s="3" t="s">
        <v>81</v>
      </c>
      <c r="AW182" s="3" t="s">
        <v>81</v>
      </c>
      <c r="AX182" s="3">
        <v>21.466999999999999</v>
      </c>
      <c r="AY182" s="3">
        <v>0</v>
      </c>
      <c r="AZ182" s="3" t="s">
        <v>81</v>
      </c>
      <c r="BA182" s="3" t="s">
        <v>81</v>
      </c>
      <c r="BB182" s="3" t="s">
        <v>81</v>
      </c>
      <c r="BC182" s="3" t="s">
        <v>81</v>
      </c>
      <c r="BD182" s="3" t="s">
        <v>81</v>
      </c>
      <c r="BE182" s="3" t="s">
        <v>81</v>
      </c>
      <c r="BF182" s="3" t="s">
        <v>81</v>
      </c>
      <c r="BG182" s="3" t="s">
        <v>81</v>
      </c>
      <c r="BH182" s="3" t="s">
        <v>81</v>
      </c>
      <c r="BI182" s="3" t="s">
        <v>84</v>
      </c>
      <c r="BJ182" s="3" t="s">
        <v>82</v>
      </c>
      <c r="BK182" s="3" t="s">
        <v>83</v>
      </c>
      <c r="BL182" s="3" t="s">
        <v>84</v>
      </c>
      <c r="BM182" s="3" t="s">
        <v>84</v>
      </c>
      <c r="BN182" s="3" t="s">
        <v>84</v>
      </c>
      <c r="BO182" s="3" t="s">
        <v>82</v>
      </c>
      <c r="BP182" s="3" t="s">
        <v>87</v>
      </c>
      <c r="BQ182" s="3" t="s">
        <v>87</v>
      </c>
      <c r="BR182" s="3" t="s">
        <v>87</v>
      </c>
      <c r="BS182" s="3" t="s">
        <v>87</v>
      </c>
      <c r="BT182" s="3" t="s">
        <v>87</v>
      </c>
      <c r="BU182" s="3" t="s">
        <v>81</v>
      </c>
      <c r="BV182" s="3" t="s">
        <v>84</v>
      </c>
      <c r="BW182" s="3" t="s">
        <v>83</v>
      </c>
      <c r="BX182" s="3" t="s">
        <v>82</v>
      </c>
      <c r="BZ182" s="3" t="s">
        <v>93</v>
      </c>
      <c r="CB182" s="3" t="s">
        <v>84</v>
      </c>
      <c r="CD182" s="9">
        <v>11</v>
      </c>
      <c r="CE182" s="9">
        <v>10</v>
      </c>
      <c r="CF182" s="18"/>
      <c r="CG182" s="18"/>
      <c r="CH182" s="18"/>
      <c r="CI182" s="18"/>
    </row>
    <row r="183" spans="1:87" x14ac:dyDescent="0.15">
      <c r="A183" s="3">
        <v>1228605909</v>
      </c>
      <c r="B183" s="3" t="s">
        <v>477</v>
      </c>
      <c r="C183" s="3" t="s">
        <v>477</v>
      </c>
      <c r="D183" s="3">
        <v>16</v>
      </c>
      <c r="E183" s="3">
        <v>21</v>
      </c>
      <c r="F183" s="3">
        <v>30.568000000000001</v>
      </c>
      <c r="G183" s="3">
        <v>0</v>
      </c>
      <c r="H183" s="3" t="s">
        <v>81</v>
      </c>
      <c r="I183" s="3" t="s">
        <v>81</v>
      </c>
      <c r="J183" s="3" t="s">
        <v>81</v>
      </c>
      <c r="K183" s="3" t="s">
        <v>81</v>
      </c>
      <c r="L183" s="3" t="s">
        <v>81</v>
      </c>
      <c r="M183" s="3" t="s">
        <v>81</v>
      </c>
      <c r="N183" s="3" t="s">
        <v>81</v>
      </c>
      <c r="O183" s="3" t="s">
        <v>81</v>
      </c>
      <c r="P183" s="3" t="s">
        <v>81</v>
      </c>
      <c r="Q183" s="3">
        <v>32.445</v>
      </c>
      <c r="R183" s="3">
        <v>0</v>
      </c>
      <c r="S183" s="3" t="s">
        <v>81</v>
      </c>
      <c r="T183" s="3" t="s">
        <v>81</v>
      </c>
      <c r="U183" s="3" t="s">
        <v>81</v>
      </c>
      <c r="V183" s="3" t="s">
        <v>81</v>
      </c>
      <c r="W183" s="3" t="s">
        <v>81</v>
      </c>
      <c r="X183" s="3" t="s">
        <v>81</v>
      </c>
      <c r="Y183" s="3" t="s">
        <v>81</v>
      </c>
      <c r="Z183" s="3" t="s">
        <v>81</v>
      </c>
      <c r="AA183" s="3" t="s">
        <v>81</v>
      </c>
      <c r="AB183" s="3">
        <v>36.012</v>
      </c>
      <c r="AC183" s="3">
        <v>0</v>
      </c>
      <c r="AD183" s="3" t="s">
        <v>81</v>
      </c>
      <c r="AE183" s="3" t="s">
        <v>81</v>
      </c>
      <c r="AF183" s="3" t="s">
        <v>81</v>
      </c>
      <c r="AG183" s="3" t="s">
        <v>81</v>
      </c>
      <c r="AH183" s="3" t="s">
        <v>81</v>
      </c>
      <c r="AI183" s="3" t="s">
        <v>81</v>
      </c>
      <c r="AJ183" s="3" t="s">
        <v>81</v>
      </c>
      <c r="AK183" s="3" t="s">
        <v>81</v>
      </c>
      <c r="AL183" s="3" t="s">
        <v>81</v>
      </c>
      <c r="AM183" s="3">
        <v>31.303000000000001</v>
      </c>
      <c r="AN183" s="3">
        <v>0</v>
      </c>
      <c r="AO183" s="3" t="s">
        <v>81</v>
      </c>
      <c r="AP183" s="3" t="s">
        <v>81</v>
      </c>
      <c r="AQ183" s="3" t="s">
        <v>81</v>
      </c>
      <c r="AR183" s="3" t="s">
        <v>81</v>
      </c>
      <c r="AS183" s="3" t="s">
        <v>81</v>
      </c>
      <c r="AT183" s="3" t="s">
        <v>81</v>
      </c>
      <c r="AU183" s="3" t="s">
        <v>81</v>
      </c>
      <c r="AV183" s="3" t="s">
        <v>81</v>
      </c>
      <c r="AW183" s="3" t="s">
        <v>81</v>
      </c>
      <c r="AX183" s="3">
        <v>31.69</v>
      </c>
      <c r="AY183" s="3">
        <v>0</v>
      </c>
      <c r="AZ183" s="3" t="s">
        <v>81</v>
      </c>
      <c r="BA183" s="3" t="s">
        <v>81</v>
      </c>
      <c r="BB183" s="3" t="s">
        <v>81</v>
      </c>
      <c r="BC183" s="3" t="s">
        <v>81</v>
      </c>
      <c r="BD183" s="3" t="s">
        <v>81</v>
      </c>
      <c r="BE183" s="3" t="s">
        <v>81</v>
      </c>
      <c r="BF183" s="3" t="s">
        <v>81</v>
      </c>
      <c r="BG183" s="3" t="s">
        <v>81</v>
      </c>
      <c r="BH183" s="3" t="s">
        <v>81</v>
      </c>
      <c r="BI183" s="3" t="s">
        <v>84</v>
      </c>
      <c r="BJ183" s="3" t="s">
        <v>82</v>
      </c>
      <c r="BK183" s="3" t="s">
        <v>83</v>
      </c>
      <c r="BL183" s="3" t="s">
        <v>84</v>
      </c>
      <c r="BM183" s="3" t="s">
        <v>84</v>
      </c>
      <c r="BN183" s="3" t="s">
        <v>84</v>
      </c>
      <c r="BO183" s="3" t="s">
        <v>84</v>
      </c>
      <c r="BP183" s="3" t="s">
        <v>85</v>
      </c>
      <c r="BQ183" s="3" t="s">
        <v>85</v>
      </c>
      <c r="BR183" s="3" t="s">
        <v>85</v>
      </c>
      <c r="BS183" s="3" t="s">
        <v>480</v>
      </c>
      <c r="BT183" s="3" t="s">
        <v>85</v>
      </c>
      <c r="BU183" s="3" t="s">
        <v>81</v>
      </c>
      <c r="BV183" s="3" t="s">
        <v>84</v>
      </c>
      <c r="BW183" s="3" t="s">
        <v>83</v>
      </c>
      <c r="BX183" s="3" t="s">
        <v>82</v>
      </c>
      <c r="BZ183" s="3" t="s">
        <v>93</v>
      </c>
      <c r="CB183" s="3" t="s">
        <v>84</v>
      </c>
      <c r="CD183" s="9">
        <v>20</v>
      </c>
      <c r="CE183" s="9"/>
      <c r="CF183" s="18"/>
      <c r="CG183" s="18"/>
      <c r="CH183" s="18"/>
      <c r="CI183" s="18"/>
    </row>
    <row r="184" spans="1:87" x14ac:dyDescent="0.15">
      <c r="A184" s="3">
        <v>1847922301</v>
      </c>
      <c r="B184" s="3" t="s">
        <v>402</v>
      </c>
      <c r="C184" s="3" t="s">
        <v>477</v>
      </c>
      <c r="D184" s="3">
        <v>18</v>
      </c>
      <c r="E184" s="3">
        <v>19</v>
      </c>
      <c r="F184" s="3">
        <v>11.561999999999999</v>
      </c>
      <c r="G184" s="3">
        <v>0</v>
      </c>
      <c r="H184" s="3" t="s">
        <v>81</v>
      </c>
      <c r="I184" s="3" t="s">
        <v>81</v>
      </c>
      <c r="J184" s="3" t="s">
        <v>81</v>
      </c>
      <c r="K184" s="3" t="s">
        <v>81</v>
      </c>
      <c r="L184" s="3" t="s">
        <v>81</v>
      </c>
      <c r="M184" s="3" t="s">
        <v>81</v>
      </c>
      <c r="N184" s="3" t="s">
        <v>81</v>
      </c>
      <c r="O184" s="3" t="s">
        <v>81</v>
      </c>
      <c r="P184" s="3" t="s">
        <v>81</v>
      </c>
      <c r="Q184" s="3">
        <v>15.224</v>
      </c>
      <c r="R184" s="3">
        <v>0</v>
      </c>
      <c r="S184" s="3" t="s">
        <v>81</v>
      </c>
      <c r="T184" s="3" t="s">
        <v>81</v>
      </c>
      <c r="U184" s="3" t="s">
        <v>81</v>
      </c>
      <c r="V184" s="3" t="s">
        <v>81</v>
      </c>
      <c r="W184" s="3" t="s">
        <v>81</v>
      </c>
      <c r="X184" s="3" t="s">
        <v>81</v>
      </c>
      <c r="Y184" s="3" t="s">
        <v>81</v>
      </c>
      <c r="Z184" s="3" t="s">
        <v>81</v>
      </c>
      <c r="AA184" s="3" t="s">
        <v>81</v>
      </c>
      <c r="AB184" s="3">
        <v>10.066000000000001</v>
      </c>
      <c r="AC184" s="3">
        <v>0</v>
      </c>
      <c r="AD184" s="3" t="s">
        <v>81</v>
      </c>
      <c r="AE184" s="3" t="s">
        <v>81</v>
      </c>
      <c r="AF184" s="3" t="s">
        <v>81</v>
      </c>
      <c r="AG184" s="3" t="s">
        <v>81</v>
      </c>
      <c r="AH184" s="3" t="s">
        <v>81</v>
      </c>
      <c r="AI184" s="3" t="s">
        <v>81</v>
      </c>
      <c r="AJ184" s="3" t="s">
        <v>81</v>
      </c>
      <c r="AK184" s="3" t="s">
        <v>81</v>
      </c>
      <c r="AL184" s="3" t="s">
        <v>81</v>
      </c>
      <c r="AM184" s="3">
        <v>13.773</v>
      </c>
      <c r="AN184" s="3">
        <v>0</v>
      </c>
      <c r="AO184" s="3" t="s">
        <v>81</v>
      </c>
      <c r="AP184" s="3" t="s">
        <v>81</v>
      </c>
      <c r="AQ184" s="3" t="s">
        <v>81</v>
      </c>
      <c r="AR184" s="3" t="s">
        <v>81</v>
      </c>
      <c r="AS184" s="3" t="s">
        <v>81</v>
      </c>
      <c r="AT184" s="3" t="s">
        <v>81</v>
      </c>
      <c r="AU184" s="3" t="s">
        <v>81</v>
      </c>
      <c r="AV184" s="3" t="s">
        <v>81</v>
      </c>
      <c r="AW184" s="3" t="s">
        <v>81</v>
      </c>
      <c r="AX184" s="3">
        <v>12.478</v>
      </c>
      <c r="AY184" s="3">
        <v>0</v>
      </c>
      <c r="AZ184" s="3" t="s">
        <v>81</v>
      </c>
      <c r="BA184" s="3" t="s">
        <v>81</v>
      </c>
      <c r="BB184" s="3" t="s">
        <v>81</v>
      </c>
      <c r="BC184" s="3" t="s">
        <v>81</v>
      </c>
      <c r="BD184" s="3" t="s">
        <v>81</v>
      </c>
      <c r="BE184" s="3" t="s">
        <v>81</v>
      </c>
      <c r="BF184" s="3" t="s">
        <v>81</v>
      </c>
      <c r="BG184" s="3" t="s">
        <v>81</v>
      </c>
      <c r="BH184" s="3" t="s">
        <v>81</v>
      </c>
      <c r="BI184" s="3" t="s">
        <v>84</v>
      </c>
      <c r="BJ184" s="3" t="s">
        <v>82</v>
      </c>
      <c r="BK184" s="3" t="s">
        <v>83</v>
      </c>
      <c r="BL184" s="3" t="s">
        <v>84</v>
      </c>
      <c r="BM184" s="3" t="s">
        <v>84</v>
      </c>
      <c r="BN184" s="3" t="s">
        <v>84</v>
      </c>
      <c r="BO184" s="3" t="s">
        <v>82</v>
      </c>
      <c r="BP184" s="3" t="s">
        <v>403</v>
      </c>
      <c r="BQ184" s="3" t="s">
        <v>403</v>
      </c>
      <c r="BR184" s="3" t="s">
        <v>404</v>
      </c>
      <c r="BS184" s="3" t="s">
        <v>405</v>
      </c>
      <c r="BT184" s="3" t="s">
        <v>87</v>
      </c>
      <c r="BU184" s="3" t="s">
        <v>85</v>
      </c>
      <c r="BV184" s="3" t="s">
        <v>84</v>
      </c>
      <c r="BW184" s="3" t="s">
        <v>83</v>
      </c>
      <c r="BX184" s="3" t="s">
        <v>82</v>
      </c>
      <c r="BZ184" s="3" t="s">
        <v>93</v>
      </c>
      <c r="CB184" s="3" t="s">
        <v>84</v>
      </c>
      <c r="CD184" s="9">
        <v>21</v>
      </c>
      <c r="CE184" s="9">
        <v>20</v>
      </c>
      <c r="CF184" s="19"/>
      <c r="CG184" s="18"/>
      <c r="CH184" s="18"/>
      <c r="CI184" s="18"/>
    </row>
    <row r="185" spans="1:87" ht="15.75" customHeight="1" x14ac:dyDescent="0.15">
      <c r="A185" s="9" t="s">
        <v>554</v>
      </c>
      <c r="B185" s="9" t="s">
        <v>562</v>
      </c>
      <c r="C185" s="9" t="s">
        <v>562</v>
      </c>
      <c r="E185">
        <v>3</v>
      </c>
      <c r="F185">
        <v>10.220000000000001</v>
      </c>
      <c r="G185" s="3">
        <v>0</v>
      </c>
      <c r="H185" s="3" t="s">
        <v>81</v>
      </c>
      <c r="I185" s="3" t="s">
        <v>81</v>
      </c>
      <c r="J185" s="3" t="s">
        <v>81</v>
      </c>
      <c r="K185" s="3" t="s">
        <v>81</v>
      </c>
      <c r="L185" s="3" t="s">
        <v>81</v>
      </c>
      <c r="M185" s="3" t="s">
        <v>81</v>
      </c>
      <c r="N185" s="3" t="s">
        <v>81</v>
      </c>
      <c r="O185" s="3" t="s">
        <v>81</v>
      </c>
      <c r="P185" s="3" t="s">
        <v>81</v>
      </c>
      <c r="Q185">
        <v>13.18</v>
      </c>
      <c r="R185" s="3">
        <v>0</v>
      </c>
      <c r="S185" s="3" t="s">
        <v>81</v>
      </c>
      <c r="T185" s="3" t="s">
        <v>81</v>
      </c>
      <c r="U185" s="3" t="s">
        <v>81</v>
      </c>
      <c r="V185" s="3" t="s">
        <v>81</v>
      </c>
      <c r="W185" s="3" t="s">
        <v>81</v>
      </c>
      <c r="X185" s="3" t="s">
        <v>81</v>
      </c>
      <c r="Y185" s="3" t="s">
        <v>81</v>
      </c>
      <c r="Z185" s="3" t="s">
        <v>81</v>
      </c>
      <c r="AA185" s="3" t="s">
        <v>81</v>
      </c>
      <c r="AB185">
        <v>14.72</v>
      </c>
      <c r="AC185" s="3" t="s">
        <v>81</v>
      </c>
      <c r="AD185" s="3" t="s">
        <v>81</v>
      </c>
      <c r="AE185" s="3" t="s">
        <v>81</v>
      </c>
      <c r="AF185" s="3" t="s">
        <v>81</v>
      </c>
      <c r="AG185" s="3" t="s">
        <v>81</v>
      </c>
      <c r="AH185" s="3" t="s">
        <v>81</v>
      </c>
      <c r="AI185" s="3" t="s">
        <v>81</v>
      </c>
      <c r="AJ185" s="3" t="s">
        <v>81</v>
      </c>
      <c r="AK185" s="3" t="s">
        <v>81</v>
      </c>
      <c r="AL185" s="3" t="s">
        <v>81</v>
      </c>
      <c r="AM185" s="3" t="s">
        <v>81</v>
      </c>
      <c r="AN185" s="3" t="s">
        <v>81</v>
      </c>
      <c r="AO185" s="3" t="s">
        <v>81</v>
      </c>
      <c r="AP185" s="3" t="s">
        <v>81</v>
      </c>
      <c r="AQ185" s="3" t="s">
        <v>81</v>
      </c>
      <c r="AR185" s="3" t="s">
        <v>81</v>
      </c>
      <c r="AS185" s="3" t="s">
        <v>81</v>
      </c>
      <c r="AT185" s="3" t="s">
        <v>81</v>
      </c>
      <c r="AU185" s="3" t="s">
        <v>81</v>
      </c>
      <c r="AV185" s="3" t="s">
        <v>81</v>
      </c>
      <c r="AW185" s="3" t="s">
        <v>81</v>
      </c>
      <c r="AX185" s="3" t="s">
        <v>81</v>
      </c>
      <c r="AY185" s="3" t="s">
        <v>81</v>
      </c>
      <c r="AZ185" s="3" t="s">
        <v>81</v>
      </c>
      <c r="BA185" s="3" t="s">
        <v>81</v>
      </c>
      <c r="BB185" s="3" t="s">
        <v>81</v>
      </c>
      <c r="BC185" s="3" t="s">
        <v>81</v>
      </c>
      <c r="BD185" s="3" t="s">
        <v>81</v>
      </c>
      <c r="BE185" s="3" t="s">
        <v>81</v>
      </c>
      <c r="BF185" s="3" t="s">
        <v>81</v>
      </c>
      <c r="BG185" s="3" t="s">
        <v>81</v>
      </c>
      <c r="BH185" s="3" t="s">
        <v>81</v>
      </c>
      <c r="BI185" s="3" t="s">
        <v>84</v>
      </c>
      <c r="BJ185" s="3" t="s">
        <v>82</v>
      </c>
      <c r="BK185" s="3" t="s">
        <v>82</v>
      </c>
      <c r="BL185" s="3" t="s">
        <v>84</v>
      </c>
      <c r="BM185" s="3" t="s">
        <v>84</v>
      </c>
      <c r="BN185" s="3" t="s">
        <v>84</v>
      </c>
      <c r="BO185" s="3" t="s">
        <v>84</v>
      </c>
      <c r="BV185" s="3"/>
      <c r="BW185" s="3"/>
      <c r="BX185" s="3"/>
      <c r="BZ185" s="9" t="s">
        <v>93</v>
      </c>
      <c r="CB185" s="9" t="s">
        <v>84</v>
      </c>
      <c r="CD185">
        <v>3</v>
      </c>
      <c r="CF185" s="18"/>
      <c r="CG185" s="18">
        <v>3</v>
      </c>
      <c r="CH185" s="18"/>
      <c r="CI185" s="18"/>
    </row>
    <row r="186" spans="1:87" ht="15.75" customHeight="1" x14ac:dyDescent="0.15">
      <c r="A186" s="9" t="s">
        <v>555</v>
      </c>
      <c r="B186" s="9" t="s">
        <v>562</v>
      </c>
      <c r="C186" s="9" t="s">
        <v>562</v>
      </c>
      <c r="D186">
        <v>1</v>
      </c>
      <c r="E186">
        <v>2</v>
      </c>
      <c r="F186">
        <v>13.82</v>
      </c>
      <c r="G186" s="3">
        <v>0</v>
      </c>
      <c r="H186" s="3" t="s">
        <v>81</v>
      </c>
      <c r="I186" s="3" t="s">
        <v>81</v>
      </c>
      <c r="J186" s="3" t="s">
        <v>81</v>
      </c>
      <c r="K186" s="3" t="s">
        <v>81</v>
      </c>
      <c r="L186" s="3" t="s">
        <v>81</v>
      </c>
      <c r="M186" s="3" t="s">
        <v>81</v>
      </c>
      <c r="N186" s="3" t="s">
        <v>81</v>
      </c>
      <c r="O186" s="3" t="s">
        <v>81</v>
      </c>
      <c r="P186" s="3" t="s">
        <v>81</v>
      </c>
      <c r="Q186">
        <v>12.54</v>
      </c>
      <c r="R186" s="3">
        <v>0</v>
      </c>
      <c r="S186" s="3" t="s">
        <v>81</v>
      </c>
      <c r="T186" s="3" t="s">
        <v>81</v>
      </c>
      <c r="U186" s="3" t="s">
        <v>81</v>
      </c>
      <c r="V186" s="3" t="s">
        <v>81</v>
      </c>
      <c r="W186" s="3" t="s">
        <v>81</v>
      </c>
      <c r="X186" s="3" t="s">
        <v>81</v>
      </c>
      <c r="Y186" s="3" t="s">
        <v>81</v>
      </c>
      <c r="Z186" s="3" t="s">
        <v>81</v>
      </c>
      <c r="AA186" s="3" t="s">
        <v>81</v>
      </c>
      <c r="AB186" s="3" t="s">
        <v>81</v>
      </c>
      <c r="AC186" s="3" t="s">
        <v>81</v>
      </c>
      <c r="AD186" s="3" t="s">
        <v>81</v>
      </c>
      <c r="AE186" s="3" t="s">
        <v>81</v>
      </c>
      <c r="AF186" s="3" t="s">
        <v>81</v>
      </c>
      <c r="AG186" s="3" t="s">
        <v>81</v>
      </c>
      <c r="AH186" s="3" t="s">
        <v>81</v>
      </c>
      <c r="AI186" s="3" t="s">
        <v>81</v>
      </c>
      <c r="AJ186" s="3" t="s">
        <v>81</v>
      </c>
      <c r="AK186" s="3" t="s">
        <v>81</v>
      </c>
      <c r="AL186" s="3" t="s">
        <v>81</v>
      </c>
      <c r="AM186" s="3" t="s">
        <v>81</v>
      </c>
      <c r="AN186" s="3" t="s">
        <v>81</v>
      </c>
      <c r="AO186" s="3" t="s">
        <v>81</v>
      </c>
      <c r="AP186" s="3" t="s">
        <v>81</v>
      </c>
      <c r="AQ186" s="3" t="s">
        <v>81</v>
      </c>
      <c r="AR186" s="3" t="s">
        <v>81</v>
      </c>
      <c r="AS186" s="3" t="s">
        <v>81</v>
      </c>
      <c r="AT186" s="3" t="s">
        <v>81</v>
      </c>
      <c r="AU186" s="3" t="s">
        <v>81</v>
      </c>
      <c r="AV186" s="3" t="s">
        <v>81</v>
      </c>
      <c r="AW186" s="3" t="s">
        <v>81</v>
      </c>
      <c r="AX186" s="3" t="s">
        <v>81</v>
      </c>
      <c r="AY186" s="3" t="s">
        <v>81</v>
      </c>
      <c r="AZ186" s="3" t="s">
        <v>81</v>
      </c>
      <c r="BA186" s="3" t="s">
        <v>81</v>
      </c>
      <c r="BB186" s="3" t="s">
        <v>81</v>
      </c>
      <c r="BC186" s="3" t="s">
        <v>81</v>
      </c>
      <c r="BD186" s="3" t="s">
        <v>81</v>
      </c>
      <c r="BE186" s="3" t="s">
        <v>81</v>
      </c>
      <c r="BF186" s="3" t="s">
        <v>81</v>
      </c>
      <c r="BG186" s="3" t="s">
        <v>81</v>
      </c>
      <c r="BH186" s="3" t="s">
        <v>81</v>
      </c>
      <c r="BI186" s="3" t="s">
        <v>82</v>
      </c>
      <c r="BJ186" s="3" t="s">
        <v>82</v>
      </c>
      <c r="BK186" s="3" t="s">
        <v>82</v>
      </c>
      <c r="BL186" s="3" t="s">
        <v>84</v>
      </c>
      <c r="BM186" s="3" t="s">
        <v>84</v>
      </c>
      <c r="BN186" s="3" t="s">
        <v>84</v>
      </c>
      <c r="BO186" s="3"/>
      <c r="BV186" s="3"/>
      <c r="BW186" s="3"/>
      <c r="BX186" s="3"/>
      <c r="BZ186" s="9" t="s">
        <v>93</v>
      </c>
      <c r="CB186" s="9" t="s">
        <v>84</v>
      </c>
      <c r="CD186">
        <v>2</v>
      </c>
      <c r="CF186" s="18"/>
      <c r="CG186" s="18">
        <v>2</v>
      </c>
      <c r="CH186" s="18"/>
      <c r="CI186" s="18"/>
    </row>
    <row r="187" spans="1:87" x14ac:dyDescent="0.15">
      <c r="A187" s="3">
        <v>1322959658</v>
      </c>
      <c r="B187" s="3" t="s">
        <v>481</v>
      </c>
      <c r="C187" s="3" t="s">
        <v>482</v>
      </c>
      <c r="D187" s="3" t="s">
        <v>81</v>
      </c>
      <c r="E187" s="3">
        <v>12</v>
      </c>
      <c r="F187" s="3">
        <v>255.999</v>
      </c>
      <c r="G187" s="3">
        <v>2</v>
      </c>
      <c r="H187" s="3">
        <v>147.536</v>
      </c>
      <c r="I187" s="3">
        <v>52.762</v>
      </c>
      <c r="J187" s="3">
        <v>48.384</v>
      </c>
      <c r="K187" s="3">
        <v>52.031999999999996</v>
      </c>
      <c r="L187" s="3">
        <v>56.761000000000003</v>
      </c>
      <c r="M187" s="3" t="s">
        <v>81</v>
      </c>
      <c r="N187" s="3" t="s">
        <v>81</v>
      </c>
      <c r="O187" s="3" t="s">
        <v>81</v>
      </c>
      <c r="P187" s="3" t="s">
        <v>81</v>
      </c>
      <c r="Q187" s="3">
        <v>265.99200000000002</v>
      </c>
      <c r="R187" s="3">
        <v>2</v>
      </c>
      <c r="S187" s="3">
        <v>161.17699999999999</v>
      </c>
      <c r="T187" s="3">
        <v>47.353999999999999</v>
      </c>
      <c r="U187" s="3">
        <v>44.735999999999997</v>
      </c>
      <c r="V187" s="3">
        <v>49.283000000000001</v>
      </c>
      <c r="W187" s="3">
        <v>54.878</v>
      </c>
      <c r="X187" s="3" t="s">
        <v>81</v>
      </c>
      <c r="Y187" s="3" t="s">
        <v>81</v>
      </c>
      <c r="Z187" s="3" t="s">
        <v>81</v>
      </c>
      <c r="AA187" s="3" t="s">
        <v>81</v>
      </c>
      <c r="AB187" s="3">
        <v>276.95100000000002</v>
      </c>
      <c r="AC187" s="3">
        <v>2</v>
      </c>
      <c r="AD187" s="3">
        <v>175.465</v>
      </c>
      <c r="AE187" s="3">
        <v>58.777000000000001</v>
      </c>
      <c r="AF187" s="3">
        <v>44.558</v>
      </c>
      <c r="AG187" s="3">
        <v>50.847999999999999</v>
      </c>
      <c r="AH187" s="3">
        <v>53.412999999999997</v>
      </c>
      <c r="AI187" s="3" t="s">
        <v>81</v>
      </c>
      <c r="AJ187" s="3" t="s">
        <v>81</v>
      </c>
      <c r="AK187" s="3" t="s">
        <v>81</v>
      </c>
      <c r="AL187" s="3" t="s">
        <v>81</v>
      </c>
      <c r="AM187" s="3">
        <v>275.06200000000001</v>
      </c>
      <c r="AN187" s="3">
        <v>2</v>
      </c>
      <c r="AO187" s="3">
        <v>167.01499999999999</v>
      </c>
      <c r="AP187" s="3">
        <v>54.026000000000003</v>
      </c>
      <c r="AQ187" s="3">
        <v>51.932000000000002</v>
      </c>
      <c r="AR187" s="3">
        <v>45.963000000000001</v>
      </c>
      <c r="AS187" s="3">
        <v>53.384</v>
      </c>
      <c r="AT187" s="3" t="s">
        <v>81</v>
      </c>
      <c r="AU187" s="3" t="s">
        <v>81</v>
      </c>
      <c r="AV187" s="3" t="s">
        <v>81</v>
      </c>
      <c r="AW187" s="3" t="s">
        <v>81</v>
      </c>
      <c r="AX187" s="3">
        <v>269.51900000000001</v>
      </c>
      <c r="AY187" s="3">
        <v>2</v>
      </c>
      <c r="AZ187" s="3">
        <v>163.51</v>
      </c>
      <c r="BA187" s="3">
        <v>48.279000000000003</v>
      </c>
      <c r="BB187" s="3">
        <v>43.743000000000002</v>
      </c>
      <c r="BC187" s="3">
        <v>49.906999999999996</v>
      </c>
      <c r="BD187" s="3">
        <v>58.987000000000002</v>
      </c>
      <c r="BE187" s="3" t="s">
        <v>81</v>
      </c>
      <c r="BF187" s="3" t="s">
        <v>81</v>
      </c>
      <c r="BG187" s="3" t="s">
        <v>81</v>
      </c>
      <c r="BH187" s="3" t="s">
        <v>81</v>
      </c>
      <c r="BI187" s="3" t="s">
        <v>84</v>
      </c>
      <c r="BJ187" s="3" t="s">
        <v>84</v>
      </c>
      <c r="BK187" s="3" t="s">
        <v>84</v>
      </c>
      <c r="BL187" s="3" t="s">
        <v>84</v>
      </c>
      <c r="BM187" s="3" t="s">
        <v>84</v>
      </c>
      <c r="BN187" s="3" t="s">
        <v>82</v>
      </c>
      <c r="BO187" s="3" t="s">
        <v>84</v>
      </c>
      <c r="BP187" s="3" t="s">
        <v>81</v>
      </c>
      <c r="BQ187" s="3" t="s">
        <v>81</v>
      </c>
      <c r="BR187" s="3" t="s">
        <v>81</v>
      </c>
      <c r="BS187" s="3" t="s">
        <v>81</v>
      </c>
      <c r="BT187" s="3" t="s">
        <v>81</v>
      </c>
      <c r="BU187" s="3" t="s">
        <v>81</v>
      </c>
      <c r="BV187" s="3" t="s">
        <v>82</v>
      </c>
      <c r="BW187" s="3" t="s">
        <v>91</v>
      </c>
      <c r="BX187" s="3" t="s">
        <v>82</v>
      </c>
      <c r="BZ187" s="3" t="s">
        <v>86</v>
      </c>
      <c r="CB187" s="3" t="s">
        <v>84</v>
      </c>
      <c r="CD187" s="9">
        <v>36</v>
      </c>
      <c r="CF187" s="18"/>
      <c r="CG187" s="18"/>
      <c r="CH187" s="18"/>
      <c r="CI187" s="18"/>
    </row>
    <row r="188" spans="1:87" x14ac:dyDescent="0.15">
      <c r="A188" s="3">
        <v>1228447171</v>
      </c>
      <c r="B188" s="3" t="s">
        <v>482</v>
      </c>
      <c r="C188" s="3" t="s">
        <v>482</v>
      </c>
      <c r="D188" s="3" t="s">
        <v>81</v>
      </c>
      <c r="E188" s="3">
        <v>11</v>
      </c>
      <c r="F188" s="3">
        <v>193.839</v>
      </c>
      <c r="G188" s="3">
        <v>1</v>
      </c>
      <c r="H188" s="3">
        <v>171.90600000000001</v>
      </c>
      <c r="I188" s="3">
        <v>52.033000000000001</v>
      </c>
      <c r="J188" s="3">
        <v>20.548999999999999</v>
      </c>
      <c r="K188" s="3" t="s">
        <v>81</v>
      </c>
      <c r="L188" s="3" t="s">
        <v>81</v>
      </c>
      <c r="M188" s="3" t="s">
        <v>81</v>
      </c>
      <c r="N188" s="3" t="s">
        <v>81</v>
      </c>
      <c r="O188" s="3" t="s">
        <v>81</v>
      </c>
      <c r="P188" s="3" t="s">
        <v>81</v>
      </c>
      <c r="Q188" s="3">
        <v>217.845</v>
      </c>
      <c r="R188" s="3">
        <v>2</v>
      </c>
      <c r="S188" s="3">
        <v>160.60300000000001</v>
      </c>
      <c r="T188" s="3">
        <v>63.752000000000002</v>
      </c>
      <c r="U188" s="3">
        <v>28.908000000000001</v>
      </c>
      <c r="V188" s="3">
        <v>33.091999999999999</v>
      </c>
      <c r="W188" s="3">
        <v>25.649000000000001</v>
      </c>
      <c r="X188" s="3" t="s">
        <v>81</v>
      </c>
      <c r="Y188" s="3" t="s">
        <v>81</v>
      </c>
      <c r="Z188" s="3" t="s">
        <v>81</v>
      </c>
      <c r="AA188" s="3" t="s">
        <v>81</v>
      </c>
      <c r="AB188" s="3" t="s">
        <v>81</v>
      </c>
      <c r="AC188" s="3">
        <v>1</v>
      </c>
      <c r="AD188" s="3">
        <v>170.566</v>
      </c>
      <c r="AE188" s="3">
        <v>61.067</v>
      </c>
      <c r="AF188" s="3" t="s">
        <v>81</v>
      </c>
      <c r="AG188" s="3" t="s">
        <v>81</v>
      </c>
      <c r="AH188" s="3" t="s">
        <v>81</v>
      </c>
      <c r="AI188" s="3" t="s">
        <v>81</v>
      </c>
      <c r="AJ188" s="3" t="s">
        <v>81</v>
      </c>
      <c r="AK188" s="3" t="s">
        <v>81</v>
      </c>
      <c r="AL188" s="3" t="s">
        <v>81</v>
      </c>
      <c r="AM188" s="3" t="s">
        <v>81</v>
      </c>
      <c r="AN188" s="3" t="s">
        <v>81</v>
      </c>
      <c r="AO188" s="3" t="s">
        <v>81</v>
      </c>
      <c r="AP188" s="3" t="s">
        <v>81</v>
      </c>
      <c r="AQ188" s="3" t="s">
        <v>81</v>
      </c>
      <c r="AR188" s="3" t="s">
        <v>81</v>
      </c>
      <c r="AS188" s="3" t="s">
        <v>81</v>
      </c>
      <c r="AT188" s="3" t="s">
        <v>81</v>
      </c>
      <c r="AU188" s="3" t="s">
        <v>81</v>
      </c>
      <c r="AV188" s="3" t="s">
        <v>81</v>
      </c>
      <c r="AW188" s="3" t="s">
        <v>81</v>
      </c>
      <c r="AX188" s="3" t="s">
        <v>81</v>
      </c>
      <c r="AY188" s="3" t="s">
        <v>81</v>
      </c>
      <c r="AZ188" s="3" t="s">
        <v>81</v>
      </c>
      <c r="BA188" s="3" t="s">
        <v>81</v>
      </c>
      <c r="BB188" s="3" t="s">
        <v>81</v>
      </c>
      <c r="BC188" s="3" t="s">
        <v>81</v>
      </c>
      <c r="BD188" s="3" t="s">
        <v>81</v>
      </c>
      <c r="BE188" s="3" t="s">
        <v>81</v>
      </c>
      <c r="BF188" s="3" t="s">
        <v>81</v>
      </c>
      <c r="BG188" s="3" t="s">
        <v>81</v>
      </c>
      <c r="BH188" s="3" t="s">
        <v>81</v>
      </c>
      <c r="BI188" s="3" t="s">
        <v>84</v>
      </c>
      <c r="BJ188" s="3" t="s">
        <v>82</v>
      </c>
      <c r="BK188" s="3" t="s">
        <v>83</v>
      </c>
      <c r="BL188" s="3" t="s">
        <v>84</v>
      </c>
      <c r="BM188" s="3" t="s">
        <v>84</v>
      </c>
      <c r="BN188" s="3" t="s">
        <v>82</v>
      </c>
      <c r="BO188" s="3" t="s">
        <v>84</v>
      </c>
      <c r="BP188" s="3" t="s">
        <v>483</v>
      </c>
      <c r="BQ188" s="3" t="s">
        <v>483</v>
      </c>
      <c r="BR188" s="3" t="s">
        <v>484</v>
      </c>
      <c r="BS188" s="3" t="s">
        <v>485</v>
      </c>
      <c r="BT188" s="3" t="s">
        <v>106</v>
      </c>
      <c r="BU188" s="3" t="s">
        <v>205</v>
      </c>
      <c r="BV188" s="3" t="s">
        <v>84</v>
      </c>
      <c r="BW188" s="3" t="s">
        <v>83</v>
      </c>
      <c r="BX188" s="3" t="s">
        <v>82</v>
      </c>
      <c r="BY188" s="3" t="s">
        <v>486</v>
      </c>
      <c r="BZ188" s="3" t="s">
        <v>93</v>
      </c>
      <c r="CA188" s="3" t="s">
        <v>232</v>
      </c>
      <c r="CB188" s="3" t="s">
        <v>84</v>
      </c>
      <c r="CC188" s="3"/>
      <c r="CD188" s="9">
        <v>22</v>
      </c>
      <c r="CE188" s="3"/>
      <c r="CF188" s="17"/>
      <c r="CG188" s="17"/>
      <c r="CH188" s="17"/>
      <c r="CI188" s="18"/>
    </row>
    <row r="189" spans="1:87" x14ac:dyDescent="0.15">
      <c r="A189" s="3">
        <v>1228461172</v>
      </c>
      <c r="B189" s="3" t="s">
        <v>482</v>
      </c>
      <c r="C189" s="3" t="s">
        <v>482</v>
      </c>
      <c r="D189" s="3">
        <v>5</v>
      </c>
      <c r="E189" s="3">
        <v>9</v>
      </c>
      <c r="F189" s="3">
        <v>237.06800000000001</v>
      </c>
      <c r="G189" s="3">
        <v>2</v>
      </c>
      <c r="H189" s="3">
        <v>143.49299999999999</v>
      </c>
      <c r="I189" s="3">
        <v>32.176000000000002</v>
      </c>
      <c r="J189" s="3">
        <v>56.76</v>
      </c>
      <c r="K189" s="3">
        <v>25.693000000000001</v>
      </c>
      <c r="L189" s="3">
        <v>33.832000000000001</v>
      </c>
      <c r="M189" s="3" t="s">
        <v>81</v>
      </c>
      <c r="N189" s="3" t="s">
        <v>81</v>
      </c>
      <c r="O189" s="3" t="s">
        <v>81</v>
      </c>
      <c r="P189" s="3" t="s">
        <v>81</v>
      </c>
      <c r="Q189" s="3">
        <v>206.06800000000001</v>
      </c>
      <c r="R189" s="3">
        <v>2</v>
      </c>
      <c r="S189" s="3">
        <v>119.60899999999999</v>
      </c>
      <c r="T189" s="3">
        <v>31.361999999999998</v>
      </c>
      <c r="U189" s="3">
        <v>63.085999999999999</v>
      </c>
      <c r="V189" s="3">
        <v>34.978999999999999</v>
      </c>
      <c r="W189" s="3">
        <v>21.956</v>
      </c>
      <c r="X189" s="3" t="s">
        <v>81</v>
      </c>
      <c r="Y189" s="3" t="s">
        <v>81</v>
      </c>
      <c r="Z189" s="3" t="s">
        <v>81</v>
      </c>
      <c r="AA189" s="3" t="s">
        <v>81</v>
      </c>
      <c r="AB189" s="3">
        <v>199.01599999999999</v>
      </c>
      <c r="AC189" s="3">
        <v>2</v>
      </c>
      <c r="AD189" s="3">
        <v>124.372</v>
      </c>
      <c r="AE189" s="3">
        <v>37.985999999999997</v>
      </c>
      <c r="AF189" s="3">
        <v>54.481999999999999</v>
      </c>
      <c r="AG189" s="3">
        <v>21.635999999999999</v>
      </c>
      <c r="AH189" s="3">
        <v>20.23</v>
      </c>
      <c r="AI189" s="3" t="s">
        <v>81</v>
      </c>
      <c r="AJ189" s="3" t="s">
        <v>81</v>
      </c>
      <c r="AK189" s="3" t="s">
        <v>81</v>
      </c>
      <c r="AL189" s="3" t="s">
        <v>81</v>
      </c>
      <c r="AM189" s="3">
        <v>201.994</v>
      </c>
      <c r="AN189" s="3">
        <v>2</v>
      </c>
      <c r="AO189" s="3">
        <v>148.886</v>
      </c>
      <c r="AP189" s="3" t="s">
        <v>81</v>
      </c>
      <c r="AQ189" s="3">
        <v>48.305</v>
      </c>
      <c r="AR189" s="3">
        <v>23.652999999999999</v>
      </c>
      <c r="AS189" s="3">
        <v>6.0110000000000001</v>
      </c>
      <c r="AT189" s="3" t="s">
        <v>81</v>
      </c>
      <c r="AU189" s="3" t="s">
        <v>81</v>
      </c>
      <c r="AV189" s="3" t="s">
        <v>81</v>
      </c>
      <c r="AW189" s="3" t="s">
        <v>81</v>
      </c>
      <c r="AX189" s="3">
        <v>220.655</v>
      </c>
      <c r="AY189" s="3">
        <v>2</v>
      </c>
      <c r="AZ189" s="3">
        <v>129.376</v>
      </c>
      <c r="BA189" s="3">
        <v>33.058999999999997</v>
      </c>
      <c r="BB189" s="3">
        <v>53.761000000000003</v>
      </c>
      <c r="BC189" s="3">
        <v>23.172999999999998</v>
      </c>
      <c r="BD189" s="3">
        <v>32.162999999999997</v>
      </c>
      <c r="BE189" s="3" t="s">
        <v>81</v>
      </c>
      <c r="BF189" s="3" t="s">
        <v>81</v>
      </c>
      <c r="BG189" s="3" t="s">
        <v>81</v>
      </c>
      <c r="BH189" s="3" t="s">
        <v>81</v>
      </c>
      <c r="BI189" s="3" t="s">
        <v>84</v>
      </c>
      <c r="BJ189" s="3" t="s">
        <v>82</v>
      </c>
      <c r="BK189" s="3" t="s">
        <v>83</v>
      </c>
      <c r="BL189" s="3" t="s">
        <v>84</v>
      </c>
      <c r="BM189" s="3" t="s">
        <v>84</v>
      </c>
      <c r="BN189" s="3" t="s">
        <v>82</v>
      </c>
      <c r="BO189" s="3" t="s">
        <v>84</v>
      </c>
      <c r="BP189" s="3" t="s">
        <v>137</v>
      </c>
      <c r="BQ189" s="3" t="s">
        <v>137</v>
      </c>
      <c r="BR189" s="3" t="s">
        <v>137</v>
      </c>
      <c r="BS189" s="3" t="s">
        <v>487</v>
      </c>
      <c r="BT189" s="3" t="s">
        <v>106</v>
      </c>
      <c r="BU189" s="3" t="s">
        <v>129</v>
      </c>
      <c r="BV189" s="3" t="s">
        <v>84</v>
      </c>
      <c r="BW189" s="3" t="s">
        <v>83</v>
      </c>
      <c r="BX189" s="3" t="s">
        <v>82</v>
      </c>
      <c r="BY189" s="3" t="s">
        <v>488</v>
      </c>
      <c r="BZ189" s="3" t="s">
        <v>93</v>
      </c>
      <c r="CB189" s="3" t="s">
        <v>84</v>
      </c>
      <c r="CD189" s="9">
        <v>20</v>
      </c>
      <c r="CF189" s="18"/>
      <c r="CG189" s="18"/>
      <c r="CH189" s="18"/>
      <c r="CI189" s="18"/>
    </row>
    <row r="190" spans="1:87" ht="15.75" customHeight="1" x14ac:dyDescent="0.15">
      <c r="A190" s="3">
        <v>1261334566</v>
      </c>
      <c r="B190" s="3" t="s">
        <v>489</v>
      </c>
      <c r="C190" s="3" t="s">
        <v>489</v>
      </c>
      <c r="D190" s="3">
        <v>3</v>
      </c>
      <c r="E190" s="3">
        <v>5</v>
      </c>
      <c r="F190" s="3">
        <v>31.263000000000002</v>
      </c>
      <c r="G190" s="3">
        <v>0</v>
      </c>
      <c r="H190" s="3" t="s">
        <v>81</v>
      </c>
      <c r="I190" s="3" t="s">
        <v>81</v>
      </c>
      <c r="J190" s="3" t="s">
        <v>81</v>
      </c>
      <c r="K190" s="3" t="s">
        <v>81</v>
      </c>
      <c r="L190" s="3" t="s">
        <v>81</v>
      </c>
      <c r="M190" s="3" t="s">
        <v>81</v>
      </c>
      <c r="N190" s="3" t="s">
        <v>81</v>
      </c>
      <c r="O190" s="3" t="s">
        <v>81</v>
      </c>
      <c r="P190" s="3" t="s">
        <v>81</v>
      </c>
      <c r="Q190" s="3">
        <v>28.673999999999999</v>
      </c>
      <c r="R190" s="3">
        <v>0</v>
      </c>
      <c r="S190" s="3" t="s">
        <v>81</v>
      </c>
      <c r="T190" s="3" t="s">
        <v>81</v>
      </c>
      <c r="U190" s="3" t="s">
        <v>81</v>
      </c>
      <c r="V190" s="3" t="s">
        <v>81</v>
      </c>
      <c r="W190" s="3" t="s">
        <v>81</v>
      </c>
      <c r="X190" s="3" t="s">
        <v>81</v>
      </c>
      <c r="Y190" s="3" t="s">
        <v>81</v>
      </c>
      <c r="Z190" s="3" t="s">
        <v>81</v>
      </c>
      <c r="AA190" s="3" t="s">
        <v>81</v>
      </c>
      <c r="AB190" s="3">
        <v>29.614999999999998</v>
      </c>
      <c r="AC190" s="3">
        <v>0</v>
      </c>
      <c r="AD190" s="3" t="s">
        <v>81</v>
      </c>
      <c r="AE190" s="3" t="s">
        <v>81</v>
      </c>
      <c r="AF190" s="3" t="s">
        <v>81</v>
      </c>
      <c r="AG190" s="3" t="s">
        <v>81</v>
      </c>
      <c r="AH190" s="3" t="s">
        <v>81</v>
      </c>
      <c r="AI190" s="3" t="s">
        <v>81</v>
      </c>
      <c r="AJ190" s="3" t="s">
        <v>81</v>
      </c>
      <c r="AK190" s="3" t="s">
        <v>81</v>
      </c>
      <c r="AL190" s="3" t="s">
        <v>81</v>
      </c>
      <c r="AM190" s="3">
        <v>25.681000000000001</v>
      </c>
      <c r="AN190" s="3">
        <v>0</v>
      </c>
      <c r="AO190" s="3" t="s">
        <v>81</v>
      </c>
      <c r="AP190" s="3" t="s">
        <v>81</v>
      </c>
      <c r="AQ190" s="3" t="s">
        <v>81</v>
      </c>
      <c r="AR190" s="3" t="s">
        <v>81</v>
      </c>
      <c r="AS190" s="3" t="s">
        <v>81</v>
      </c>
      <c r="AT190" s="3" t="s">
        <v>81</v>
      </c>
      <c r="AU190" s="3" t="s">
        <v>81</v>
      </c>
      <c r="AV190" s="3" t="s">
        <v>81</v>
      </c>
      <c r="AW190" s="3" t="s">
        <v>81</v>
      </c>
      <c r="AX190" s="3">
        <v>33.774999999999999</v>
      </c>
      <c r="AY190" s="3">
        <v>0</v>
      </c>
      <c r="AZ190" s="3" t="s">
        <v>81</v>
      </c>
      <c r="BA190" s="3" t="s">
        <v>81</v>
      </c>
      <c r="BB190" s="3" t="s">
        <v>81</v>
      </c>
      <c r="BC190" s="3" t="s">
        <v>81</v>
      </c>
      <c r="BD190" s="3" t="s">
        <v>81</v>
      </c>
      <c r="BE190" s="3" t="s">
        <v>81</v>
      </c>
      <c r="BF190" s="3" t="s">
        <v>81</v>
      </c>
      <c r="BG190" s="3" t="s">
        <v>81</v>
      </c>
      <c r="BH190" s="3" t="s">
        <v>81</v>
      </c>
      <c r="BI190" s="3" t="s">
        <v>84</v>
      </c>
      <c r="BJ190" s="3" t="s">
        <v>84</v>
      </c>
      <c r="BK190" s="3" t="s">
        <v>84</v>
      </c>
      <c r="BL190" s="3" t="s">
        <v>82</v>
      </c>
      <c r="BM190" s="3" t="s">
        <v>83</v>
      </c>
      <c r="BN190" s="3" t="s">
        <v>84</v>
      </c>
      <c r="BO190" s="3" t="s">
        <v>83</v>
      </c>
      <c r="BP190" s="3" t="s">
        <v>81</v>
      </c>
      <c r="BQ190" s="3" t="s">
        <v>81</v>
      </c>
      <c r="BR190" s="3" t="s">
        <v>81</v>
      </c>
      <c r="BS190" s="3" t="s">
        <v>81</v>
      </c>
      <c r="BT190" s="3" t="s">
        <v>81</v>
      </c>
      <c r="BU190" s="3" t="s">
        <v>81</v>
      </c>
      <c r="BV190" s="3" t="s">
        <v>83</v>
      </c>
      <c r="BW190" s="3" t="s">
        <v>83</v>
      </c>
      <c r="BX190" s="3" t="s">
        <v>83</v>
      </c>
      <c r="BY190" s="3" t="s">
        <v>490</v>
      </c>
      <c r="BZ190" s="3" t="s">
        <v>123</v>
      </c>
      <c r="CB190" s="3" t="s">
        <v>84</v>
      </c>
      <c r="CD190" s="9">
        <v>5</v>
      </c>
      <c r="CE190">
        <v>5</v>
      </c>
      <c r="CF190" s="18"/>
      <c r="CG190" s="18"/>
      <c r="CH190" s="18"/>
      <c r="CI190" s="18"/>
    </row>
    <row r="191" spans="1:87" x14ac:dyDescent="0.15">
      <c r="A191" s="3">
        <v>1258230898</v>
      </c>
      <c r="B191" s="3" t="s">
        <v>489</v>
      </c>
      <c r="C191" s="3" t="s">
        <v>489</v>
      </c>
      <c r="D191" s="3">
        <v>9</v>
      </c>
      <c r="E191" s="3">
        <v>11</v>
      </c>
      <c r="F191" s="3">
        <v>30.568999999999999</v>
      </c>
      <c r="G191" s="3">
        <v>0</v>
      </c>
      <c r="H191" s="3" t="s">
        <v>81</v>
      </c>
      <c r="I191" s="3" t="s">
        <v>81</v>
      </c>
      <c r="J191" s="3" t="s">
        <v>81</v>
      </c>
      <c r="K191" s="3" t="s">
        <v>81</v>
      </c>
      <c r="L191" s="3" t="s">
        <v>81</v>
      </c>
      <c r="M191" s="3" t="s">
        <v>81</v>
      </c>
      <c r="N191" s="3" t="s">
        <v>81</v>
      </c>
      <c r="O191" s="3" t="s">
        <v>81</v>
      </c>
      <c r="P191" s="3" t="s">
        <v>81</v>
      </c>
      <c r="Q191" s="3">
        <v>45.061</v>
      </c>
      <c r="R191" s="3">
        <v>0</v>
      </c>
      <c r="S191" s="3" t="s">
        <v>81</v>
      </c>
      <c r="T191" s="3" t="s">
        <v>81</v>
      </c>
      <c r="U191" s="3" t="s">
        <v>81</v>
      </c>
      <c r="V191" s="3" t="s">
        <v>81</v>
      </c>
      <c r="W191" s="3" t="s">
        <v>81</v>
      </c>
      <c r="X191" s="3" t="s">
        <v>81</v>
      </c>
      <c r="Y191" s="3" t="s">
        <v>81</v>
      </c>
      <c r="Z191" s="3" t="s">
        <v>81</v>
      </c>
      <c r="AA191" s="3" t="s">
        <v>81</v>
      </c>
      <c r="AB191" s="3">
        <v>48.673999999999999</v>
      </c>
      <c r="AC191" s="3">
        <v>0</v>
      </c>
      <c r="AD191" s="3" t="s">
        <v>81</v>
      </c>
      <c r="AE191" s="3" t="s">
        <v>81</v>
      </c>
      <c r="AF191" s="3" t="s">
        <v>81</v>
      </c>
      <c r="AG191" s="3" t="s">
        <v>81</v>
      </c>
      <c r="AH191" s="3" t="s">
        <v>81</v>
      </c>
      <c r="AI191" s="3" t="s">
        <v>81</v>
      </c>
      <c r="AJ191" s="3" t="s">
        <v>81</v>
      </c>
      <c r="AK191" s="3" t="s">
        <v>81</v>
      </c>
      <c r="AL191" s="3" t="s">
        <v>81</v>
      </c>
      <c r="AM191" s="3">
        <v>36.084000000000003</v>
      </c>
      <c r="AN191" s="3">
        <v>0</v>
      </c>
      <c r="AO191" s="3" t="s">
        <v>81</v>
      </c>
      <c r="AP191" s="3" t="s">
        <v>81</v>
      </c>
      <c r="AQ191" s="3" t="s">
        <v>81</v>
      </c>
      <c r="AR191" s="3" t="s">
        <v>81</v>
      </c>
      <c r="AS191" s="3" t="s">
        <v>81</v>
      </c>
      <c r="AT191" s="3" t="s">
        <v>81</v>
      </c>
      <c r="AU191" s="3" t="s">
        <v>81</v>
      </c>
      <c r="AV191" s="3" t="s">
        <v>81</v>
      </c>
      <c r="AW191" s="3" t="s">
        <v>81</v>
      </c>
      <c r="AX191" s="3">
        <v>35.206000000000003</v>
      </c>
      <c r="AY191" s="3">
        <v>0</v>
      </c>
      <c r="AZ191" s="3" t="s">
        <v>81</v>
      </c>
      <c r="BA191" s="3" t="s">
        <v>81</v>
      </c>
      <c r="BB191" s="3" t="s">
        <v>81</v>
      </c>
      <c r="BC191" s="3" t="s">
        <v>81</v>
      </c>
      <c r="BD191" s="3" t="s">
        <v>81</v>
      </c>
      <c r="BE191" s="3" t="s">
        <v>81</v>
      </c>
      <c r="BF191" s="3" t="s">
        <v>81</v>
      </c>
      <c r="BG191" s="3" t="s">
        <v>81</v>
      </c>
      <c r="BH191" s="3" t="s">
        <v>81</v>
      </c>
      <c r="BI191" s="3" t="s">
        <v>84</v>
      </c>
      <c r="BJ191" s="3" t="s">
        <v>84</v>
      </c>
      <c r="BK191" s="3" t="s">
        <v>84</v>
      </c>
      <c r="BL191" s="3" t="s">
        <v>84</v>
      </c>
      <c r="BM191" s="3" t="s">
        <v>84</v>
      </c>
      <c r="BN191" s="3" t="s">
        <v>82</v>
      </c>
      <c r="BO191" s="3" t="s">
        <v>82</v>
      </c>
      <c r="BP191" s="3" t="s">
        <v>85</v>
      </c>
      <c r="BQ191" s="3" t="s">
        <v>85</v>
      </c>
      <c r="BR191" s="3" t="s">
        <v>85</v>
      </c>
      <c r="BS191" s="3" t="s">
        <v>85</v>
      </c>
      <c r="BT191" s="3" t="s">
        <v>85</v>
      </c>
      <c r="BU191" s="3" t="s">
        <v>81</v>
      </c>
      <c r="BV191" s="3" t="s">
        <v>82</v>
      </c>
      <c r="BW191" s="3" t="s">
        <v>91</v>
      </c>
      <c r="BX191" s="3" t="s">
        <v>82</v>
      </c>
      <c r="BZ191" s="3" t="s">
        <v>123</v>
      </c>
      <c r="CB191" s="3" t="s">
        <v>84</v>
      </c>
      <c r="CD191">
        <v>11</v>
      </c>
      <c r="CE191">
        <v>8</v>
      </c>
      <c r="CF191" s="18"/>
      <c r="CG191" s="18"/>
      <c r="CH191" s="18"/>
      <c r="CI191" s="18"/>
    </row>
    <row r="192" spans="1:87" x14ac:dyDescent="0.15">
      <c r="A192" s="3">
        <v>1258977037</v>
      </c>
      <c r="B192" s="3" t="s">
        <v>489</v>
      </c>
      <c r="C192" s="3" t="s">
        <v>489</v>
      </c>
      <c r="D192" s="3">
        <v>4</v>
      </c>
      <c r="E192" s="3">
        <v>6</v>
      </c>
      <c r="F192" s="3">
        <v>36.225000000000001</v>
      </c>
      <c r="G192" s="3">
        <v>0</v>
      </c>
      <c r="H192" s="3" t="s">
        <v>81</v>
      </c>
      <c r="I192" s="3" t="s">
        <v>81</v>
      </c>
      <c r="J192" s="3" t="s">
        <v>81</v>
      </c>
      <c r="K192" s="3" t="s">
        <v>81</v>
      </c>
      <c r="L192" s="3" t="s">
        <v>81</v>
      </c>
      <c r="M192" s="3" t="s">
        <v>81</v>
      </c>
      <c r="N192" s="3" t="s">
        <v>81</v>
      </c>
      <c r="O192" s="3" t="s">
        <v>81</v>
      </c>
      <c r="P192" s="3" t="s">
        <v>81</v>
      </c>
      <c r="Q192" s="3">
        <v>35.420999999999999</v>
      </c>
      <c r="R192" s="3">
        <v>0</v>
      </c>
      <c r="S192" s="3" t="s">
        <v>81</v>
      </c>
      <c r="T192" s="3" t="s">
        <v>81</v>
      </c>
      <c r="U192" s="3" t="s">
        <v>81</v>
      </c>
      <c r="V192" s="3" t="s">
        <v>81</v>
      </c>
      <c r="W192" s="3" t="s">
        <v>81</v>
      </c>
      <c r="X192" s="3" t="s">
        <v>81</v>
      </c>
      <c r="Y192" s="3" t="s">
        <v>81</v>
      </c>
      <c r="Z192" s="3" t="s">
        <v>81</v>
      </c>
      <c r="AA192" s="3" t="s">
        <v>81</v>
      </c>
      <c r="AB192" s="3">
        <v>36.167000000000002</v>
      </c>
      <c r="AC192" s="3">
        <v>0</v>
      </c>
      <c r="AD192" s="3" t="s">
        <v>81</v>
      </c>
      <c r="AE192" s="3" t="s">
        <v>81</v>
      </c>
      <c r="AF192" s="3" t="s">
        <v>81</v>
      </c>
      <c r="AG192" s="3" t="s">
        <v>81</v>
      </c>
      <c r="AH192" s="3" t="s">
        <v>81</v>
      </c>
      <c r="AI192" s="3" t="s">
        <v>81</v>
      </c>
      <c r="AJ192" s="3" t="s">
        <v>81</v>
      </c>
      <c r="AK192" s="3" t="s">
        <v>81</v>
      </c>
      <c r="AL192" s="3" t="s">
        <v>81</v>
      </c>
      <c r="AM192" s="3">
        <v>34.963000000000001</v>
      </c>
      <c r="AN192" s="3">
        <v>0</v>
      </c>
      <c r="AO192" s="3" t="s">
        <v>81</v>
      </c>
      <c r="AP192" s="3" t="s">
        <v>81</v>
      </c>
      <c r="AQ192" s="3" t="s">
        <v>81</v>
      </c>
      <c r="AR192" s="3" t="s">
        <v>81</v>
      </c>
      <c r="AS192" s="3" t="s">
        <v>81</v>
      </c>
      <c r="AT192" s="3" t="s">
        <v>81</v>
      </c>
      <c r="AU192" s="3" t="s">
        <v>81</v>
      </c>
      <c r="AV192" s="3" t="s">
        <v>81</v>
      </c>
      <c r="AW192" s="3" t="s">
        <v>81</v>
      </c>
      <c r="AX192" s="3">
        <v>34.481999999999999</v>
      </c>
      <c r="AY192" s="3">
        <v>0</v>
      </c>
      <c r="AZ192" s="3" t="s">
        <v>81</v>
      </c>
      <c r="BA192" s="3" t="s">
        <v>81</v>
      </c>
      <c r="BB192" s="3" t="s">
        <v>81</v>
      </c>
      <c r="BC192" s="3" t="s">
        <v>81</v>
      </c>
      <c r="BD192" s="3" t="s">
        <v>81</v>
      </c>
      <c r="BE192" s="3" t="s">
        <v>81</v>
      </c>
      <c r="BF192" s="3" t="s">
        <v>81</v>
      </c>
      <c r="BG192" s="3" t="s">
        <v>81</v>
      </c>
      <c r="BH192" s="3" t="s">
        <v>81</v>
      </c>
      <c r="BI192" s="3" t="s">
        <v>84</v>
      </c>
      <c r="BJ192" s="3" t="s">
        <v>84</v>
      </c>
      <c r="BK192" s="3" t="s">
        <v>84</v>
      </c>
      <c r="BL192" s="3" t="s">
        <v>82</v>
      </c>
      <c r="BM192" s="3" t="s">
        <v>83</v>
      </c>
      <c r="BN192" s="3" t="s">
        <v>84</v>
      </c>
      <c r="BO192" s="3" t="s">
        <v>83</v>
      </c>
      <c r="BP192" s="3" t="s">
        <v>81</v>
      </c>
      <c r="BQ192" s="3" t="s">
        <v>81</v>
      </c>
      <c r="BR192" s="3" t="s">
        <v>81</v>
      </c>
      <c r="BS192" s="3" t="s">
        <v>81</v>
      </c>
      <c r="BT192" s="3" t="s">
        <v>81</v>
      </c>
      <c r="BU192" s="3" t="s">
        <v>81</v>
      </c>
      <c r="BV192" s="3" t="s">
        <v>83</v>
      </c>
      <c r="BW192" s="3" t="s">
        <v>83</v>
      </c>
      <c r="BX192" s="3" t="s">
        <v>83</v>
      </c>
      <c r="BY192" s="3" t="s">
        <v>491</v>
      </c>
      <c r="BZ192" s="3" t="s">
        <v>123</v>
      </c>
      <c r="CB192" s="3" t="s">
        <v>84</v>
      </c>
      <c r="CD192">
        <v>5</v>
      </c>
      <c r="CF192" s="18"/>
      <c r="CG192" s="18"/>
      <c r="CH192" s="18"/>
      <c r="CI192" s="17"/>
    </row>
    <row r="193" spans="1:87" ht="15.75" customHeight="1" x14ac:dyDescent="0.15">
      <c r="A193" s="9">
        <v>1228215758</v>
      </c>
      <c r="B193" s="9" t="s">
        <v>494</v>
      </c>
      <c r="C193" s="9" t="s">
        <v>494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Z193" s="3"/>
      <c r="CB193" s="3" t="s">
        <v>84</v>
      </c>
      <c r="CD193" s="9">
        <v>36</v>
      </c>
      <c r="CF193" s="18"/>
      <c r="CG193" s="18"/>
      <c r="CH193" s="18"/>
      <c r="CI193" s="18"/>
    </row>
    <row r="194" spans="1:87" ht="15.75" customHeight="1" x14ac:dyDescent="0.15">
      <c r="A194" s="3">
        <v>2643373740</v>
      </c>
      <c r="B194" s="3" t="s">
        <v>494</v>
      </c>
      <c r="C194" s="3" t="s">
        <v>494</v>
      </c>
      <c r="D194" s="3" t="s">
        <v>81</v>
      </c>
      <c r="E194" s="3">
        <v>24</v>
      </c>
      <c r="F194" s="3">
        <v>41.311</v>
      </c>
      <c r="G194" s="3">
        <v>2</v>
      </c>
      <c r="H194" s="3">
        <v>27.071000000000002</v>
      </c>
      <c r="I194" s="3">
        <v>29.541</v>
      </c>
      <c r="J194" s="3">
        <v>13.545</v>
      </c>
      <c r="K194" s="3">
        <v>23.818999999999999</v>
      </c>
      <c r="L194" s="3">
        <v>0.50700000000000001</v>
      </c>
      <c r="M194" s="3" t="s">
        <v>81</v>
      </c>
      <c r="N194" s="3" t="s">
        <v>81</v>
      </c>
      <c r="O194" s="3" t="s">
        <v>81</v>
      </c>
      <c r="P194" s="3" t="s">
        <v>81</v>
      </c>
      <c r="Q194" s="3">
        <v>44.314999999999998</v>
      </c>
      <c r="R194" s="3">
        <v>2</v>
      </c>
      <c r="S194" s="3">
        <v>28.879000000000001</v>
      </c>
      <c r="T194" s="3">
        <v>32.557000000000002</v>
      </c>
      <c r="U194" s="3">
        <v>14.066000000000001</v>
      </c>
      <c r="V194" s="3">
        <v>27.443999999999999</v>
      </c>
      <c r="W194" s="3">
        <v>0.438</v>
      </c>
      <c r="X194" s="3" t="s">
        <v>81</v>
      </c>
      <c r="Y194" s="3" t="s">
        <v>81</v>
      </c>
      <c r="Z194" s="3" t="s">
        <v>81</v>
      </c>
      <c r="AA194" s="3" t="s">
        <v>81</v>
      </c>
      <c r="AB194" s="3">
        <v>48.305999999999997</v>
      </c>
      <c r="AC194" s="3">
        <v>2</v>
      </c>
      <c r="AD194" s="3">
        <v>36.743000000000002</v>
      </c>
      <c r="AE194" s="3">
        <v>27.329000000000001</v>
      </c>
      <c r="AF194" s="3">
        <v>11.977</v>
      </c>
      <c r="AG194" s="3">
        <v>19.343</v>
      </c>
      <c r="AH194" s="3">
        <v>0.44800000000000001</v>
      </c>
      <c r="AI194" s="3" t="s">
        <v>81</v>
      </c>
      <c r="AJ194" s="3" t="s">
        <v>81</v>
      </c>
      <c r="AK194" s="3" t="s">
        <v>81</v>
      </c>
      <c r="AL194" s="3" t="s">
        <v>81</v>
      </c>
      <c r="AM194" s="3">
        <v>53.311</v>
      </c>
      <c r="AN194" s="3">
        <v>2</v>
      </c>
      <c r="AO194" s="3">
        <v>40.344000000000001</v>
      </c>
      <c r="AP194" s="3">
        <v>30.709</v>
      </c>
      <c r="AQ194" s="3">
        <v>12.255000000000001</v>
      </c>
      <c r="AR194" s="3">
        <v>23.791</v>
      </c>
      <c r="AS194" s="3">
        <v>0.46300000000000002</v>
      </c>
      <c r="AT194" s="3" t="s">
        <v>81</v>
      </c>
      <c r="AU194" s="3" t="s">
        <v>81</v>
      </c>
      <c r="AV194" s="3" t="s">
        <v>81</v>
      </c>
      <c r="AW194" s="3" t="s">
        <v>81</v>
      </c>
      <c r="AX194" s="3">
        <v>52.892000000000003</v>
      </c>
      <c r="AY194" s="3">
        <v>2</v>
      </c>
      <c r="AZ194" s="3">
        <v>39.908000000000001</v>
      </c>
      <c r="BA194" s="3">
        <v>19.908999999999999</v>
      </c>
      <c r="BB194" s="3">
        <v>12.99</v>
      </c>
      <c r="BC194" s="3">
        <v>25.542999999999999</v>
      </c>
      <c r="BD194" s="3">
        <v>0.30599999999999999</v>
      </c>
      <c r="BE194" s="3" t="s">
        <v>81</v>
      </c>
      <c r="BF194" s="3" t="s">
        <v>81</v>
      </c>
      <c r="BG194" s="3" t="s">
        <v>81</v>
      </c>
      <c r="BH194" s="3" t="s">
        <v>81</v>
      </c>
      <c r="BI194" s="3" t="s">
        <v>84</v>
      </c>
      <c r="BJ194" s="3" t="s">
        <v>84</v>
      </c>
      <c r="BK194" s="3" t="s">
        <v>84</v>
      </c>
      <c r="BL194" s="3" t="s">
        <v>84</v>
      </c>
      <c r="BM194" s="3" t="s">
        <v>84</v>
      </c>
      <c r="BN194" s="3" t="s">
        <v>82</v>
      </c>
      <c r="BO194" s="3" t="s">
        <v>84</v>
      </c>
      <c r="BP194" s="3" t="s">
        <v>106</v>
      </c>
      <c r="BQ194" s="3" t="s">
        <v>106</v>
      </c>
      <c r="BR194" s="3" t="s">
        <v>497</v>
      </c>
      <c r="BS194" s="3" t="s">
        <v>497</v>
      </c>
      <c r="BT194" s="3" t="s">
        <v>106</v>
      </c>
      <c r="BU194" s="3" t="s">
        <v>129</v>
      </c>
      <c r="BV194" s="3" t="s">
        <v>82</v>
      </c>
      <c r="BW194" s="3" t="s">
        <v>91</v>
      </c>
      <c r="BX194" s="3" t="s">
        <v>82</v>
      </c>
      <c r="BZ194" s="3" t="s">
        <v>86</v>
      </c>
      <c r="CB194" s="3" t="s">
        <v>84</v>
      </c>
      <c r="CD194" s="9">
        <v>46</v>
      </c>
      <c r="CF194" s="18"/>
      <c r="CG194" s="18"/>
      <c r="CH194" s="18"/>
      <c r="CI194" s="18"/>
    </row>
    <row r="195" spans="1:87" x14ac:dyDescent="0.15">
      <c r="A195" s="3">
        <v>2625851693</v>
      </c>
      <c r="B195" s="3" t="s">
        <v>494</v>
      </c>
      <c r="C195" s="3" t="s">
        <v>494</v>
      </c>
      <c r="D195" s="3" t="s">
        <v>81</v>
      </c>
      <c r="E195" s="3">
        <v>14</v>
      </c>
      <c r="F195" s="3">
        <v>60.832999999999998</v>
      </c>
      <c r="G195" s="3">
        <v>2</v>
      </c>
      <c r="H195" s="3">
        <v>25.917000000000002</v>
      </c>
      <c r="I195" s="3">
        <v>18.744</v>
      </c>
      <c r="J195" s="3">
        <v>8.5540000000000003</v>
      </c>
      <c r="K195" s="3">
        <v>19.366</v>
      </c>
      <c r="L195" s="3">
        <v>25.535</v>
      </c>
      <c r="M195" s="3" t="s">
        <v>81</v>
      </c>
      <c r="N195" s="3" t="s">
        <v>81</v>
      </c>
      <c r="O195" s="3" t="s">
        <v>81</v>
      </c>
      <c r="P195" s="3" t="s">
        <v>81</v>
      </c>
      <c r="Q195" s="3">
        <v>60.472000000000001</v>
      </c>
      <c r="R195" s="3">
        <v>2</v>
      </c>
      <c r="S195" s="3">
        <v>27.577999999999999</v>
      </c>
      <c r="T195" s="3">
        <v>17.29</v>
      </c>
      <c r="U195" s="3">
        <v>10.164999999999999</v>
      </c>
      <c r="V195" s="3">
        <v>20.436</v>
      </c>
      <c r="W195" s="3">
        <v>21.920999999999999</v>
      </c>
      <c r="X195" s="3" t="s">
        <v>81</v>
      </c>
      <c r="Y195" s="3" t="s">
        <v>81</v>
      </c>
      <c r="Z195" s="3" t="s">
        <v>81</v>
      </c>
      <c r="AA195" s="3" t="s">
        <v>81</v>
      </c>
      <c r="AB195" s="3">
        <v>58.41</v>
      </c>
      <c r="AC195" s="3">
        <v>2</v>
      </c>
      <c r="AD195" s="3">
        <v>24.363</v>
      </c>
      <c r="AE195" s="3">
        <v>17.645</v>
      </c>
      <c r="AF195" s="3">
        <v>8.67</v>
      </c>
      <c r="AG195" s="3">
        <v>19.577999999999999</v>
      </c>
      <c r="AH195" s="3">
        <v>24.242999999999999</v>
      </c>
      <c r="AI195" s="3" t="s">
        <v>81</v>
      </c>
      <c r="AJ195" s="3" t="s">
        <v>81</v>
      </c>
      <c r="AK195" s="3" t="s">
        <v>81</v>
      </c>
      <c r="AL195" s="3" t="s">
        <v>81</v>
      </c>
      <c r="AM195" s="3">
        <v>56.158999999999999</v>
      </c>
      <c r="AN195" s="3">
        <v>2</v>
      </c>
      <c r="AO195" s="3">
        <v>28.585999999999999</v>
      </c>
      <c r="AP195" s="3">
        <v>23.81</v>
      </c>
      <c r="AQ195" s="3">
        <v>13.862</v>
      </c>
      <c r="AR195" s="3">
        <v>14.746</v>
      </c>
      <c r="AS195" s="3">
        <v>19.004000000000001</v>
      </c>
      <c r="AT195" s="3" t="s">
        <v>81</v>
      </c>
      <c r="AU195" s="3" t="s">
        <v>81</v>
      </c>
      <c r="AV195" s="3" t="s">
        <v>81</v>
      </c>
      <c r="AW195" s="3" t="s">
        <v>81</v>
      </c>
      <c r="AX195" s="3">
        <v>65.563999999999993</v>
      </c>
      <c r="AY195" s="3">
        <v>2</v>
      </c>
      <c r="AZ195" s="3">
        <v>33.764000000000003</v>
      </c>
      <c r="BA195" s="3">
        <v>18.096</v>
      </c>
      <c r="BB195" s="3">
        <v>8.5299999999999994</v>
      </c>
      <c r="BC195" s="3">
        <v>18.212</v>
      </c>
      <c r="BD195" s="3">
        <v>22.835000000000001</v>
      </c>
      <c r="BE195" s="3" t="s">
        <v>81</v>
      </c>
      <c r="BF195" s="3" t="s">
        <v>81</v>
      </c>
      <c r="BG195" s="3" t="s">
        <v>81</v>
      </c>
      <c r="BH195" s="3" t="s">
        <v>81</v>
      </c>
      <c r="BI195" s="3" t="s">
        <v>84</v>
      </c>
      <c r="BJ195" s="3" t="s">
        <v>84</v>
      </c>
      <c r="BK195" s="3" t="s">
        <v>84</v>
      </c>
      <c r="BL195" s="3" t="s">
        <v>82</v>
      </c>
      <c r="BM195" s="3" t="s">
        <v>83</v>
      </c>
      <c r="BN195" s="3" t="s">
        <v>82</v>
      </c>
      <c r="BO195" s="3" t="s">
        <v>83</v>
      </c>
      <c r="BP195" s="3" t="s">
        <v>498</v>
      </c>
      <c r="BQ195" s="3" t="s">
        <v>498</v>
      </c>
      <c r="BR195" s="3" t="s">
        <v>498</v>
      </c>
      <c r="BS195" s="3" t="s">
        <v>498</v>
      </c>
      <c r="BT195" s="3" t="s">
        <v>87</v>
      </c>
      <c r="BU195" s="3" t="s">
        <v>129</v>
      </c>
      <c r="BV195" s="3" t="s">
        <v>84</v>
      </c>
      <c r="BW195" s="3" t="s">
        <v>83</v>
      </c>
      <c r="BX195" s="3" t="s">
        <v>82</v>
      </c>
      <c r="BY195" s="3" t="s">
        <v>499</v>
      </c>
      <c r="BZ195" s="3" t="s">
        <v>86</v>
      </c>
      <c r="CB195" s="3" t="s">
        <v>84</v>
      </c>
      <c r="CD195" s="9">
        <v>32</v>
      </c>
      <c r="CF195" s="18"/>
      <c r="CG195" s="18"/>
      <c r="CH195" s="18"/>
      <c r="CI195" s="18"/>
    </row>
    <row r="196" spans="1:87" ht="15.75" customHeight="1" x14ac:dyDescent="0.15">
      <c r="A196" s="3">
        <v>2625833384</v>
      </c>
      <c r="B196" s="3" t="s">
        <v>500</v>
      </c>
      <c r="C196" s="3" t="s">
        <v>501</v>
      </c>
      <c r="D196" s="3">
        <v>4</v>
      </c>
      <c r="E196" s="3">
        <v>4</v>
      </c>
      <c r="F196" s="3">
        <v>35.968000000000004</v>
      </c>
      <c r="G196" s="3">
        <v>0</v>
      </c>
      <c r="H196" s="3" t="s">
        <v>81</v>
      </c>
      <c r="I196" s="3" t="s">
        <v>81</v>
      </c>
      <c r="J196" s="3" t="s">
        <v>81</v>
      </c>
      <c r="K196" s="3" t="s">
        <v>81</v>
      </c>
      <c r="L196" s="3" t="s">
        <v>81</v>
      </c>
      <c r="M196" s="3" t="s">
        <v>81</v>
      </c>
      <c r="N196" s="3" t="s">
        <v>81</v>
      </c>
      <c r="O196" s="3" t="s">
        <v>81</v>
      </c>
      <c r="P196" s="3" t="s">
        <v>81</v>
      </c>
      <c r="Q196" s="3">
        <v>35.887999999999998</v>
      </c>
      <c r="R196" s="3">
        <v>0</v>
      </c>
      <c r="S196" s="3" t="s">
        <v>81</v>
      </c>
      <c r="T196" s="3" t="s">
        <v>81</v>
      </c>
      <c r="U196" s="3" t="s">
        <v>81</v>
      </c>
      <c r="V196" s="3" t="s">
        <v>81</v>
      </c>
      <c r="W196" s="3" t="s">
        <v>81</v>
      </c>
      <c r="X196" s="3" t="s">
        <v>81</v>
      </c>
      <c r="Y196" s="3" t="s">
        <v>81</v>
      </c>
      <c r="Z196" s="3" t="s">
        <v>81</v>
      </c>
      <c r="AA196" s="3" t="s">
        <v>81</v>
      </c>
      <c r="AB196" s="3">
        <v>35.781999999999996</v>
      </c>
      <c r="AC196" s="3">
        <v>0</v>
      </c>
      <c r="AD196" s="3" t="s">
        <v>81</v>
      </c>
      <c r="AE196" s="3" t="s">
        <v>81</v>
      </c>
      <c r="AF196" s="3" t="s">
        <v>81</v>
      </c>
      <c r="AG196" s="3" t="s">
        <v>81</v>
      </c>
      <c r="AH196" s="3" t="s">
        <v>81</v>
      </c>
      <c r="AI196" s="3" t="s">
        <v>81</v>
      </c>
      <c r="AJ196" s="3" t="s">
        <v>81</v>
      </c>
      <c r="AK196" s="3" t="s">
        <v>81</v>
      </c>
      <c r="AL196" s="3" t="s">
        <v>81</v>
      </c>
      <c r="AM196" s="3">
        <v>34.494</v>
      </c>
      <c r="AN196" s="3">
        <v>0</v>
      </c>
      <c r="AO196" s="3" t="s">
        <v>81</v>
      </c>
      <c r="AP196" s="3" t="s">
        <v>81</v>
      </c>
      <c r="AQ196" s="3" t="s">
        <v>81</v>
      </c>
      <c r="AR196" s="3" t="s">
        <v>81</v>
      </c>
      <c r="AS196" s="3" t="s">
        <v>81</v>
      </c>
      <c r="AT196" s="3" t="s">
        <v>81</v>
      </c>
      <c r="AU196" s="3" t="s">
        <v>81</v>
      </c>
      <c r="AV196" s="3" t="s">
        <v>81</v>
      </c>
      <c r="AW196" s="3" t="s">
        <v>81</v>
      </c>
      <c r="AX196" s="3" t="s">
        <v>81</v>
      </c>
      <c r="AY196" s="3" t="s">
        <v>81</v>
      </c>
      <c r="AZ196" s="3" t="s">
        <v>81</v>
      </c>
      <c r="BA196" s="3" t="s">
        <v>81</v>
      </c>
      <c r="BB196" s="3" t="s">
        <v>81</v>
      </c>
      <c r="BC196" s="3" t="s">
        <v>81</v>
      </c>
      <c r="BD196" s="3" t="s">
        <v>81</v>
      </c>
      <c r="BE196" s="3" t="s">
        <v>81</v>
      </c>
      <c r="BF196" s="3" t="s">
        <v>81</v>
      </c>
      <c r="BG196" s="3" t="s">
        <v>81</v>
      </c>
      <c r="BH196" s="3" t="s">
        <v>81</v>
      </c>
      <c r="BI196" s="3" t="s">
        <v>82</v>
      </c>
      <c r="BJ196" s="3" t="s">
        <v>84</v>
      </c>
      <c r="BK196" s="3" t="s">
        <v>84</v>
      </c>
      <c r="BL196" s="3" t="s">
        <v>84</v>
      </c>
      <c r="BM196" s="3" t="s">
        <v>84</v>
      </c>
      <c r="BN196" s="3" t="s">
        <v>82</v>
      </c>
      <c r="BO196" s="3" t="s">
        <v>82</v>
      </c>
      <c r="BP196" s="3" t="s">
        <v>137</v>
      </c>
      <c r="BQ196" s="3" t="s">
        <v>137</v>
      </c>
      <c r="BR196" s="3" t="s">
        <v>137</v>
      </c>
      <c r="BS196" s="3" t="s">
        <v>137</v>
      </c>
      <c r="BT196" s="3" t="s">
        <v>106</v>
      </c>
      <c r="BU196" s="3" t="s">
        <v>81</v>
      </c>
      <c r="BV196" s="3" t="s">
        <v>84</v>
      </c>
      <c r="BW196" s="3" t="s">
        <v>83</v>
      </c>
      <c r="BX196" s="3" t="s">
        <v>82</v>
      </c>
      <c r="BZ196" s="3" t="s">
        <v>86</v>
      </c>
      <c r="CB196" s="3" t="s">
        <v>84</v>
      </c>
      <c r="CD196" s="9">
        <v>4</v>
      </c>
      <c r="CF196" s="18"/>
      <c r="CG196" s="18"/>
      <c r="CH196" s="18"/>
      <c r="CI196" s="18"/>
    </row>
    <row r="197" spans="1:87" ht="15.75" customHeight="1" x14ac:dyDescent="0.15">
      <c r="A197" s="3">
        <v>1228304147</v>
      </c>
      <c r="B197" s="3" t="s">
        <v>501</v>
      </c>
      <c r="C197" s="3" t="s">
        <v>501</v>
      </c>
      <c r="D197" s="3">
        <v>28</v>
      </c>
      <c r="E197" s="3">
        <v>47</v>
      </c>
      <c r="F197" s="3">
        <v>47.362000000000002</v>
      </c>
      <c r="G197" s="3">
        <v>0</v>
      </c>
      <c r="H197" s="3" t="s">
        <v>81</v>
      </c>
      <c r="I197" s="3" t="s">
        <v>81</v>
      </c>
      <c r="J197" s="3" t="s">
        <v>81</v>
      </c>
      <c r="K197" s="3" t="s">
        <v>81</v>
      </c>
      <c r="L197" s="3" t="s">
        <v>81</v>
      </c>
      <c r="M197" s="3" t="s">
        <v>81</v>
      </c>
      <c r="N197" s="3" t="s">
        <v>81</v>
      </c>
      <c r="O197" s="3" t="s">
        <v>81</v>
      </c>
      <c r="P197" s="3" t="s">
        <v>81</v>
      </c>
      <c r="Q197" s="3">
        <v>47.878999999999998</v>
      </c>
      <c r="R197" s="3">
        <v>0</v>
      </c>
      <c r="S197" s="3" t="s">
        <v>81</v>
      </c>
      <c r="T197" s="3" t="s">
        <v>81</v>
      </c>
      <c r="U197" s="3" t="s">
        <v>81</v>
      </c>
      <c r="V197" s="3" t="s">
        <v>81</v>
      </c>
      <c r="W197" s="3" t="s">
        <v>81</v>
      </c>
      <c r="X197" s="3" t="s">
        <v>81</v>
      </c>
      <c r="Y197" s="3" t="s">
        <v>81</v>
      </c>
      <c r="Z197" s="3" t="s">
        <v>81</v>
      </c>
      <c r="AA197" s="3" t="s">
        <v>81</v>
      </c>
      <c r="AB197" s="3">
        <v>48.372999999999998</v>
      </c>
      <c r="AC197" s="3">
        <v>0</v>
      </c>
      <c r="AD197" s="3" t="s">
        <v>81</v>
      </c>
      <c r="AE197" s="3" t="s">
        <v>81</v>
      </c>
      <c r="AF197" s="3" t="s">
        <v>81</v>
      </c>
      <c r="AG197" s="3" t="s">
        <v>81</v>
      </c>
      <c r="AH197" s="3" t="s">
        <v>81</v>
      </c>
      <c r="AI197" s="3" t="s">
        <v>81</v>
      </c>
      <c r="AJ197" s="3" t="s">
        <v>81</v>
      </c>
      <c r="AK197" s="3" t="s">
        <v>81</v>
      </c>
      <c r="AL197" s="3" t="s">
        <v>81</v>
      </c>
      <c r="AM197" s="3">
        <v>40.692</v>
      </c>
      <c r="AN197" s="3">
        <v>0</v>
      </c>
      <c r="AO197" s="3" t="s">
        <v>81</v>
      </c>
      <c r="AP197" s="3" t="s">
        <v>81</v>
      </c>
      <c r="AQ197" s="3" t="s">
        <v>81</v>
      </c>
      <c r="AR197" s="3" t="s">
        <v>81</v>
      </c>
      <c r="AS197" s="3" t="s">
        <v>81</v>
      </c>
      <c r="AT197" s="3" t="s">
        <v>81</v>
      </c>
      <c r="AU197" s="3" t="s">
        <v>81</v>
      </c>
      <c r="AV197" s="3" t="s">
        <v>81</v>
      </c>
      <c r="AW197" s="3" t="s">
        <v>81</v>
      </c>
      <c r="AX197" s="3">
        <v>34.918999999999997</v>
      </c>
      <c r="AY197" s="3">
        <v>0</v>
      </c>
      <c r="AZ197" s="3" t="s">
        <v>81</v>
      </c>
      <c r="BA197" s="3" t="s">
        <v>81</v>
      </c>
      <c r="BB197" s="3" t="s">
        <v>81</v>
      </c>
      <c r="BC197" s="3" t="s">
        <v>81</v>
      </c>
      <c r="BD197" s="3" t="s">
        <v>81</v>
      </c>
      <c r="BE197" s="3" t="s">
        <v>81</v>
      </c>
      <c r="BF197" s="3" t="s">
        <v>81</v>
      </c>
      <c r="BG197" s="3" t="s">
        <v>81</v>
      </c>
      <c r="BH197" s="3" t="s">
        <v>81</v>
      </c>
      <c r="BI197" s="3" t="s">
        <v>82</v>
      </c>
      <c r="BJ197" s="3" t="s">
        <v>82</v>
      </c>
      <c r="BK197" s="3" t="s">
        <v>83</v>
      </c>
      <c r="BL197" s="3" t="s">
        <v>84</v>
      </c>
      <c r="BM197" s="3" t="s">
        <v>84</v>
      </c>
      <c r="BN197" s="3" t="s">
        <v>84</v>
      </c>
      <c r="BO197" s="3" t="s">
        <v>84</v>
      </c>
      <c r="BP197" s="3" t="s">
        <v>87</v>
      </c>
      <c r="BQ197" s="3" t="s">
        <v>87</v>
      </c>
      <c r="BR197" s="3" t="s">
        <v>87</v>
      </c>
      <c r="BS197" s="3" t="s">
        <v>87</v>
      </c>
      <c r="BT197" s="3" t="s">
        <v>87</v>
      </c>
      <c r="BU197" s="3" t="s">
        <v>81</v>
      </c>
      <c r="BV197" s="3" t="s">
        <v>82</v>
      </c>
      <c r="BW197" s="3" t="s">
        <v>111</v>
      </c>
      <c r="BX197" s="3" t="s">
        <v>82</v>
      </c>
      <c r="BY197" s="3" t="s">
        <v>502</v>
      </c>
      <c r="BZ197" s="3" t="s">
        <v>93</v>
      </c>
      <c r="CB197" s="3" t="s">
        <v>84</v>
      </c>
      <c r="CF197" s="18"/>
      <c r="CG197" s="18"/>
      <c r="CH197" s="18"/>
      <c r="CI197" s="18"/>
    </row>
    <row r="198" spans="1:87" ht="15.75" customHeight="1" x14ac:dyDescent="0.15">
      <c r="A198" s="3">
        <v>1228174454</v>
      </c>
      <c r="B198" s="3" t="s">
        <v>501</v>
      </c>
      <c r="C198" s="3" t="s">
        <v>501</v>
      </c>
      <c r="D198" s="3">
        <v>12</v>
      </c>
      <c r="E198" s="3">
        <v>15</v>
      </c>
      <c r="F198" s="3">
        <v>12.78</v>
      </c>
      <c r="G198" s="3">
        <v>0</v>
      </c>
      <c r="H198" s="3" t="s">
        <v>81</v>
      </c>
      <c r="I198" s="3" t="s">
        <v>81</v>
      </c>
      <c r="J198" s="3" t="s">
        <v>81</v>
      </c>
      <c r="K198" s="3" t="s">
        <v>81</v>
      </c>
      <c r="L198" s="3" t="s">
        <v>81</v>
      </c>
      <c r="M198" s="3" t="s">
        <v>81</v>
      </c>
      <c r="N198" s="3" t="s">
        <v>81</v>
      </c>
      <c r="O198" s="3" t="s">
        <v>81</v>
      </c>
      <c r="P198" s="3" t="s">
        <v>81</v>
      </c>
      <c r="Q198" s="3">
        <v>12.875</v>
      </c>
      <c r="R198" s="3">
        <v>0</v>
      </c>
      <c r="S198" s="3" t="s">
        <v>81</v>
      </c>
      <c r="T198" s="3" t="s">
        <v>81</v>
      </c>
      <c r="U198" s="3" t="s">
        <v>81</v>
      </c>
      <c r="V198" s="3" t="s">
        <v>81</v>
      </c>
      <c r="W198" s="3" t="s">
        <v>81</v>
      </c>
      <c r="X198" s="3" t="s">
        <v>81</v>
      </c>
      <c r="Y198" s="3" t="s">
        <v>81</v>
      </c>
      <c r="Z198" s="3" t="s">
        <v>81</v>
      </c>
      <c r="AA198" s="3" t="s">
        <v>81</v>
      </c>
      <c r="AB198" s="3">
        <v>15.823</v>
      </c>
      <c r="AC198" s="3">
        <v>0</v>
      </c>
      <c r="AD198" s="3" t="s">
        <v>81</v>
      </c>
      <c r="AE198" s="3" t="s">
        <v>81</v>
      </c>
      <c r="AF198" s="3" t="s">
        <v>81</v>
      </c>
      <c r="AG198" s="3" t="s">
        <v>81</v>
      </c>
      <c r="AH198" s="3" t="s">
        <v>81</v>
      </c>
      <c r="AI198" s="3" t="s">
        <v>81</v>
      </c>
      <c r="AJ198" s="3" t="s">
        <v>81</v>
      </c>
      <c r="AK198" s="3" t="s">
        <v>81</v>
      </c>
      <c r="AL198" s="3" t="s">
        <v>81</v>
      </c>
      <c r="AM198" s="3">
        <v>13.012</v>
      </c>
      <c r="AN198" s="3">
        <v>0</v>
      </c>
      <c r="AO198" s="3" t="s">
        <v>81</v>
      </c>
      <c r="AP198" s="3" t="s">
        <v>81</v>
      </c>
      <c r="AQ198" s="3" t="s">
        <v>81</v>
      </c>
      <c r="AR198" s="3" t="s">
        <v>81</v>
      </c>
      <c r="AS198" s="3" t="s">
        <v>81</v>
      </c>
      <c r="AT198" s="3" t="s">
        <v>81</v>
      </c>
      <c r="AU198" s="3" t="s">
        <v>81</v>
      </c>
      <c r="AV198" s="3" t="s">
        <v>81</v>
      </c>
      <c r="AW198" s="3" t="s">
        <v>81</v>
      </c>
      <c r="AX198" s="3">
        <v>13.135999999999999</v>
      </c>
      <c r="AY198" s="3">
        <v>0</v>
      </c>
      <c r="AZ198" s="3" t="s">
        <v>81</v>
      </c>
      <c r="BA198" s="3" t="s">
        <v>81</v>
      </c>
      <c r="BB198" s="3" t="s">
        <v>81</v>
      </c>
      <c r="BC198" s="3" t="s">
        <v>81</v>
      </c>
      <c r="BD198" s="3" t="s">
        <v>81</v>
      </c>
      <c r="BE198" s="3" t="s">
        <v>81</v>
      </c>
      <c r="BF198" s="3" t="s">
        <v>81</v>
      </c>
      <c r="BG198" s="3" t="s">
        <v>81</v>
      </c>
      <c r="BH198" s="3" t="s">
        <v>81</v>
      </c>
      <c r="BI198" s="3" t="s">
        <v>82</v>
      </c>
      <c r="BJ198" s="3" t="s">
        <v>82</v>
      </c>
      <c r="BK198" s="3" t="s">
        <v>83</v>
      </c>
      <c r="BL198" s="3" t="s">
        <v>84</v>
      </c>
      <c r="BM198" s="3" t="s">
        <v>84</v>
      </c>
      <c r="BN198" s="3" t="s">
        <v>82</v>
      </c>
      <c r="BO198" s="3" t="s">
        <v>84</v>
      </c>
      <c r="BP198" s="3" t="s">
        <v>106</v>
      </c>
      <c r="BQ198" s="3" t="s">
        <v>106</v>
      </c>
      <c r="BR198" s="3" t="s">
        <v>106</v>
      </c>
      <c r="BS198" s="3" t="s">
        <v>106</v>
      </c>
      <c r="BT198" s="3" t="s">
        <v>106</v>
      </c>
      <c r="BU198" s="3" t="s">
        <v>81</v>
      </c>
      <c r="BV198" s="3" t="s">
        <v>84</v>
      </c>
      <c r="BW198" s="3" t="s">
        <v>83</v>
      </c>
      <c r="BX198" s="3" t="s">
        <v>82</v>
      </c>
      <c r="BY198" s="3" t="s">
        <v>503</v>
      </c>
      <c r="BZ198" s="3" t="s">
        <v>93</v>
      </c>
      <c r="CB198" s="3" t="s">
        <v>84</v>
      </c>
      <c r="CF198" s="18"/>
      <c r="CG198" s="18"/>
      <c r="CH198" s="18"/>
      <c r="CI198" s="18"/>
    </row>
    <row r="199" spans="1:87" ht="15.75" customHeight="1" x14ac:dyDescent="0.15">
      <c r="A199" s="3">
        <v>1228244905</v>
      </c>
      <c r="B199" s="3" t="s">
        <v>505</v>
      </c>
      <c r="C199" s="3" t="s">
        <v>505</v>
      </c>
      <c r="D199" s="3">
        <v>3</v>
      </c>
      <c r="E199" s="3">
        <v>2</v>
      </c>
      <c r="F199" s="3">
        <v>142.38300000000001</v>
      </c>
      <c r="G199" s="3">
        <v>1</v>
      </c>
      <c r="H199" s="3">
        <v>76.106999999999999</v>
      </c>
      <c r="I199" s="3" t="s">
        <v>81</v>
      </c>
      <c r="J199" s="3">
        <v>40.301000000000002</v>
      </c>
      <c r="K199" s="3">
        <v>23.591000000000001</v>
      </c>
      <c r="L199" s="3" t="s">
        <v>81</v>
      </c>
      <c r="M199" s="3" t="s">
        <v>81</v>
      </c>
      <c r="N199" s="3" t="s">
        <v>81</v>
      </c>
      <c r="O199" s="3" t="s">
        <v>81</v>
      </c>
      <c r="P199" s="3" t="s">
        <v>81</v>
      </c>
      <c r="Q199" s="3" t="s">
        <v>81</v>
      </c>
      <c r="R199" s="3">
        <v>1</v>
      </c>
      <c r="S199" s="3">
        <v>85.141000000000005</v>
      </c>
      <c r="T199" s="3">
        <v>28.085000000000001</v>
      </c>
      <c r="U199" s="3">
        <v>44.287999999999997</v>
      </c>
      <c r="V199" s="3" t="s">
        <v>81</v>
      </c>
      <c r="W199" s="3" t="s">
        <v>81</v>
      </c>
      <c r="X199" s="3" t="s">
        <v>81</v>
      </c>
      <c r="Y199" s="3" t="s">
        <v>81</v>
      </c>
      <c r="Z199" s="3" t="s">
        <v>81</v>
      </c>
      <c r="AA199" s="3" t="s">
        <v>81</v>
      </c>
      <c r="AB199" s="3" t="s">
        <v>81</v>
      </c>
      <c r="AC199" s="3" t="s">
        <v>81</v>
      </c>
      <c r="AD199" s="3" t="s">
        <v>81</v>
      </c>
      <c r="AE199" s="3" t="s">
        <v>81</v>
      </c>
      <c r="AF199" s="3" t="s">
        <v>81</v>
      </c>
      <c r="AG199" s="3" t="s">
        <v>81</v>
      </c>
      <c r="AH199" s="3" t="s">
        <v>81</v>
      </c>
      <c r="AI199" s="3" t="s">
        <v>81</v>
      </c>
      <c r="AJ199" s="3" t="s">
        <v>81</v>
      </c>
      <c r="AK199" s="3" t="s">
        <v>81</v>
      </c>
      <c r="AL199" s="3" t="s">
        <v>81</v>
      </c>
      <c r="AM199" s="3" t="s">
        <v>81</v>
      </c>
      <c r="AN199" s="3" t="s">
        <v>81</v>
      </c>
      <c r="AO199" s="3" t="s">
        <v>81</v>
      </c>
      <c r="AP199" s="3" t="s">
        <v>81</v>
      </c>
      <c r="AQ199" s="3" t="s">
        <v>81</v>
      </c>
      <c r="AR199" s="3" t="s">
        <v>81</v>
      </c>
      <c r="AS199" s="3" t="s">
        <v>81</v>
      </c>
      <c r="AT199" s="3" t="s">
        <v>81</v>
      </c>
      <c r="AU199" s="3" t="s">
        <v>81</v>
      </c>
      <c r="AV199" s="3" t="s">
        <v>81</v>
      </c>
      <c r="AW199" s="3" t="s">
        <v>81</v>
      </c>
      <c r="AX199" s="3" t="s">
        <v>81</v>
      </c>
      <c r="AY199" s="3" t="s">
        <v>81</v>
      </c>
      <c r="AZ199" s="3" t="s">
        <v>81</v>
      </c>
      <c r="BA199" s="3" t="s">
        <v>81</v>
      </c>
      <c r="BB199" s="3" t="s">
        <v>81</v>
      </c>
      <c r="BC199" s="3" t="s">
        <v>81</v>
      </c>
      <c r="BD199" s="3" t="s">
        <v>81</v>
      </c>
      <c r="BE199" s="3" t="s">
        <v>81</v>
      </c>
      <c r="BF199" s="3" t="s">
        <v>81</v>
      </c>
      <c r="BG199" s="3" t="s">
        <v>81</v>
      </c>
      <c r="BH199" s="3" t="s">
        <v>81</v>
      </c>
      <c r="BI199" s="3" t="s">
        <v>84</v>
      </c>
      <c r="BJ199" s="3" t="s">
        <v>84</v>
      </c>
      <c r="BK199" s="3" t="s">
        <v>82</v>
      </c>
      <c r="BL199" s="3" t="s">
        <v>84</v>
      </c>
      <c r="BM199" s="3" t="s">
        <v>84</v>
      </c>
      <c r="BN199" s="3" t="s">
        <v>82</v>
      </c>
      <c r="BO199" s="3" t="s">
        <v>84</v>
      </c>
      <c r="BP199" s="3" t="s">
        <v>106</v>
      </c>
      <c r="BQ199" s="3" t="s">
        <v>106</v>
      </c>
      <c r="BR199" s="3" t="s">
        <v>106</v>
      </c>
      <c r="BS199" s="3" t="s">
        <v>106</v>
      </c>
      <c r="BT199" s="3" t="s">
        <v>106</v>
      </c>
      <c r="BU199" s="3" t="s">
        <v>81</v>
      </c>
      <c r="BV199" s="3" t="s">
        <v>84</v>
      </c>
      <c r="BW199" s="3" t="s">
        <v>83</v>
      </c>
      <c r="BX199" s="3" t="s">
        <v>82</v>
      </c>
      <c r="BY199" s="3" t="s">
        <v>506</v>
      </c>
      <c r="BZ199" s="3" t="s">
        <v>93</v>
      </c>
      <c r="CA199" s="3"/>
      <c r="CB199" s="3" t="s">
        <v>84</v>
      </c>
      <c r="CC199" s="3"/>
      <c r="CD199" s="9">
        <v>4</v>
      </c>
      <c r="CE199" s="9">
        <v>3</v>
      </c>
      <c r="CF199" s="19">
        <v>3</v>
      </c>
      <c r="CG199" s="17"/>
      <c r="CH199" s="17"/>
      <c r="CI199" s="18"/>
    </row>
    <row r="200" spans="1:87" ht="15.75" customHeight="1" x14ac:dyDescent="0.15">
      <c r="A200" s="3">
        <v>1228497868</v>
      </c>
      <c r="B200" s="3" t="s">
        <v>505</v>
      </c>
      <c r="C200" s="3" t="s">
        <v>505</v>
      </c>
      <c r="D200" s="3">
        <v>3</v>
      </c>
      <c r="E200" s="3">
        <v>5</v>
      </c>
      <c r="F200" s="3">
        <v>125.179</v>
      </c>
      <c r="G200" s="3">
        <v>2</v>
      </c>
      <c r="H200" s="3">
        <v>70.953999999999994</v>
      </c>
      <c r="I200" s="3">
        <v>20.178000000000001</v>
      </c>
      <c r="J200" s="3">
        <v>39.213999999999999</v>
      </c>
      <c r="K200" s="3">
        <v>15.39</v>
      </c>
      <c r="L200" s="3" t="s">
        <v>81</v>
      </c>
      <c r="M200" s="3" t="s">
        <v>81</v>
      </c>
      <c r="N200" s="3" t="s">
        <v>81</v>
      </c>
      <c r="O200" s="3" t="s">
        <v>81</v>
      </c>
      <c r="P200" s="3" t="s">
        <v>81</v>
      </c>
      <c r="Q200" s="3" t="s">
        <v>81</v>
      </c>
      <c r="R200" s="3">
        <v>2</v>
      </c>
      <c r="S200" s="3">
        <v>72.394000000000005</v>
      </c>
      <c r="T200" s="3">
        <v>26.027999999999999</v>
      </c>
      <c r="U200" s="3">
        <v>37.198</v>
      </c>
      <c r="V200" s="3" t="s">
        <v>81</v>
      </c>
      <c r="W200" s="3" t="s">
        <v>81</v>
      </c>
      <c r="X200" s="3" t="s">
        <v>81</v>
      </c>
      <c r="Y200" s="3" t="s">
        <v>81</v>
      </c>
      <c r="Z200" s="3" t="s">
        <v>81</v>
      </c>
      <c r="AA200" s="3" t="s">
        <v>81</v>
      </c>
      <c r="AB200" s="3">
        <v>106.961</v>
      </c>
      <c r="AC200" s="3">
        <v>1</v>
      </c>
      <c r="AD200" s="3">
        <v>59.719000000000001</v>
      </c>
      <c r="AE200" s="3" t="s">
        <v>81</v>
      </c>
      <c r="AF200" s="3">
        <v>46.204999999999998</v>
      </c>
      <c r="AG200" s="3" t="s">
        <v>81</v>
      </c>
      <c r="AH200" s="3" t="s">
        <v>81</v>
      </c>
      <c r="AI200" s="3" t="s">
        <v>81</v>
      </c>
      <c r="AJ200" s="3" t="s">
        <v>81</v>
      </c>
      <c r="AK200" s="3" t="s">
        <v>81</v>
      </c>
      <c r="AL200" s="3" t="s">
        <v>81</v>
      </c>
      <c r="AM200" s="3">
        <v>119.006</v>
      </c>
      <c r="AN200" s="3">
        <v>2</v>
      </c>
      <c r="AO200" s="3">
        <v>66.777000000000001</v>
      </c>
      <c r="AP200" s="3" t="s">
        <v>81</v>
      </c>
      <c r="AQ200" s="3">
        <v>41.667999999999999</v>
      </c>
      <c r="AR200" s="3">
        <v>10.858000000000001</v>
      </c>
      <c r="AS200" s="3">
        <v>7.4269999999999996</v>
      </c>
      <c r="AT200" s="3" t="s">
        <v>81</v>
      </c>
      <c r="AU200" s="3" t="s">
        <v>81</v>
      </c>
      <c r="AV200" s="3" t="s">
        <v>81</v>
      </c>
      <c r="AW200" s="3" t="s">
        <v>81</v>
      </c>
      <c r="AX200" s="3" t="s">
        <v>81</v>
      </c>
      <c r="AY200" s="3">
        <v>2</v>
      </c>
      <c r="AZ200" s="3">
        <v>58.110999999999997</v>
      </c>
      <c r="BA200" s="3">
        <v>24.312999999999999</v>
      </c>
      <c r="BB200" s="3">
        <v>40.39</v>
      </c>
      <c r="BC200" s="3" t="s">
        <v>81</v>
      </c>
      <c r="BD200" s="3" t="s">
        <v>81</v>
      </c>
      <c r="BE200" s="3" t="s">
        <v>81</v>
      </c>
      <c r="BF200" s="3" t="s">
        <v>81</v>
      </c>
      <c r="BG200" s="3" t="s">
        <v>81</v>
      </c>
      <c r="BH200" s="3" t="s">
        <v>81</v>
      </c>
      <c r="BI200" s="3" t="s">
        <v>84</v>
      </c>
      <c r="BJ200" s="3" t="s">
        <v>84</v>
      </c>
      <c r="BK200" s="3" t="s">
        <v>84</v>
      </c>
      <c r="BL200" s="3" t="s">
        <v>84</v>
      </c>
      <c r="BM200" s="3" t="s">
        <v>84</v>
      </c>
      <c r="BN200" s="3" t="s">
        <v>82</v>
      </c>
      <c r="BO200" s="3" t="s">
        <v>84</v>
      </c>
      <c r="BP200" s="3" t="s">
        <v>106</v>
      </c>
      <c r="BQ200" s="3" t="s">
        <v>106</v>
      </c>
      <c r="BR200" s="3" t="s">
        <v>106</v>
      </c>
      <c r="BS200" s="3" t="s">
        <v>106</v>
      </c>
      <c r="BT200" s="3" t="s">
        <v>106</v>
      </c>
      <c r="BU200" s="3" t="s">
        <v>81</v>
      </c>
      <c r="BV200" s="3" t="s">
        <v>84</v>
      </c>
      <c r="BW200" s="3" t="s">
        <v>83</v>
      </c>
      <c r="BX200" s="3" t="s">
        <v>82</v>
      </c>
      <c r="BY200" s="3" t="s">
        <v>507</v>
      </c>
      <c r="BZ200" s="3" t="s">
        <v>93</v>
      </c>
      <c r="CB200" s="3" t="s">
        <v>84</v>
      </c>
      <c r="CD200" s="9">
        <v>13</v>
      </c>
      <c r="CE200" s="9"/>
      <c r="CF200" s="19"/>
      <c r="CG200" s="18"/>
      <c r="CH200" s="18"/>
      <c r="CI200" s="18"/>
    </row>
    <row r="201" spans="1:87" ht="15.75" customHeight="1" x14ac:dyDescent="0.15">
      <c r="A201" s="3">
        <v>1228210579</v>
      </c>
      <c r="B201" s="3" t="s">
        <v>505</v>
      </c>
      <c r="C201" s="3" t="s">
        <v>505</v>
      </c>
      <c r="D201" s="3">
        <v>3</v>
      </c>
      <c r="E201" s="3">
        <v>3</v>
      </c>
      <c r="F201" s="3">
        <v>117.629</v>
      </c>
      <c r="G201" s="3">
        <v>1</v>
      </c>
      <c r="H201" s="3">
        <v>64.843000000000004</v>
      </c>
      <c r="I201" s="3">
        <v>16.507000000000001</v>
      </c>
      <c r="J201" s="3">
        <v>35.296999999999997</v>
      </c>
      <c r="K201" s="3">
        <v>17.420999999999999</v>
      </c>
      <c r="L201" s="3" t="s">
        <v>81</v>
      </c>
      <c r="M201" s="3" t="s">
        <v>81</v>
      </c>
      <c r="N201" s="3" t="s">
        <v>81</v>
      </c>
      <c r="O201" s="3" t="s">
        <v>81</v>
      </c>
      <c r="P201" s="3" t="s">
        <v>81</v>
      </c>
      <c r="Q201" s="3">
        <v>132.50299999999999</v>
      </c>
      <c r="R201" s="3">
        <v>2</v>
      </c>
      <c r="S201" s="3">
        <v>68.948999999999998</v>
      </c>
      <c r="T201" s="3">
        <v>18.466999999999999</v>
      </c>
      <c r="U201" s="3">
        <v>33.984999999999999</v>
      </c>
      <c r="V201" s="3">
        <v>14.6</v>
      </c>
      <c r="W201" s="3">
        <v>29.44</v>
      </c>
      <c r="X201" s="3" t="s">
        <v>81</v>
      </c>
      <c r="Y201" s="3" t="s">
        <v>81</v>
      </c>
      <c r="Z201" s="3" t="s">
        <v>81</v>
      </c>
      <c r="AA201" s="3" t="s">
        <v>81</v>
      </c>
      <c r="AB201" s="3">
        <v>130.37299999999999</v>
      </c>
      <c r="AC201" s="3">
        <v>2</v>
      </c>
      <c r="AD201" s="3">
        <v>62.363999999999997</v>
      </c>
      <c r="AE201" s="3">
        <v>16.766999999999999</v>
      </c>
      <c r="AF201" s="3">
        <v>35.091000000000001</v>
      </c>
      <c r="AG201" s="3">
        <v>18.283000000000001</v>
      </c>
      <c r="AH201" s="3">
        <v>33.067999999999998</v>
      </c>
      <c r="AI201" s="3" t="s">
        <v>81</v>
      </c>
      <c r="AJ201" s="3" t="s">
        <v>81</v>
      </c>
      <c r="AK201" s="3" t="s">
        <v>81</v>
      </c>
      <c r="AL201" s="3" t="s">
        <v>81</v>
      </c>
      <c r="AM201" s="3" t="s">
        <v>81</v>
      </c>
      <c r="AN201" s="3" t="s">
        <v>81</v>
      </c>
      <c r="AO201" s="3" t="s">
        <v>81</v>
      </c>
      <c r="AP201" s="3" t="s">
        <v>81</v>
      </c>
      <c r="AQ201" s="3" t="s">
        <v>81</v>
      </c>
      <c r="AR201" s="3" t="s">
        <v>81</v>
      </c>
      <c r="AS201" s="3" t="s">
        <v>81</v>
      </c>
      <c r="AT201" s="3" t="s">
        <v>81</v>
      </c>
      <c r="AU201" s="3" t="s">
        <v>81</v>
      </c>
      <c r="AV201" s="3" t="s">
        <v>81</v>
      </c>
      <c r="AW201" s="3" t="s">
        <v>81</v>
      </c>
      <c r="AX201" s="3" t="s">
        <v>81</v>
      </c>
      <c r="AY201" s="3" t="s">
        <v>81</v>
      </c>
      <c r="AZ201" s="3" t="s">
        <v>81</v>
      </c>
      <c r="BA201" s="3" t="s">
        <v>81</v>
      </c>
      <c r="BB201" s="3" t="s">
        <v>81</v>
      </c>
      <c r="BC201" s="3" t="s">
        <v>81</v>
      </c>
      <c r="BD201" s="3" t="s">
        <v>81</v>
      </c>
      <c r="BE201" s="3" t="s">
        <v>81</v>
      </c>
      <c r="BF201" s="3" t="s">
        <v>81</v>
      </c>
      <c r="BG201" s="3" t="s">
        <v>81</v>
      </c>
      <c r="BH201" s="3" t="s">
        <v>81</v>
      </c>
      <c r="BI201" s="3" t="s">
        <v>84</v>
      </c>
      <c r="BJ201" s="3" t="s">
        <v>84</v>
      </c>
      <c r="BK201" s="3" t="s">
        <v>82</v>
      </c>
      <c r="BL201" s="3" t="s">
        <v>84</v>
      </c>
      <c r="BM201" s="3" t="s">
        <v>84</v>
      </c>
      <c r="BN201" s="3" t="s">
        <v>82</v>
      </c>
      <c r="BO201" s="3" t="s">
        <v>83</v>
      </c>
      <c r="BP201" s="3" t="s">
        <v>81</v>
      </c>
      <c r="BQ201" s="3" t="s">
        <v>81</v>
      </c>
      <c r="BR201" s="3" t="s">
        <v>81</v>
      </c>
      <c r="BS201" s="3" t="s">
        <v>81</v>
      </c>
      <c r="BT201" s="3" t="s">
        <v>81</v>
      </c>
      <c r="BU201" s="3" t="s">
        <v>81</v>
      </c>
      <c r="BV201" s="3" t="s">
        <v>84</v>
      </c>
      <c r="BW201" s="3" t="s">
        <v>83</v>
      </c>
      <c r="BX201" s="3" t="s">
        <v>82</v>
      </c>
      <c r="BY201" s="3" t="s">
        <v>173</v>
      </c>
      <c r="BZ201" s="3" t="s">
        <v>93</v>
      </c>
      <c r="CB201" s="3" t="s">
        <v>84</v>
      </c>
      <c r="CD201" s="9">
        <v>8</v>
      </c>
      <c r="CE201" s="9">
        <v>6</v>
      </c>
      <c r="CF201" s="19"/>
      <c r="CG201" s="18"/>
      <c r="CH201" s="18"/>
      <c r="CI201" s="18"/>
    </row>
    <row r="202" spans="1:87" ht="15.75" customHeight="1" x14ac:dyDescent="0.15">
      <c r="A202" s="3">
        <v>1318581732</v>
      </c>
      <c r="B202" s="3" t="s">
        <v>508</v>
      </c>
      <c r="C202" s="3" t="s">
        <v>508</v>
      </c>
      <c r="D202" s="3">
        <v>8</v>
      </c>
      <c r="E202" s="3">
        <v>8</v>
      </c>
      <c r="F202" s="3">
        <v>234.51900000000001</v>
      </c>
      <c r="G202" s="3">
        <v>2</v>
      </c>
      <c r="H202" s="3">
        <v>135.297</v>
      </c>
      <c r="I202" s="3">
        <v>23.423999999999999</v>
      </c>
      <c r="J202" s="3">
        <v>52.347999999999999</v>
      </c>
      <c r="K202" s="3">
        <v>21.173999999999999</v>
      </c>
      <c r="L202" s="3">
        <v>25.893000000000001</v>
      </c>
      <c r="M202" s="3">
        <v>18.462</v>
      </c>
      <c r="N202" s="3" t="s">
        <v>81</v>
      </c>
      <c r="O202" s="3" t="s">
        <v>81</v>
      </c>
      <c r="P202" s="3" t="s">
        <v>81</v>
      </c>
      <c r="Q202" s="3" t="s">
        <v>81</v>
      </c>
      <c r="R202" s="3">
        <v>2</v>
      </c>
      <c r="S202" s="3">
        <v>148.191</v>
      </c>
      <c r="T202" s="3">
        <v>29.571999999999999</v>
      </c>
      <c r="U202" s="3">
        <v>48.054000000000002</v>
      </c>
      <c r="V202" s="3" t="s">
        <v>81</v>
      </c>
      <c r="W202" s="3" t="s">
        <v>81</v>
      </c>
      <c r="X202" s="3" t="s">
        <v>81</v>
      </c>
      <c r="Y202" s="3" t="s">
        <v>81</v>
      </c>
      <c r="Z202" s="3" t="s">
        <v>81</v>
      </c>
      <c r="AA202" s="3" t="s">
        <v>81</v>
      </c>
      <c r="AB202" s="3">
        <v>180.92599999999999</v>
      </c>
      <c r="AC202" s="3">
        <v>2</v>
      </c>
      <c r="AD202" s="3">
        <v>129.24299999999999</v>
      </c>
      <c r="AE202" s="3">
        <v>27.963999999999999</v>
      </c>
      <c r="AF202" s="3">
        <v>49.643999999999998</v>
      </c>
      <c r="AG202" s="3">
        <v>24.748000000000001</v>
      </c>
      <c r="AH202" s="3">
        <v>1.5129999999999999</v>
      </c>
      <c r="AI202" s="3" t="s">
        <v>81</v>
      </c>
      <c r="AJ202" s="3" t="s">
        <v>81</v>
      </c>
      <c r="AK202" s="3" t="s">
        <v>81</v>
      </c>
      <c r="AL202" s="3" t="s">
        <v>81</v>
      </c>
      <c r="AM202" s="3">
        <v>199.001</v>
      </c>
      <c r="AN202" s="3">
        <v>3</v>
      </c>
      <c r="AO202" s="3">
        <v>128.43799999999999</v>
      </c>
      <c r="AP202" s="3">
        <v>27.289000000000001</v>
      </c>
      <c r="AQ202" s="3">
        <v>49.258000000000003</v>
      </c>
      <c r="AR202" s="3">
        <v>26.904</v>
      </c>
      <c r="AS202" s="3">
        <v>18.995000000000001</v>
      </c>
      <c r="AT202" s="3">
        <v>23.908000000000001</v>
      </c>
      <c r="AU202" s="3">
        <v>1.129</v>
      </c>
      <c r="AV202" s="3" t="s">
        <v>81</v>
      </c>
      <c r="AW202" s="3" t="s">
        <v>81</v>
      </c>
      <c r="AX202" s="3" t="s">
        <v>81</v>
      </c>
      <c r="AY202" s="3" t="s">
        <v>81</v>
      </c>
      <c r="AZ202" s="3" t="s">
        <v>81</v>
      </c>
      <c r="BA202" s="3" t="s">
        <v>81</v>
      </c>
      <c r="BB202" s="3" t="s">
        <v>81</v>
      </c>
      <c r="BC202" s="3" t="s">
        <v>81</v>
      </c>
      <c r="BD202" s="3" t="s">
        <v>81</v>
      </c>
      <c r="BE202" s="3" t="s">
        <v>81</v>
      </c>
      <c r="BF202" s="3" t="s">
        <v>81</v>
      </c>
      <c r="BG202" s="3" t="s">
        <v>81</v>
      </c>
      <c r="BH202" s="3" t="s">
        <v>81</v>
      </c>
      <c r="BI202" s="3" t="s">
        <v>84</v>
      </c>
      <c r="BJ202" s="3" t="s">
        <v>84</v>
      </c>
      <c r="BK202" s="3" t="s">
        <v>82</v>
      </c>
      <c r="BL202" s="3" t="s">
        <v>84</v>
      </c>
      <c r="BM202" s="3" t="s">
        <v>84</v>
      </c>
      <c r="BN202" s="3" t="s">
        <v>82</v>
      </c>
      <c r="BO202" s="3" t="s">
        <v>84</v>
      </c>
      <c r="BP202" s="3" t="s">
        <v>106</v>
      </c>
      <c r="BQ202" s="3" t="s">
        <v>509</v>
      </c>
      <c r="BR202" s="3" t="s">
        <v>225</v>
      </c>
      <c r="BS202" s="3" t="s">
        <v>510</v>
      </c>
      <c r="BT202" s="3" t="s">
        <v>106</v>
      </c>
      <c r="BU202" s="3" t="s">
        <v>98</v>
      </c>
      <c r="BV202" s="3" t="s">
        <v>82</v>
      </c>
      <c r="BW202" s="3" t="s">
        <v>91</v>
      </c>
      <c r="BX202" s="3" t="s">
        <v>82</v>
      </c>
      <c r="BY202" s="3" t="s">
        <v>507</v>
      </c>
      <c r="BZ202" s="3" t="s">
        <v>86</v>
      </c>
      <c r="CB202" s="3" t="s">
        <v>84</v>
      </c>
      <c r="CD202" s="9">
        <v>15</v>
      </c>
      <c r="CE202" s="9"/>
      <c r="CF202" s="19"/>
      <c r="CG202" s="18"/>
      <c r="CH202" s="18"/>
      <c r="CI202" s="18"/>
    </row>
    <row r="203" spans="1:87" ht="15.75" customHeight="1" x14ac:dyDescent="0.15">
      <c r="A203" s="3">
        <v>1318127882</v>
      </c>
      <c r="B203" s="3" t="s">
        <v>508</v>
      </c>
      <c r="C203" s="3" t="s">
        <v>508</v>
      </c>
      <c r="D203" s="3" t="s">
        <v>81</v>
      </c>
      <c r="E203" s="3">
        <v>35</v>
      </c>
      <c r="F203" s="3">
        <v>139.898</v>
      </c>
      <c r="G203" s="3">
        <v>2</v>
      </c>
      <c r="H203" s="3">
        <v>99.555000000000007</v>
      </c>
      <c r="I203" s="3">
        <v>8.0649999999999995</v>
      </c>
      <c r="J203" s="3">
        <v>31.9</v>
      </c>
      <c r="K203" s="3">
        <v>16.038</v>
      </c>
      <c r="L203" s="3">
        <v>5.1529999999999996</v>
      </c>
      <c r="M203" s="3" t="s">
        <v>81</v>
      </c>
      <c r="N203" s="3" t="s">
        <v>81</v>
      </c>
      <c r="O203" s="3" t="s">
        <v>81</v>
      </c>
      <c r="P203" s="3" t="s">
        <v>81</v>
      </c>
      <c r="Q203" s="3">
        <v>143.73699999999999</v>
      </c>
      <c r="R203" s="3">
        <v>3</v>
      </c>
      <c r="S203" s="3">
        <v>99.795000000000002</v>
      </c>
      <c r="T203" s="3">
        <v>7.7290000000000001</v>
      </c>
      <c r="U203" s="3">
        <v>36.398000000000003</v>
      </c>
      <c r="V203" s="3">
        <v>8.9979999999999993</v>
      </c>
      <c r="W203" s="3">
        <v>7.8070000000000004</v>
      </c>
      <c r="X203" s="3">
        <v>8.4649999999999999</v>
      </c>
      <c r="Y203" s="3">
        <v>2.5179999999999998</v>
      </c>
      <c r="Z203" s="3" t="s">
        <v>81</v>
      </c>
      <c r="AA203" s="3" t="s">
        <v>81</v>
      </c>
      <c r="AB203" s="3">
        <v>178.672</v>
      </c>
      <c r="AC203" s="3">
        <v>3</v>
      </c>
      <c r="AD203" s="3">
        <v>103.48</v>
      </c>
      <c r="AE203" s="3">
        <v>8.0340000000000007</v>
      </c>
      <c r="AF203" s="3">
        <v>46.375</v>
      </c>
      <c r="AG203" s="3">
        <v>20.469000000000001</v>
      </c>
      <c r="AH203" s="3">
        <v>22.15</v>
      </c>
      <c r="AI203" s="3">
        <v>11.214</v>
      </c>
      <c r="AJ203" s="3">
        <v>4.74</v>
      </c>
      <c r="AK203" s="3" t="s">
        <v>81</v>
      </c>
      <c r="AL203" s="3" t="s">
        <v>81</v>
      </c>
      <c r="AM203" s="3">
        <v>180.50200000000001</v>
      </c>
      <c r="AN203" s="3">
        <v>3</v>
      </c>
      <c r="AO203" s="3">
        <v>105.41</v>
      </c>
      <c r="AP203" s="3">
        <v>8.69</v>
      </c>
      <c r="AQ203" s="3">
        <v>40.664000000000001</v>
      </c>
      <c r="AR203" s="3">
        <v>16.535</v>
      </c>
      <c r="AS203" s="3">
        <v>26.324000000000002</v>
      </c>
      <c r="AT203" s="3">
        <v>15.27</v>
      </c>
      <c r="AU203" s="3">
        <v>11.205</v>
      </c>
      <c r="AV203" s="3" t="s">
        <v>81</v>
      </c>
      <c r="AW203" s="3" t="s">
        <v>81</v>
      </c>
      <c r="AX203" s="3">
        <v>191.227</v>
      </c>
      <c r="AY203" s="3">
        <v>3</v>
      </c>
      <c r="AZ203" s="3">
        <v>97.456999999999994</v>
      </c>
      <c r="BA203" s="3">
        <v>8.6069999999999993</v>
      </c>
      <c r="BB203" s="3">
        <v>50.465000000000003</v>
      </c>
      <c r="BC203" s="3">
        <v>16.747</v>
      </c>
      <c r="BD203" s="3">
        <v>30.905000000000001</v>
      </c>
      <c r="BE203" s="3">
        <v>17.393999999999998</v>
      </c>
      <c r="BF203" s="3">
        <v>10.643000000000001</v>
      </c>
      <c r="BG203" s="3" t="s">
        <v>81</v>
      </c>
      <c r="BH203" s="3" t="s">
        <v>81</v>
      </c>
      <c r="BI203" s="3" t="s">
        <v>84</v>
      </c>
      <c r="BJ203" s="3" t="s">
        <v>82</v>
      </c>
      <c r="BK203" s="3" t="s">
        <v>83</v>
      </c>
      <c r="BL203" s="3" t="s">
        <v>84</v>
      </c>
      <c r="BM203" s="3" t="s">
        <v>84</v>
      </c>
      <c r="BN203" s="3" t="s">
        <v>82</v>
      </c>
      <c r="BO203" s="3" t="s">
        <v>84</v>
      </c>
      <c r="BP203" s="3" t="s">
        <v>87</v>
      </c>
      <c r="BQ203" s="3" t="s">
        <v>87</v>
      </c>
      <c r="BR203" s="3" t="s">
        <v>129</v>
      </c>
      <c r="BS203" s="3" t="s">
        <v>212</v>
      </c>
      <c r="BT203" s="3" t="s">
        <v>87</v>
      </c>
      <c r="BU203" s="3" t="s">
        <v>129</v>
      </c>
      <c r="BV203" s="3" t="s">
        <v>84</v>
      </c>
      <c r="BW203" s="3" t="s">
        <v>83</v>
      </c>
      <c r="BX203" s="3" t="s">
        <v>82</v>
      </c>
      <c r="BY203" s="3" t="s">
        <v>160</v>
      </c>
      <c r="BZ203" s="3" t="s">
        <v>86</v>
      </c>
      <c r="CB203" s="3" t="s">
        <v>84</v>
      </c>
      <c r="CD203" s="9">
        <v>99</v>
      </c>
      <c r="CE203" s="9"/>
      <c r="CF203" s="19"/>
      <c r="CG203" s="18"/>
      <c r="CH203" s="18"/>
      <c r="CI203" s="18"/>
    </row>
    <row r="204" spans="1:87" ht="15.75" customHeight="1" x14ac:dyDescent="0.15">
      <c r="A204" s="3">
        <v>2625828034</v>
      </c>
      <c r="B204" s="3" t="s">
        <v>522</v>
      </c>
      <c r="C204" s="3" t="s">
        <v>522</v>
      </c>
      <c r="D204" s="3">
        <v>6</v>
      </c>
      <c r="E204" s="3">
        <v>7</v>
      </c>
      <c r="F204" s="3">
        <v>52.057000000000002</v>
      </c>
      <c r="G204" s="3">
        <v>0</v>
      </c>
      <c r="H204" s="3" t="s">
        <v>81</v>
      </c>
      <c r="I204" s="3" t="s">
        <v>81</v>
      </c>
      <c r="J204" s="3" t="s">
        <v>81</v>
      </c>
      <c r="K204" s="3" t="s">
        <v>81</v>
      </c>
      <c r="L204" s="3" t="s">
        <v>81</v>
      </c>
      <c r="M204" s="3" t="s">
        <v>81</v>
      </c>
      <c r="N204" s="3" t="s">
        <v>81</v>
      </c>
      <c r="O204" s="3" t="s">
        <v>81</v>
      </c>
      <c r="P204" s="3" t="s">
        <v>81</v>
      </c>
      <c r="Q204" s="3">
        <v>53.088000000000001</v>
      </c>
      <c r="R204" s="3">
        <v>0</v>
      </c>
      <c r="S204" s="3" t="s">
        <v>81</v>
      </c>
      <c r="T204" s="3" t="s">
        <v>81</v>
      </c>
      <c r="U204" s="3" t="s">
        <v>81</v>
      </c>
      <c r="V204" s="3" t="s">
        <v>81</v>
      </c>
      <c r="W204" s="3" t="s">
        <v>81</v>
      </c>
      <c r="X204" s="3" t="s">
        <v>81</v>
      </c>
      <c r="Y204" s="3" t="s">
        <v>81</v>
      </c>
      <c r="Z204" s="3" t="s">
        <v>81</v>
      </c>
      <c r="AA204" s="3" t="s">
        <v>81</v>
      </c>
      <c r="AB204" s="3">
        <v>48.371000000000002</v>
      </c>
      <c r="AC204" s="3">
        <v>0</v>
      </c>
      <c r="AD204" s="3" t="s">
        <v>81</v>
      </c>
      <c r="AE204" s="3" t="s">
        <v>81</v>
      </c>
      <c r="AF204" s="3" t="s">
        <v>81</v>
      </c>
      <c r="AG204" s="3" t="s">
        <v>81</v>
      </c>
      <c r="AH204" s="3" t="s">
        <v>81</v>
      </c>
      <c r="AI204" s="3" t="s">
        <v>81</v>
      </c>
      <c r="AJ204" s="3" t="s">
        <v>81</v>
      </c>
      <c r="AK204" s="3" t="s">
        <v>81</v>
      </c>
      <c r="AL204" s="3" t="s">
        <v>81</v>
      </c>
      <c r="AM204" s="3">
        <v>53.292000000000002</v>
      </c>
      <c r="AN204" s="3">
        <v>0</v>
      </c>
      <c r="AO204" s="3" t="s">
        <v>81</v>
      </c>
      <c r="AP204" s="3" t="s">
        <v>81</v>
      </c>
      <c r="AQ204" s="3" t="s">
        <v>81</v>
      </c>
      <c r="AR204" s="3" t="s">
        <v>81</v>
      </c>
      <c r="AS204" s="3" t="s">
        <v>81</v>
      </c>
      <c r="AT204" s="3" t="s">
        <v>81</v>
      </c>
      <c r="AU204" s="3" t="s">
        <v>81</v>
      </c>
      <c r="AV204" s="3" t="s">
        <v>81</v>
      </c>
      <c r="AW204" s="3" t="s">
        <v>81</v>
      </c>
      <c r="AX204" s="3">
        <v>54.213000000000001</v>
      </c>
      <c r="AY204" s="3">
        <v>0</v>
      </c>
      <c r="AZ204" s="3" t="s">
        <v>81</v>
      </c>
      <c r="BA204" s="3" t="s">
        <v>81</v>
      </c>
      <c r="BB204" s="3" t="s">
        <v>81</v>
      </c>
      <c r="BC204" s="3" t="s">
        <v>81</v>
      </c>
      <c r="BD204" s="3" t="s">
        <v>81</v>
      </c>
      <c r="BE204" s="3" t="s">
        <v>81</v>
      </c>
      <c r="BF204" s="3" t="s">
        <v>81</v>
      </c>
      <c r="BG204" s="3" t="s">
        <v>81</v>
      </c>
      <c r="BH204" s="3" t="s">
        <v>81</v>
      </c>
      <c r="BI204" s="3" t="s">
        <v>82</v>
      </c>
      <c r="BJ204" s="3" t="s">
        <v>82</v>
      </c>
      <c r="BK204" s="3" t="s">
        <v>83</v>
      </c>
      <c r="BL204" s="3" t="s">
        <v>84</v>
      </c>
      <c r="BM204" s="3" t="s">
        <v>84</v>
      </c>
      <c r="BN204" s="3" t="s">
        <v>82</v>
      </c>
      <c r="BO204" s="3" t="s">
        <v>84</v>
      </c>
      <c r="BP204" s="3" t="s">
        <v>81</v>
      </c>
      <c r="BQ204" s="3" t="s">
        <v>81</v>
      </c>
      <c r="BR204" s="3" t="s">
        <v>81</v>
      </c>
      <c r="BS204" s="3" t="s">
        <v>81</v>
      </c>
      <c r="BT204" s="3" t="s">
        <v>81</v>
      </c>
      <c r="BU204" s="3" t="s">
        <v>81</v>
      </c>
      <c r="BV204" s="3" t="s">
        <v>84</v>
      </c>
      <c r="BW204" s="3" t="s">
        <v>83</v>
      </c>
      <c r="BX204" s="3" t="s">
        <v>82</v>
      </c>
      <c r="BY204" s="3" t="s">
        <v>173</v>
      </c>
      <c r="BZ204" s="3" t="s">
        <v>86</v>
      </c>
      <c r="CA204" s="3"/>
      <c r="CB204" s="3" t="s">
        <v>84</v>
      </c>
      <c r="CC204" s="3"/>
      <c r="CD204" s="9">
        <v>7</v>
      </c>
      <c r="CE204" s="9"/>
      <c r="CF204" s="19"/>
      <c r="CG204" s="17"/>
      <c r="CH204" s="17"/>
      <c r="CI204" s="18"/>
    </row>
    <row r="205" spans="1:87" ht="15.75" customHeight="1" x14ac:dyDescent="0.15">
      <c r="A205" s="3">
        <v>2643313885</v>
      </c>
      <c r="B205" s="3" t="s">
        <v>522</v>
      </c>
      <c r="C205" s="3" t="s">
        <v>522</v>
      </c>
      <c r="D205" s="3" t="s">
        <v>81</v>
      </c>
      <c r="E205" s="3">
        <v>14</v>
      </c>
      <c r="F205" s="3">
        <v>25.251000000000001</v>
      </c>
      <c r="G205" s="3">
        <v>0</v>
      </c>
      <c r="H205" s="3" t="s">
        <v>81</v>
      </c>
      <c r="I205" s="3" t="s">
        <v>81</v>
      </c>
      <c r="J205" s="3" t="s">
        <v>81</v>
      </c>
      <c r="K205" s="3" t="s">
        <v>81</v>
      </c>
      <c r="L205" s="3" t="s">
        <v>81</v>
      </c>
      <c r="M205" s="3" t="s">
        <v>81</v>
      </c>
      <c r="N205" s="3" t="s">
        <v>81</v>
      </c>
      <c r="O205" s="3" t="s">
        <v>81</v>
      </c>
      <c r="P205" s="3" t="s">
        <v>81</v>
      </c>
      <c r="Q205" s="3">
        <v>22.812999999999999</v>
      </c>
      <c r="R205" s="3">
        <v>0</v>
      </c>
      <c r="S205" s="3" t="s">
        <v>81</v>
      </c>
      <c r="T205" s="3" t="s">
        <v>81</v>
      </c>
      <c r="U205" s="3" t="s">
        <v>81</v>
      </c>
      <c r="V205" s="3" t="s">
        <v>81</v>
      </c>
      <c r="W205" s="3" t="s">
        <v>81</v>
      </c>
      <c r="X205" s="3" t="s">
        <v>81</v>
      </c>
      <c r="Y205" s="3" t="s">
        <v>81</v>
      </c>
      <c r="Z205" s="3" t="s">
        <v>81</v>
      </c>
      <c r="AA205" s="3" t="s">
        <v>81</v>
      </c>
      <c r="AB205" s="3">
        <v>31.071999999999999</v>
      </c>
      <c r="AC205" s="3">
        <v>0</v>
      </c>
      <c r="AD205" s="3" t="s">
        <v>81</v>
      </c>
      <c r="AE205" s="3" t="s">
        <v>81</v>
      </c>
      <c r="AF205" s="3" t="s">
        <v>81</v>
      </c>
      <c r="AG205" s="3" t="s">
        <v>81</v>
      </c>
      <c r="AH205" s="3" t="s">
        <v>81</v>
      </c>
      <c r="AI205" s="3" t="s">
        <v>81</v>
      </c>
      <c r="AJ205" s="3" t="s">
        <v>81</v>
      </c>
      <c r="AK205" s="3" t="s">
        <v>81</v>
      </c>
      <c r="AL205" s="3" t="s">
        <v>81</v>
      </c>
      <c r="AM205" s="3">
        <v>31.741</v>
      </c>
      <c r="AN205" s="3">
        <v>0</v>
      </c>
      <c r="AO205" s="3" t="s">
        <v>81</v>
      </c>
      <c r="AP205" s="3" t="s">
        <v>81</v>
      </c>
      <c r="AQ205" s="3" t="s">
        <v>81</v>
      </c>
      <c r="AR205" s="3" t="s">
        <v>81</v>
      </c>
      <c r="AS205" s="3" t="s">
        <v>81</v>
      </c>
      <c r="AT205" s="3" t="s">
        <v>81</v>
      </c>
      <c r="AU205" s="3" t="s">
        <v>81</v>
      </c>
      <c r="AV205" s="3" t="s">
        <v>81</v>
      </c>
      <c r="AW205" s="3" t="s">
        <v>81</v>
      </c>
      <c r="AX205" s="3">
        <v>25.43</v>
      </c>
      <c r="AY205" s="3">
        <v>0</v>
      </c>
      <c r="AZ205" s="3" t="s">
        <v>81</v>
      </c>
      <c r="BA205" s="3" t="s">
        <v>81</v>
      </c>
      <c r="BB205" s="3" t="s">
        <v>81</v>
      </c>
      <c r="BC205" s="3" t="s">
        <v>81</v>
      </c>
      <c r="BD205" s="3" t="s">
        <v>81</v>
      </c>
      <c r="BE205" s="3" t="s">
        <v>81</v>
      </c>
      <c r="BF205" s="3" t="s">
        <v>81</v>
      </c>
      <c r="BG205" s="3" t="s">
        <v>81</v>
      </c>
      <c r="BH205" s="3" t="s">
        <v>81</v>
      </c>
      <c r="BI205" s="3" t="s">
        <v>84</v>
      </c>
      <c r="BJ205" s="3" t="s">
        <v>82</v>
      </c>
      <c r="BK205" s="3" t="s">
        <v>82</v>
      </c>
      <c r="BL205" s="3" t="s">
        <v>84</v>
      </c>
      <c r="BM205" s="3" t="s">
        <v>84</v>
      </c>
      <c r="BN205" s="3" t="s">
        <v>82</v>
      </c>
      <c r="BO205" s="3" t="s">
        <v>84</v>
      </c>
      <c r="BP205" s="3" t="s">
        <v>85</v>
      </c>
      <c r="BQ205" s="3" t="s">
        <v>85</v>
      </c>
      <c r="BR205" s="3" t="s">
        <v>85</v>
      </c>
      <c r="BS205" s="3" t="s">
        <v>85</v>
      </c>
      <c r="BT205" s="3" t="s">
        <v>85</v>
      </c>
      <c r="BU205" s="3" t="s">
        <v>81</v>
      </c>
      <c r="BV205" s="3" t="s">
        <v>84</v>
      </c>
      <c r="BW205" s="3" t="s">
        <v>83</v>
      </c>
      <c r="BX205" s="3" t="s">
        <v>82</v>
      </c>
      <c r="BZ205" s="3" t="s">
        <v>86</v>
      </c>
      <c r="CB205" s="3" t="s">
        <v>84</v>
      </c>
      <c r="CD205" s="9">
        <v>14</v>
      </c>
      <c r="CE205" s="9"/>
      <c r="CF205" s="19"/>
      <c r="CG205" s="18"/>
      <c r="CH205" s="18"/>
      <c r="CI205" s="18"/>
    </row>
    <row r="206" spans="1:87" x14ac:dyDescent="0.15">
      <c r="A206" s="3">
        <v>1847936427</v>
      </c>
      <c r="B206" s="3" t="s">
        <v>527</v>
      </c>
      <c r="C206" s="3" t="s">
        <v>527</v>
      </c>
      <c r="D206" s="3">
        <v>6</v>
      </c>
      <c r="E206" s="3">
        <v>8</v>
      </c>
      <c r="F206" s="3">
        <v>55.595999999999997</v>
      </c>
      <c r="G206" s="3">
        <v>0</v>
      </c>
      <c r="H206" s="3" t="s">
        <v>81</v>
      </c>
      <c r="I206" s="3" t="s">
        <v>81</v>
      </c>
      <c r="J206" s="3" t="s">
        <v>81</v>
      </c>
      <c r="K206" s="3" t="s">
        <v>81</v>
      </c>
      <c r="L206" s="3" t="s">
        <v>81</v>
      </c>
      <c r="M206" s="3" t="s">
        <v>81</v>
      </c>
      <c r="N206" s="3" t="s">
        <v>81</v>
      </c>
      <c r="O206" s="3" t="s">
        <v>81</v>
      </c>
      <c r="P206" s="3" t="s">
        <v>81</v>
      </c>
      <c r="Q206" s="3">
        <v>55.726999999999997</v>
      </c>
      <c r="R206" s="3">
        <v>0</v>
      </c>
      <c r="S206" s="3" t="s">
        <v>81</v>
      </c>
      <c r="T206" s="3" t="s">
        <v>81</v>
      </c>
      <c r="U206" s="3" t="s">
        <v>81</v>
      </c>
      <c r="V206" s="3" t="s">
        <v>81</v>
      </c>
      <c r="W206" s="3" t="s">
        <v>81</v>
      </c>
      <c r="X206" s="3" t="s">
        <v>81</v>
      </c>
      <c r="Y206" s="3" t="s">
        <v>81</v>
      </c>
      <c r="Z206" s="3" t="s">
        <v>81</v>
      </c>
      <c r="AA206" s="3" t="s">
        <v>81</v>
      </c>
      <c r="AB206" s="3">
        <v>54.759</v>
      </c>
      <c r="AC206" s="3">
        <v>0</v>
      </c>
      <c r="AD206" s="3" t="s">
        <v>81</v>
      </c>
      <c r="AE206" s="3" t="s">
        <v>81</v>
      </c>
      <c r="AF206" s="3" t="s">
        <v>81</v>
      </c>
      <c r="AG206" s="3" t="s">
        <v>81</v>
      </c>
      <c r="AH206" s="3" t="s">
        <v>81</v>
      </c>
      <c r="AI206" s="3" t="s">
        <v>81</v>
      </c>
      <c r="AJ206" s="3" t="s">
        <v>81</v>
      </c>
      <c r="AK206" s="3" t="s">
        <v>81</v>
      </c>
      <c r="AL206" s="3" t="s">
        <v>81</v>
      </c>
      <c r="AM206" s="3">
        <v>54.866999999999997</v>
      </c>
      <c r="AN206" s="3">
        <v>0</v>
      </c>
      <c r="AO206" s="3" t="s">
        <v>81</v>
      </c>
      <c r="AP206" s="3" t="s">
        <v>81</v>
      </c>
      <c r="AQ206" s="3" t="s">
        <v>81</v>
      </c>
      <c r="AR206" s="3" t="s">
        <v>81</v>
      </c>
      <c r="AS206" s="3" t="s">
        <v>81</v>
      </c>
      <c r="AT206" s="3" t="s">
        <v>81</v>
      </c>
      <c r="AU206" s="3" t="s">
        <v>81</v>
      </c>
      <c r="AV206" s="3" t="s">
        <v>81</v>
      </c>
      <c r="AW206" s="3" t="s">
        <v>81</v>
      </c>
      <c r="AX206" s="3" t="s">
        <v>81</v>
      </c>
      <c r="AY206" s="3" t="s">
        <v>81</v>
      </c>
      <c r="AZ206" s="3" t="s">
        <v>81</v>
      </c>
      <c r="BA206" s="3" t="s">
        <v>81</v>
      </c>
      <c r="BB206" s="3" t="s">
        <v>81</v>
      </c>
      <c r="BC206" s="3" t="s">
        <v>81</v>
      </c>
      <c r="BD206" s="3" t="s">
        <v>81</v>
      </c>
      <c r="BE206" s="3" t="s">
        <v>81</v>
      </c>
      <c r="BF206" s="3" t="s">
        <v>81</v>
      </c>
      <c r="BG206" s="3" t="s">
        <v>81</v>
      </c>
      <c r="BH206" s="3" t="s">
        <v>81</v>
      </c>
      <c r="BI206" s="3" t="s">
        <v>84</v>
      </c>
      <c r="BJ206" s="3" t="s">
        <v>84</v>
      </c>
      <c r="BK206" s="3" t="s">
        <v>82</v>
      </c>
      <c r="BL206" s="3" t="s">
        <v>84</v>
      </c>
      <c r="BM206" s="3" t="s">
        <v>84</v>
      </c>
      <c r="BN206" s="3" t="s">
        <v>82</v>
      </c>
      <c r="BO206" s="3" t="s">
        <v>83</v>
      </c>
      <c r="BP206" s="3" t="s">
        <v>528</v>
      </c>
      <c r="BQ206" s="3" t="s">
        <v>528</v>
      </c>
      <c r="BR206" s="3" t="s">
        <v>528</v>
      </c>
      <c r="BS206" s="3" t="s">
        <v>528</v>
      </c>
      <c r="BT206" s="3" t="s">
        <v>87</v>
      </c>
      <c r="BU206" s="3" t="s">
        <v>129</v>
      </c>
      <c r="BV206" s="3" t="s">
        <v>82</v>
      </c>
      <c r="BW206" s="3" t="s">
        <v>91</v>
      </c>
      <c r="BX206" s="3" t="s">
        <v>84</v>
      </c>
      <c r="BY206" s="3" t="s">
        <v>261</v>
      </c>
      <c r="BZ206" s="3" t="s">
        <v>93</v>
      </c>
      <c r="CA206" s="3" t="s">
        <v>103</v>
      </c>
      <c r="CB206" s="3" t="s">
        <v>84</v>
      </c>
      <c r="CC206" s="3"/>
      <c r="CD206" s="9">
        <v>8</v>
      </c>
      <c r="CE206" s="9"/>
      <c r="CF206" s="17"/>
      <c r="CG206" s="17"/>
      <c r="CH206" s="17"/>
      <c r="CI206" s="18"/>
    </row>
    <row r="207" spans="1:87" x14ac:dyDescent="0.15">
      <c r="A207" s="9" t="s">
        <v>564</v>
      </c>
      <c r="B207" s="9" t="s">
        <v>562</v>
      </c>
      <c r="C207" s="9" t="s">
        <v>556</v>
      </c>
      <c r="E207">
        <v>9</v>
      </c>
      <c r="F207">
        <v>570.99</v>
      </c>
      <c r="G207" s="3">
        <v>4</v>
      </c>
      <c r="H207">
        <v>140.93</v>
      </c>
      <c r="I207">
        <v>73.3</v>
      </c>
      <c r="J207">
        <v>114.94999999999999</v>
      </c>
      <c r="K207">
        <v>78.95</v>
      </c>
      <c r="L207">
        <v>113.11</v>
      </c>
      <c r="M207">
        <v>71.64</v>
      </c>
      <c r="N207">
        <v>140.91</v>
      </c>
      <c r="O207">
        <v>65.61</v>
      </c>
      <c r="P207">
        <v>61.09</v>
      </c>
      <c r="Q207">
        <v>577.51</v>
      </c>
      <c r="R207" s="3">
        <v>4</v>
      </c>
      <c r="S207">
        <v>132.38</v>
      </c>
      <c r="T207">
        <v>87.399999999999991</v>
      </c>
      <c r="U207">
        <v>139.70000000000002</v>
      </c>
      <c r="V207">
        <v>78.98</v>
      </c>
      <c r="W207">
        <v>120.77</v>
      </c>
      <c r="X207">
        <v>77.67</v>
      </c>
      <c r="Y207">
        <v>104.38</v>
      </c>
      <c r="Z207">
        <v>44.11</v>
      </c>
      <c r="AA207">
        <v>80.28</v>
      </c>
      <c r="AB207">
        <v>408.38</v>
      </c>
      <c r="AC207">
        <v>5</v>
      </c>
      <c r="AD207">
        <v>119.35</v>
      </c>
      <c r="AE207">
        <v>88.3</v>
      </c>
      <c r="AF207">
        <v>122.06</v>
      </c>
      <c r="AG207">
        <v>76.460000000000008</v>
      </c>
      <c r="AH207">
        <v>67.539999999999992</v>
      </c>
      <c r="AI207">
        <v>11.5</v>
      </c>
      <c r="AJ207">
        <v>52.98</v>
      </c>
      <c r="AK207">
        <v>8.5500000000000007</v>
      </c>
      <c r="AL207">
        <v>46.45</v>
      </c>
      <c r="AM207" s="3" t="s">
        <v>81</v>
      </c>
      <c r="AN207" s="3" t="s">
        <v>81</v>
      </c>
      <c r="AO207" s="3" t="s">
        <v>81</v>
      </c>
      <c r="AP207" s="3" t="s">
        <v>81</v>
      </c>
      <c r="AQ207" s="3" t="s">
        <v>81</v>
      </c>
      <c r="AR207" s="3" t="s">
        <v>81</v>
      </c>
      <c r="AS207" s="3" t="s">
        <v>81</v>
      </c>
      <c r="AT207" s="3" t="s">
        <v>81</v>
      </c>
      <c r="AU207" s="3" t="s">
        <v>81</v>
      </c>
      <c r="AV207" s="3" t="s">
        <v>81</v>
      </c>
      <c r="AW207" s="3" t="s">
        <v>81</v>
      </c>
      <c r="AX207" s="3" t="s">
        <v>81</v>
      </c>
      <c r="AY207" s="3" t="s">
        <v>81</v>
      </c>
      <c r="AZ207" s="3" t="s">
        <v>81</v>
      </c>
      <c r="BA207" s="3" t="s">
        <v>81</v>
      </c>
      <c r="BB207" s="3" t="s">
        <v>81</v>
      </c>
      <c r="BC207" s="3" t="s">
        <v>81</v>
      </c>
      <c r="BD207" s="3" t="s">
        <v>81</v>
      </c>
      <c r="BF207" s="3" t="s">
        <v>81</v>
      </c>
      <c r="BG207" s="3" t="s">
        <v>81</v>
      </c>
      <c r="BH207" s="3" t="s">
        <v>81</v>
      </c>
      <c r="BI207" s="3" t="s">
        <v>84</v>
      </c>
      <c r="BJ207" s="3" t="s">
        <v>82</v>
      </c>
      <c r="BK207" s="3" t="s">
        <v>83</v>
      </c>
      <c r="BL207" s="3" t="s">
        <v>84</v>
      </c>
      <c r="BM207" s="3" t="s">
        <v>84</v>
      </c>
      <c r="BN207" s="3" t="s">
        <v>82</v>
      </c>
      <c r="BO207" s="3"/>
      <c r="BV207" s="3"/>
      <c r="BW207" s="3"/>
      <c r="BX207" s="3"/>
      <c r="BZ207" s="9" t="s">
        <v>93</v>
      </c>
      <c r="CB207" s="9" t="s">
        <v>84</v>
      </c>
      <c r="CD207">
        <v>45</v>
      </c>
      <c r="CF207" s="18"/>
      <c r="CG207" s="18">
        <v>45</v>
      </c>
      <c r="CH207" s="18"/>
      <c r="CI207" s="18"/>
    </row>
    <row r="208" spans="1:87" ht="15.75" customHeight="1" x14ac:dyDescent="0.15">
      <c r="A208" s="3"/>
      <c r="B208" s="3"/>
      <c r="C208" s="3"/>
    </row>
    <row r="209" spans="1:3" ht="15.75" customHeight="1" x14ac:dyDescent="0.15">
      <c r="A209" s="3"/>
      <c r="B209" s="3"/>
      <c r="C209" s="3"/>
    </row>
    <row r="210" spans="1:3" ht="15.75" customHeight="1" x14ac:dyDescent="0.15">
      <c r="A210" s="3"/>
      <c r="B210" s="3"/>
      <c r="C210" s="3"/>
    </row>
    <row r="211" spans="1:3" ht="15.75" customHeight="1" x14ac:dyDescent="0.15">
      <c r="A211" s="3"/>
      <c r="B211" s="3"/>
      <c r="C211" s="3"/>
    </row>
    <row r="212" spans="1:3" ht="15.75" customHeight="1" x14ac:dyDescent="0.15">
      <c r="A212" s="3"/>
      <c r="B212" s="3"/>
      <c r="C212" s="3"/>
    </row>
    <row r="213" spans="1:3" ht="15.75" customHeight="1" x14ac:dyDescent="0.15">
      <c r="A213" s="3"/>
      <c r="B213" s="3"/>
      <c r="C213" s="3"/>
    </row>
    <row r="214" spans="1:3" ht="15.75" customHeight="1" x14ac:dyDescent="0.15">
      <c r="A214" s="3"/>
      <c r="B214" s="3"/>
      <c r="C214" s="3"/>
    </row>
    <row r="215" spans="1:3" ht="15.75" customHeight="1" x14ac:dyDescent="0.15">
      <c r="A215" s="3"/>
      <c r="B215" s="3"/>
      <c r="C215" s="3"/>
    </row>
    <row r="216" spans="1:3" ht="15.75" customHeight="1" x14ac:dyDescent="0.15">
      <c r="A216" s="3"/>
      <c r="B216" s="3"/>
      <c r="C216" s="3"/>
    </row>
    <row r="217" spans="1:3" ht="15.75" customHeight="1" x14ac:dyDescent="0.15">
      <c r="A217" s="3"/>
      <c r="B217" s="3"/>
      <c r="C217" s="3"/>
    </row>
    <row r="218" spans="1:3" ht="15.75" customHeight="1" x14ac:dyDescent="0.15"/>
    <row r="219" spans="1:3" ht="15.75" customHeight="1" x14ac:dyDescent="0.15"/>
    <row r="220" spans="1:3" ht="15.75" customHeight="1" x14ac:dyDescent="0.15"/>
    <row r="221" spans="1:3" ht="15.75" customHeight="1" x14ac:dyDescent="0.15"/>
    <row r="222" spans="1:3" ht="15.75" customHeight="1" x14ac:dyDescent="0.15"/>
  </sheetData>
  <autoFilter ref="A1:CG1047784" xr:uid="{67258328-E890-F442-AC31-508B3CB5BD2B}"/>
  <dataValidations count="2">
    <dataValidation type="list" allowBlank="1" sqref="BI2:BO14 BX2:BX11 BV2:BV11 BV12:BX12 BX13:BX14 BV13:BV14 BI206:BO207 BJ180 BI182:BJ182 BK180:BO182 BI183:BO195 BX206:BX207 BV206:BV207 BI16:BI52 BI54:BI178 BJ16:BO179 BX16:BX195 BV16:BV195" xr:uid="{9E3382D4-66DD-4A49-8605-0E9305B4FF71}">
      <formula1>"Y,N,NA"</formula1>
    </dataValidation>
    <dataValidation type="list" allowBlank="1" sqref="BW2:BW11 BW13:BW14 BW206:BW207 BW16:BW195" xr:uid="{35F970DA-EACE-4F44-B400-57ED4309FEB8}">
      <formula1>"Longer,Shorter,NA"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9387C-0757-AA45-8FB5-BFD9643FA853}">
  <dimension ref="A1:CI193"/>
  <sheetViews>
    <sheetView workbookViewId="0">
      <pane xSplit="3" topLeftCell="D1" activePane="topRight" state="frozen"/>
      <selection pane="topRight" activeCell="C38" sqref="C38"/>
    </sheetView>
  </sheetViews>
  <sheetFormatPr baseColWidth="10" defaultRowHeight="13" x14ac:dyDescent="0.15"/>
  <cols>
    <col min="1" max="1" width="11.1640625" bestFit="1" customWidth="1"/>
    <col min="2" max="2" width="20.6640625" customWidth="1"/>
    <col min="3" max="3" width="19.83203125" customWidth="1"/>
  </cols>
  <sheetData>
    <row r="1" spans="1:87" x14ac:dyDescent="0.15">
      <c r="A1" s="3">
        <v>1228526030</v>
      </c>
      <c r="B1" s="3" t="s">
        <v>222</v>
      </c>
      <c r="C1" s="3" t="s">
        <v>222</v>
      </c>
      <c r="D1" s="3" t="s">
        <v>81</v>
      </c>
      <c r="E1" s="3">
        <v>2</v>
      </c>
      <c r="F1" s="3">
        <v>20.605</v>
      </c>
      <c r="G1" s="3">
        <v>0</v>
      </c>
      <c r="H1" s="3" t="s">
        <v>81</v>
      </c>
      <c r="I1" s="3" t="s">
        <v>81</v>
      </c>
      <c r="J1" s="3" t="s">
        <v>81</v>
      </c>
      <c r="K1" s="3" t="s">
        <v>81</v>
      </c>
      <c r="L1" s="3" t="s">
        <v>81</v>
      </c>
      <c r="M1" s="3" t="s">
        <v>81</v>
      </c>
      <c r="N1" s="3" t="s">
        <v>81</v>
      </c>
      <c r="O1" s="3" t="s">
        <v>81</v>
      </c>
      <c r="P1" s="3" t="s">
        <v>81</v>
      </c>
      <c r="Q1" s="3">
        <v>22.748000000000001</v>
      </c>
      <c r="R1" s="3">
        <v>0</v>
      </c>
      <c r="S1" s="3" t="s">
        <v>81</v>
      </c>
      <c r="T1" s="3" t="s">
        <v>81</v>
      </c>
      <c r="U1" s="3" t="s">
        <v>81</v>
      </c>
      <c r="V1" s="3" t="s">
        <v>81</v>
      </c>
      <c r="W1" s="3" t="s">
        <v>81</v>
      </c>
      <c r="X1" s="3" t="s">
        <v>81</v>
      </c>
      <c r="Y1" s="3" t="s">
        <v>81</v>
      </c>
      <c r="Z1" s="3" t="s">
        <v>81</v>
      </c>
      <c r="AA1" s="3" t="s">
        <v>81</v>
      </c>
      <c r="AB1" s="3" t="s">
        <v>81</v>
      </c>
      <c r="AC1" s="3" t="s">
        <v>81</v>
      </c>
      <c r="AD1" s="3" t="s">
        <v>81</v>
      </c>
      <c r="AE1" s="3" t="s">
        <v>81</v>
      </c>
      <c r="AF1" s="3" t="s">
        <v>81</v>
      </c>
      <c r="AG1" s="3" t="s">
        <v>81</v>
      </c>
      <c r="AH1" s="3" t="s">
        <v>81</v>
      </c>
      <c r="AI1" s="3" t="s">
        <v>81</v>
      </c>
      <c r="AJ1" s="3" t="s">
        <v>81</v>
      </c>
      <c r="AK1" s="3" t="s">
        <v>81</v>
      </c>
      <c r="AL1" s="3" t="s">
        <v>81</v>
      </c>
      <c r="AM1" s="3" t="s">
        <v>81</v>
      </c>
      <c r="AN1" s="3" t="s">
        <v>81</v>
      </c>
      <c r="AO1" s="3" t="s">
        <v>81</v>
      </c>
      <c r="AP1" s="3" t="s">
        <v>81</v>
      </c>
      <c r="AQ1" s="3" t="s">
        <v>81</v>
      </c>
      <c r="AR1" s="3" t="s">
        <v>81</v>
      </c>
      <c r="AS1" s="3" t="s">
        <v>81</v>
      </c>
      <c r="AT1" s="3" t="s">
        <v>81</v>
      </c>
      <c r="AU1" s="3" t="s">
        <v>81</v>
      </c>
      <c r="AV1" s="3" t="s">
        <v>81</v>
      </c>
      <c r="AW1" s="3" t="s">
        <v>81</v>
      </c>
      <c r="AX1" s="3" t="s">
        <v>81</v>
      </c>
      <c r="AY1" s="3" t="s">
        <v>81</v>
      </c>
      <c r="AZ1" s="3" t="s">
        <v>81</v>
      </c>
      <c r="BA1" s="3" t="s">
        <v>81</v>
      </c>
      <c r="BB1" s="3" t="s">
        <v>81</v>
      </c>
      <c r="BC1" s="3" t="s">
        <v>81</v>
      </c>
      <c r="BD1" s="3" t="s">
        <v>81</v>
      </c>
      <c r="BE1" s="3" t="s">
        <v>81</v>
      </c>
      <c r="BF1" s="3" t="s">
        <v>81</v>
      </c>
      <c r="BG1" s="3" t="s">
        <v>81</v>
      </c>
      <c r="BH1" s="3" t="s">
        <v>81</v>
      </c>
      <c r="BI1" s="3" t="s">
        <v>82</v>
      </c>
      <c r="BJ1" s="3" t="s">
        <v>84</v>
      </c>
      <c r="BK1" s="3" t="s">
        <v>84</v>
      </c>
      <c r="BL1" s="3" t="s">
        <v>82</v>
      </c>
      <c r="BM1" s="3" t="s">
        <v>83</v>
      </c>
      <c r="BN1" s="3" t="s">
        <v>83</v>
      </c>
      <c r="BO1" s="3" t="s">
        <v>83</v>
      </c>
      <c r="BP1" s="3" t="s">
        <v>81</v>
      </c>
      <c r="BQ1" s="3" t="s">
        <v>81</v>
      </c>
      <c r="BR1" s="3" t="s">
        <v>81</v>
      </c>
      <c r="BS1" s="3" t="s">
        <v>81</v>
      </c>
      <c r="BT1" s="3" t="s">
        <v>81</v>
      </c>
      <c r="BU1" s="3" t="s">
        <v>81</v>
      </c>
      <c r="BV1" s="3" t="s">
        <v>83</v>
      </c>
      <c r="BW1" s="3" t="s">
        <v>83</v>
      </c>
      <c r="BX1" s="3" t="s">
        <v>83</v>
      </c>
      <c r="BY1" s="3" t="s">
        <v>223</v>
      </c>
      <c r="BZ1" s="3" t="s">
        <v>93</v>
      </c>
      <c r="CB1" s="3" t="s">
        <v>84</v>
      </c>
    </row>
    <row r="2" spans="1:87" x14ac:dyDescent="0.15">
      <c r="A2" s="3">
        <v>1847924803</v>
      </c>
      <c r="B2" s="3" t="s">
        <v>222</v>
      </c>
      <c r="C2" s="3" t="s">
        <v>222</v>
      </c>
      <c r="D2" s="3">
        <v>2</v>
      </c>
      <c r="E2" s="3">
        <v>2</v>
      </c>
      <c r="F2" s="3">
        <v>45.389000000000003</v>
      </c>
      <c r="G2" s="3">
        <v>0</v>
      </c>
      <c r="H2" s="3" t="s">
        <v>81</v>
      </c>
      <c r="I2" s="3" t="s">
        <v>81</v>
      </c>
      <c r="J2" s="3" t="s">
        <v>81</v>
      </c>
      <c r="K2" s="3" t="s">
        <v>81</v>
      </c>
      <c r="L2" s="3" t="s">
        <v>81</v>
      </c>
      <c r="M2" s="3" t="s">
        <v>81</v>
      </c>
      <c r="N2" s="3" t="s">
        <v>81</v>
      </c>
      <c r="O2" s="3" t="s">
        <v>81</v>
      </c>
      <c r="P2" s="3" t="s">
        <v>81</v>
      </c>
      <c r="Q2" s="3">
        <v>51.430999999999997</v>
      </c>
      <c r="R2" s="3">
        <v>0</v>
      </c>
      <c r="S2" s="3" t="s">
        <v>81</v>
      </c>
      <c r="T2" s="3" t="s">
        <v>81</v>
      </c>
      <c r="U2" s="3" t="s">
        <v>81</v>
      </c>
      <c r="V2" s="3" t="s">
        <v>81</v>
      </c>
      <c r="W2" s="3" t="s">
        <v>81</v>
      </c>
      <c r="X2" s="3" t="s">
        <v>81</v>
      </c>
      <c r="Y2" s="3" t="s">
        <v>81</v>
      </c>
      <c r="Z2" s="3" t="s">
        <v>81</v>
      </c>
      <c r="AA2" s="3" t="s">
        <v>81</v>
      </c>
      <c r="AB2" s="3" t="s">
        <v>81</v>
      </c>
      <c r="AC2" s="3" t="s">
        <v>81</v>
      </c>
      <c r="AD2" s="3" t="s">
        <v>81</v>
      </c>
      <c r="AE2" s="3" t="s">
        <v>81</v>
      </c>
      <c r="AF2" s="3" t="s">
        <v>81</v>
      </c>
      <c r="AG2" s="3" t="s">
        <v>81</v>
      </c>
      <c r="AH2" s="3" t="s">
        <v>81</v>
      </c>
      <c r="AI2" s="3" t="s">
        <v>81</v>
      </c>
      <c r="AJ2" s="3" t="s">
        <v>81</v>
      </c>
      <c r="AK2" s="3" t="s">
        <v>81</v>
      </c>
      <c r="AL2" s="3" t="s">
        <v>81</v>
      </c>
      <c r="AM2" s="3" t="s">
        <v>81</v>
      </c>
      <c r="AN2" s="3" t="s">
        <v>81</v>
      </c>
      <c r="AO2" s="3" t="s">
        <v>81</v>
      </c>
      <c r="AP2" s="3" t="s">
        <v>81</v>
      </c>
      <c r="AQ2" s="3" t="s">
        <v>81</v>
      </c>
      <c r="AR2" s="3" t="s">
        <v>81</v>
      </c>
      <c r="AS2" s="3" t="s">
        <v>81</v>
      </c>
      <c r="AT2" s="3" t="s">
        <v>81</v>
      </c>
      <c r="AU2" s="3" t="s">
        <v>81</v>
      </c>
      <c r="AV2" s="3" t="s">
        <v>81</v>
      </c>
      <c r="AW2" s="3" t="s">
        <v>81</v>
      </c>
      <c r="AX2" s="3" t="s">
        <v>81</v>
      </c>
      <c r="AY2" s="3" t="s">
        <v>81</v>
      </c>
      <c r="AZ2" s="3" t="s">
        <v>81</v>
      </c>
      <c r="BA2" s="3" t="s">
        <v>81</v>
      </c>
      <c r="BB2" s="3" t="s">
        <v>81</v>
      </c>
      <c r="BC2" s="3" t="s">
        <v>81</v>
      </c>
      <c r="BD2" s="3" t="s">
        <v>81</v>
      </c>
      <c r="BE2" s="3" t="s">
        <v>81</v>
      </c>
      <c r="BF2" s="3" t="s">
        <v>81</v>
      </c>
      <c r="BG2" s="3" t="s">
        <v>81</v>
      </c>
      <c r="BH2" s="3" t="s">
        <v>81</v>
      </c>
      <c r="BI2" s="3" t="s">
        <v>82</v>
      </c>
      <c r="BJ2" s="3" t="s">
        <v>84</v>
      </c>
      <c r="BK2" s="3" t="s">
        <v>83</v>
      </c>
      <c r="BL2" s="3" t="s">
        <v>84</v>
      </c>
      <c r="BM2" s="3" t="s">
        <v>84</v>
      </c>
      <c r="BN2" s="3" t="s">
        <v>84</v>
      </c>
      <c r="BO2" s="3" t="s">
        <v>84</v>
      </c>
      <c r="BP2" s="3" t="s">
        <v>224</v>
      </c>
      <c r="BQ2" s="3" t="s">
        <v>224</v>
      </c>
      <c r="BR2" s="3" t="s">
        <v>225</v>
      </c>
      <c r="BS2" s="3" t="s">
        <v>226</v>
      </c>
      <c r="BT2" s="3" t="s">
        <v>85</v>
      </c>
      <c r="BU2" s="3" t="s">
        <v>98</v>
      </c>
      <c r="BV2" s="3" t="s">
        <v>84</v>
      </c>
      <c r="BW2" s="3" t="s">
        <v>83</v>
      </c>
      <c r="BX2" s="3" t="s">
        <v>82</v>
      </c>
      <c r="BY2" s="3" t="s">
        <v>227</v>
      </c>
      <c r="BZ2" s="3" t="s">
        <v>93</v>
      </c>
      <c r="CB2" s="3" t="s">
        <v>84</v>
      </c>
    </row>
    <row r="3" spans="1:87" x14ac:dyDescent="0.15">
      <c r="A3" s="3">
        <v>2236117299</v>
      </c>
      <c r="B3" s="3" t="s">
        <v>222</v>
      </c>
      <c r="C3" s="3" t="s">
        <v>222</v>
      </c>
      <c r="D3" s="3">
        <v>5</v>
      </c>
      <c r="E3" s="3">
        <v>5</v>
      </c>
      <c r="F3" s="3">
        <v>16.300999999999998</v>
      </c>
      <c r="G3" s="3">
        <v>0</v>
      </c>
      <c r="H3" s="3" t="s">
        <v>81</v>
      </c>
      <c r="I3" s="3" t="s">
        <v>81</v>
      </c>
      <c r="J3" s="3" t="s">
        <v>81</v>
      </c>
      <c r="K3" s="3" t="s">
        <v>81</v>
      </c>
      <c r="L3" s="3" t="s">
        <v>81</v>
      </c>
      <c r="M3" s="3" t="s">
        <v>81</v>
      </c>
      <c r="N3" s="3" t="s">
        <v>81</v>
      </c>
      <c r="O3" s="3" t="s">
        <v>81</v>
      </c>
      <c r="P3" s="3" t="s">
        <v>81</v>
      </c>
      <c r="Q3" s="3">
        <v>14.269</v>
      </c>
      <c r="R3" s="3">
        <v>0</v>
      </c>
      <c r="S3" s="3" t="s">
        <v>81</v>
      </c>
      <c r="T3" s="3" t="s">
        <v>81</v>
      </c>
      <c r="U3" s="3" t="s">
        <v>81</v>
      </c>
      <c r="V3" s="3" t="s">
        <v>81</v>
      </c>
      <c r="W3" s="3" t="s">
        <v>81</v>
      </c>
      <c r="X3" s="3" t="s">
        <v>81</v>
      </c>
      <c r="Y3" s="3" t="s">
        <v>81</v>
      </c>
      <c r="Z3" s="3" t="s">
        <v>81</v>
      </c>
      <c r="AA3" s="3" t="s">
        <v>81</v>
      </c>
      <c r="AB3" s="3">
        <v>16.757999999999999</v>
      </c>
      <c r="AC3" s="3">
        <v>0</v>
      </c>
      <c r="AD3" s="3" t="s">
        <v>81</v>
      </c>
      <c r="AE3" s="3" t="s">
        <v>81</v>
      </c>
      <c r="AF3" s="3" t="s">
        <v>81</v>
      </c>
      <c r="AG3" s="3" t="s">
        <v>81</v>
      </c>
      <c r="AH3" s="3" t="s">
        <v>81</v>
      </c>
      <c r="AI3" s="3" t="s">
        <v>81</v>
      </c>
      <c r="AJ3" s="3" t="s">
        <v>81</v>
      </c>
      <c r="AK3" s="3" t="s">
        <v>81</v>
      </c>
      <c r="AL3" s="3" t="s">
        <v>81</v>
      </c>
      <c r="AM3" s="3">
        <v>15.083</v>
      </c>
      <c r="AN3" s="3">
        <v>0</v>
      </c>
      <c r="AO3" s="3" t="s">
        <v>81</v>
      </c>
      <c r="AP3" s="3" t="s">
        <v>81</v>
      </c>
      <c r="AQ3" s="3" t="s">
        <v>81</v>
      </c>
      <c r="AR3" s="3" t="s">
        <v>81</v>
      </c>
      <c r="AS3" s="3" t="s">
        <v>81</v>
      </c>
      <c r="AT3" s="3" t="s">
        <v>81</v>
      </c>
      <c r="AU3" s="3" t="s">
        <v>81</v>
      </c>
      <c r="AV3" s="3" t="s">
        <v>81</v>
      </c>
      <c r="AW3" s="3" t="s">
        <v>81</v>
      </c>
      <c r="AX3" s="3">
        <v>15.827</v>
      </c>
      <c r="AY3" s="3">
        <v>0</v>
      </c>
      <c r="AZ3" s="3" t="s">
        <v>81</v>
      </c>
      <c r="BA3" s="3" t="s">
        <v>81</v>
      </c>
      <c r="BB3" s="3" t="s">
        <v>81</v>
      </c>
      <c r="BC3" s="3" t="s">
        <v>81</v>
      </c>
      <c r="BD3" s="3" t="s">
        <v>81</v>
      </c>
      <c r="BE3" s="3" t="s">
        <v>81</v>
      </c>
      <c r="BF3" s="3" t="s">
        <v>81</v>
      </c>
      <c r="BG3" s="3" t="s">
        <v>81</v>
      </c>
      <c r="BH3" s="3" t="s">
        <v>81</v>
      </c>
      <c r="BI3" s="3" t="s">
        <v>84</v>
      </c>
      <c r="BJ3" s="3" t="s">
        <v>82</v>
      </c>
      <c r="BK3" s="3" t="s">
        <v>83</v>
      </c>
      <c r="BL3" s="3" t="s">
        <v>84</v>
      </c>
      <c r="BM3" s="3" t="s">
        <v>84</v>
      </c>
      <c r="BN3" s="3" t="s">
        <v>84</v>
      </c>
      <c r="BO3" s="3" t="s">
        <v>83</v>
      </c>
      <c r="BP3" s="3" t="s">
        <v>85</v>
      </c>
      <c r="BQ3" s="3" t="s">
        <v>85</v>
      </c>
      <c r="BR3" s="3" t="s">
        <v>85</v>
      </c>
      <c r="BS3" s="3" t="s">
        <v>85</v>
      </c>
      <c r="BT3" s="3" t="s">
        <v>85</v>
      </c>
      <c r="BU3" s="3" t="s">
        <v>81</v>
      </c>
      <c r="BV3" s="3" t="s">
        <v>84</v>
      </c>
      <c r="BW3" s="3" t="s">
        <v>83</v>
      </c>
      <c r="BX3" s="3" t="s">
        <v>82</v>
      </c>
      <c r="BY3" s="3" t="s">
        <v>228</v>
      </c>
      <c r="BZ3" s="3" t="s">
        <v>86</v>
      </c>
      <c r="CB3" s="3" t="s">
        <v>84</v>
      </c>
    </row>
    <row r="4" spans="1:87" x14ac:dyDescent="0.15">
      <c r="A4" s="3">
        <v>2625856795</v>
      </c>
      <c r="B4" s="3" t="s">
        <v>222</v>
      </c>
      <c r="C4" s="3" t="s">
        <v>222</v>
      </c>
      <c r="D4" s="3" t="s">
        <v>81</v>
      </c>
      <c r="E4" s="3">
        <v>7</v>
      </c>
      <c r="F4" s="3">
        <v>24.914999999999999</v>
      </c>
      <c r="G4" s="3">
        <v>0</v>
      </c>
      <c r="H4" s="3" t="s">
        <v>81</v>
      </c>
      <c r="I4" s="3" t="s">
        <v>81</v>
      </c>
      <c r="J4" s="3" t="s">
        <v>81</v>
      </c>
      <c r="K4" s="3" t="s">
        <v>81</v>
      </c>
      <c r="L4" s="3" t="s">
        <v>81</v>
      </c>
      <c r="M4" s="3" t="s">
        <v>81</v>
      </c>
      <c r="N4" s="3" t="s">
        <v>81</v>
      </c>
      <c r="O4" s="3" t="s">
        <v>81</v>
      </c>
      <c r="P4" s="3" t="s">
        <v>81</v>
      </c>
      <c r="Q4" s="3">
        <v>25.132000000000001</v>
      </c>
      <c r="R4" s="3">
        <v>0</v>
      </c>
      <c r="S4" s="3" t="s">
        <v>81</v>
      </c>
      <c r="T4" s="3" t="s">
        <v>81</v>
      </c>
      <c r="U4" s="3" t="s">
        <v>81</v>
      </c>
      <c r="V4" s="3" t="s">
        <v>81</v>
      </c>
      <c r="W4" s="3" t="s">
        <v>81</v>
      </c>
      <c r="X4" s="3" t="s">
        <v>81</v>
      </c>
      <c r="Y4" s="3" t="s">
        <v>81</v>
      </c>
      <c r="Z4" s="3" t="s">
        <v>81</v>
      </c>
      <c r="AA4" s="3" t="s">
        <v>81</v>
      </c>
      <c r="AB4" s="3">
        <v>25.152999999999999</v>
      </c>
      <c r="AC4" s="3">
        <v>0</v>
      </c>
      <c r="AD4" s="3" t="s">
        <v>81</v>
      </c>
      <c r="AE4" s="3" t="s">
        <v>81</v>
      </c>
      <c r="AF4" s="3" t="s">
        <v>81</v>
      </c>
      <c r="AG4" s="3" t="s">
        <v>81</v>
      </c>
      <c r="AH4" s="3" t="s">
        <v>81</v>
      </c>
      <c r="AI4" s="3" t="s">
        <v>81</v>
      </c>
      <c r="AJ4" s="3" t="s">
        <v>81</v>
      </c>
      <c r="AK4" s="3" t="s">
        <v>81</v>
      </c>
      <c r="AL4" s="3" t="s">
        <v>81</v>
      </c>
      <c r="AM4" s="3">
        <v>25.408999999999999</v>
      </c>
      <c r="AN4" s="3">
        <v>0</v>
      </c>
      <c r="AO4" s="3" t="s">
        <v>81</v>
      </c>
      <c r="AP4" s="3" t="s">
        <v>81</v>
      </c>
      <c r="AQ4" s="3" t="s">
        <v>81</v>
      </c>
      <c r="AR4" s="3" t="s">
        <v>81</v>
      </c>
      <c r="AS4" s="3" t="s">
        <v>81</v>
      </c>
      <c r="AT4" s="3" t="s">
        <v>81</v>
      </c>
      <c r="AU4" s="3" t="s">
        <v>81</v>
      </c>
      <c r="AV4" s="3" t="s">
        <v>81</v>
      </c>
      <c r="AW4" s="3" t="s">
        <v>81</v>
      </c>
      <c r="AX4" s="3">
        <v>23.277999999999999</v>
      </c>
      <c r="AY4" s="3">
        <v>0</v>
      </c>
      <c r="AZ4" s="3" t="s">
        <v>81</v>
      </c>
      <c r="BA4" s="3" t="s">
        <v>81</v>
      </c>
      <c r="BB4" s="3" t="s">
        <v>81</v>
      </c>
      <c r="BC4" s="3" t="s">
        <v>81</v>
      </c>
      <c r="BD4" s="3" t="s">
        <v>81</v>
      </c>
      <c r="BE4" s="3" t="s">
        <v>81</v>
      </c>
      <c r="BF4" s="3" t="s">
        <v>81</v>
      </c>
      <c r="BG4" s="3" t="s">
        <v>81</v>
      </c>
      <c r="BH4" s="3" t="s">
        <v>81</v>
      </c>
      <c r="BI4" s="3" t="s">
        <v>84</v>
      </c>
      <c r="BJ4" s="3" t="s">
        <v>82</v>
      </c>
      <c r="BK4" s="3" t="s">
        <v>83</v>
      </c>
      <c r="BL4" s="3" t="s">
        <v>84</v>
      </c>
      <c r="BM4" s="3" t="s">
        <v>84</v>
      </c>
      <c r="BN4" s="3" t="s">
        <v>84</v>
      </c>
      <c r="BO4" s="3" t="s">
        <v>84</v>
      </c>
      <c r="BP4" s="3" t="s">
        <v>81</v>
      </c>
      <c r="BQ4" s="3" t="s">
        <v>81</v>
      </c>
      <c r="BR4" s="3" t="s">
        <v>81</v>
      </c>
      <c r="BS4" s="3" t="s">
        <v>81</v>
      </c>
      <c r="BT4" s="3" t="s">
        <v>81</v>
      </c>
      <c r="BU4" s="3" t="s">
        <v>81</v>
      </c>
      <c r="BV4" s="3" t="s">
        <v>82</v>
      </c>
      <c r="BW4" s="3" t="s">
        <v>91</v>
      </c>
      <c r="BX4" s="3" t="s">
        <v>82</v>
      </c>
      <c r="BY4" s="3" t="s">
        <v>190</v>
      </c>
      <c r="BZ4" s="3" t="s">
        <v>86</v>
      </c>
      <c r="CB4" s="3" t="s">
        <v>84</v>
      </c>
    </row>
    <row r="5" spans="1:87" ht="15.75" customHeight="1" x14ac:dyDescent="0.15">
      <c r="A5" s="3">
        <v>1228157243</v>
      </c>
      <c r="B5" s="3" t="s">
        <v>186</v>
      </c>
      <c r="C5" s="3" t="s">
        <v>186</v>
      </c>
      <c r="D5" s="3">
        <v>2</v>
      </c>
      <c r="E5" s="3">
        <v>2</v>
      </c>
      <c r="F5" s="3">
        <v>13.834</v>
      </c>
      <c r="G5" s="3">
        <v>0</v>
      </c>
      <c r="H5" s="3" t="s">
        <v>81</v>
      </c>
      <c r="I5" s="3" t="s">
        <v>81</v>
      </c>
      <c r="J5" s="3" t="s">
        <v>81</v>
      </c>
      <c r="K5" s="3" t="s">
        <v>81</v>
      </c>
      <c r="L5" s="3" t="s">
        <v>81</v>
      </c>
      <c r="M5" s="3" t="s">
        <v>81</v>
      </c>
      <c r="N5" s="3" t="s">
        <v>81</v>
      </c>
      <c r="O5" s="3" t="s">
        <v>81</v>
      </c>
      <c r="P5" s="3" t="s">
        <v>81</v>
      </c>
      <c r="Q5" s="3">
        <v>14.73</v>
      </c>
      <c r="R5" s="3">
        <v>0</v>
      </c>
      <c r="S5" s="3" t="s">
        <v>81</v>
      </c>
      <c r="T5" s="3" t="s">
        <v>81</v>
      </c>
      <c r="U5" s="3" t="s">
        <v>81</v>
      </c>
      <c r="V5" s="3" t="s">
        <v>81</v>
      </c>
      <c r="W5" s="3" t="s">
        <v>81</v>
      </c>
      <c r="X5" s="3" t="s">
        <v>81</v>
      </c>
      <c r="Y5" s="3" t="s">
        <v>81</v>
      </c>
      <c r="Z5" s="3" t="s">
        <v>81</v>
      </c>
      <c r="AA5" s="3" t="s">
        <v>81</v>
      </c>
      <c r="AB5" s="3" t="s">
        <v>81</v>
      </c>
      <c r="AC5" s="3" t="s">
        <v>81</v>
      </c>
      <c r="AD5" s="3" t="s">
        <v>81</v>
      </c>
      <c r="AE5" s="3" t="s">
        <v>81</v>
      </c>
      <c r="AF5" s="3" t="s">
        <v>81</v>
      </c>
      <c r="AG5" s="3" t="s">
        <v>81</v>
      </c>
      <c r="AH5" s="3" t="s">
        <v>81</v>
      </c>
      <c r="AI5" s="3" t="s">
        <v>81</v>
      </c>
      <c r="AJ5" s="3" t="s">
        <v>81</v>
      </c>
      <c r="AK5" s="3" t="s">
        <v>81</v>
      </c>
      <c r="AL5" s="3" t="s">
        <v>81</v>
      </c>
      <c r="AM5" s="3" t="s">
        <v>81</v>
      </c>
      <c r="AN5" s="3" t="s">
        <v>81</v>
      </c>
      <c r="AO5" s="3" t="s">
        <v>81</v>
      </c>
      <c r="AP5" s="3" t="s">
        <v>81</v>
      </c>
      <c r="AQ5" s="3" t="s">
        <v>81</v>
      </c>
      <c r="AR5" s="3" t="s">
        <v>81</v>
      </c>
      <c r="AS5" s="3" t="s">
        <v>81</v>
      </c>
      <c r="AT5" s="3" t="s">
        <v>81</v>
      </c>
      <c r="AU5" s="3" t="s">
        <v>81</v>
      </c>
      <c r="AV5" s="3" t="s">
        <v>81</v>
      </c>
      <c r="AW5" s="3" t="s">
        <v>81</v>
      </c>
      <c r="AX5" s="3" t="s">
        <v>81</v>
      </c>
      <c r="AY5" s="3" t="s">
        <v>81</v>
      </c>
      <c r="AZ5" s="3" t="s">
        <v>81</v>
      </c>
      <c r="BA5" s="3" t="s">
        <v>81</v>
      </c>
      <c r="BB5" s="3" t="s">
        <v>81</v>
      </c>
      <c r="BC5" s="3" t="s">
        <v>81</v>
      </c>
      <c r="BD5" s="3" t="s">
        <v>81</v>
      </c>
      <c r="BE5" s="3" t="s">
        <v>81</v>
      </c>
      <c r="BF5" s="3" t="s">
        <v>81</v>
      </c>
      <c r="BG5" s="3" t="s">
        <v>81</v>
      </c>
      <c r="BH5" s="3" t="s">
        <v>81</v>
      </c>
      <c r="BI5" s="3" t="s">
        <v>82</v>
      </c>
      <c r="BJ5" s="3" t="s">
        <v>82</v>
      </c>
      <c r="BK5" s="3" t="s">
        <v>83</v>
      </c>
      <c r="BL5" s="3" t="s">
        <v>84</v>
      </c>
      <c r="BM5" s="3" t="s">
        <v>82</v>
      </c>
      <c r="BN5" s="3" t="s">
        <v>84</v>
      </c>
      <c r="BO5" s="3" t="s">
        <v>82</v>
      </c>
      <c r="BP5" s="3" t="s">
        <v>87</v>
      </c>
      <c r="BQ5" s="3" t="s">
        <v>87</v>
      </c>
      <c r="BR5" s="3" t="s">
        <v>85</v>
      </c>
      <c r="BS5" s="3" t="s">
        <v>85</v>
      </c>
      <c r="BT5" s="3" t="s">
        <v>87</v>
      </c>
      <c r="BU5" s="3" t="s">
        <v>85</v>
      </c>
      <c r="BV5" s="3" t="s">
        <v>84</v>
      </c>
      <c r="BW5" s="3" t="s">
        <v>83</v>
      </c>
      <c r="BX5" s="3" t="s">
        <v>82</v>
      </c>
      <c r="BZ5" s="3" t="s">
        <v>93</v>
      </c>
      <c r="CB5" s="3" t="s">
        <v>84</v>
      </c>
    </row>
    <row r="6" spans="1:87" ht="15.75" customHeight="1" x14ac:dyDescent="0.15">
      <c r="A6" s="3">
        <v>1847943110</v>
      </c>
      <c r="B6" s="3" t="s">
        <v>186</v>
      </c>
      <c r="C6" s="3" t="s">
        <v>186</v>
      </c>
      <c r="D6" s="3">
        <v>3</v>
      </c>
      <c r="E6" s="3">
        <v>3</v>
      </c>
      <c r="F6" s="3">
        <v>28.835000000000001</v>
      </c>
      <c r="G6" s="3">
        <v>0</v>
      </c>
      <c r="H6" s="3" t="s">
        <v>81</v>
      </c>
      <c r="I6" s="3" t="s">
        <v>81</v>
      </c>
      <c r="J6" s="3" t="s">
        <v>81</v>
      </c>
      <c r="K6" s="3" t="s">
        <v>81</v>
      </c>
      <c r="L6" s="3" t="s">
        <v>81</v>
      </c>
      <c r="M6" s="3" t="s">
        <v>81</v>
      </c>
      <c r="N6" s="3" t="s">
        <v>81</v>
      </c>
      <c r="O6" s="3" t="s">
        <v>81</v>
      </c>
      <c r="P6" s="3" t="s">
        <v>81</v>
      </c>
      <c r="Q6" s="3">
        <v>25.498999999999999</v>
      </c>
      <c r="R6" s="3">
        <v>0</v>
      </c>
      <c r="S6" s="3" t="s">
        <v>81</v>
      </c>
      <c r="T6" s="3" t="s">
        <v>81</v>
      </c>
      <c r="U6" s="3" t="s">
        <v>81</v>
      </c>
      <c r="V6" s="3" t="s">
        <v>81</v>
      </c>
      <c r="W6" s="3" t="s">
        <v>81</v>
      </c>
      <c r="X6" s="3" t="s">
        <v>81</v>
      </c>
      <c r="Y6" s="3" t="s">
        <v>81</v>
      </c>
      <c r="Z6" s="3" t="s">
        <v>81</v>
      </c>
      <c r="AA6" s="3" t="s">
        <v>81</v>
      </c>
      <c r="AB6" s="3" t="s">
        <v>81</v>
      </c>
      <c r="AC6" s="3" t="s">
        <v>81</v>
      </c>
      <c r="AD6" s="3" t="s">
        <v>81</v>
      </c>
      <c r="AE6" s="3" t="s">
        <v>81</v>
      </c>
      <c r="AF6" s="3" t="s">
        <v>81</v>
      </c>
      <c r="AG6" s="3" t="s">
        <v>81</v>
      </c>
      <c r="AH6" s="3" t="s">
        <v>81</v>
      </c>
      <c r="AI6" s="3" t="s">
        <v>81</v>
      </c>
      <c r="AJ6" s="3" t="s">
        <v>81</v>
      </c>
      <c r="AK6" s="3" t="s">
        <v>81</v>
      </c>
      <c r="AL6" s="3" t="s">
        <v>81</v>
      </c>
      <c r="AM6" s="3" t="s">
        <v>81</v>
      </c>
      <c r="AN6" s="3" t="s">
        <v>81</v>
      </c>
      <c r="AO6" s="3" t="s">
        <v>81</v>
      </c>
      <c r="AP6" s="3" t="s">
        <v>81</v>
      </c>
      <c r="AQ6" s="3" t="s">
        <v>81</v>
      </c>
      <c r="AR6" s="3" t="s">
        <v>81</v>
      </c>
      <c r="AS6" s="3" t="s">
        <v>81</v>
      </c>
      <c r="AT6" s="3" t="s">
        <v>81</v>
      </c>
      <c r="AU6" s="3" t="s">
        <v>81</v>
      </c>
      <c r="AV6" s="3" t="s">
        <v>81</v>
      </c>
      <c r="AW6" s="3" t="s">
        <v>81</v>
      </c>
      <c r="AX6" s="3" t="s">
        <v>81</v>
      </c>
      <c r="AY6" s="3" t="s">
        <v>81</v>
      </c>
      <c r="AZ6" s="3" t="s">
        <v>81</v>
      </c>
      <c r="BA6" s="3" t="s">
        <v>81</v>
      </c>
      <c r="BB6" s="3" t="s">
        <v>81</v>
      </c>
      <c r="BC6" s="3" t="s">
        <v>81</v>
      </c>
      <c r="BD6" s="3" t="s">
        <v>81</v>
      </c>
      <c r="BE6" s="3" t="s">
        <v>81</v>
      </c>
      <c r="BF6" s="3" t="s">
        <v>81</v>
      </c>
      <c r="BG6" s="3" t="s">
        <v>81</v>
      </c>
      <c r="BH6" s="3" t="s">
        <v>81</v>
      </c>
      <c r="BI6" s="3" t="s">
        <v>82</v>
      </c>
      <c r="BJ6" s="3" t="s">
        <v>84</v>
      </c>
      <c r="BK6" s="3" t="s">
        <v>84</v>
      </c>
      <c r="BL6" s="3" t="s">
        <v>82</v>
      </c>
      <c r="BM6" s="3" t="s">
        <v>83</v>
      </c>
      <c r="BN6" s="3" t="s">
        <v>83</v>
      </c>
      <c r="BO6" s="3" t="s">
        <v>83</v>
      </c>
      <c r="BP6" s="3" t="s">
        <v>81</v>
      </c>
      <c r="BQ6" s="3" t="s">
        <v>81</v>
      </c>
      <c r="BR6" s="3" t="s">
        <v>81</v>
      </c>
      <c r="BS6" s="3" t="s">
        <v>81</v>
      </c>
      <c r="BT6" s="3" t="s">
        <v>81</v>
      </c>
      <c r="BU6" s="3" t="s">
        <v>81</v>
      </c>
      <c r="BV6" s="3" t="s">
        <v>83</v>
      </c>
      <c r="BW6" s="3"/>
      <c r="BX6" s="3" t="s">
        <v>83</v>
      </c>
      <c r="BY6" s="3" t="s">
        <v>187</v>
      </c>
      <c r="BZ6" s="3" t="s">
        <v>93</v>
      </c>
      <c r="CB6" s="3" t="s">
        <v>84</v>
      </c>
    </row>
    <row r="7" spans="1:87" ht="15.75" customHeight="1" x14ac:dyDescent="0.15">
      <c r="A7" s="3">
        <v>1847944639</v>
      </c>
      <c r="B7" s="3" t="s">
        <v>186</v>
      </c>
      <c r="C7" s="3" t="s">
        <v>186</v>
      </c>
      <c r="D7" s="3" t="s">
        <v>81</v>
      </c>
      <c r="E7" s="3">
        <v>2</v>
      </c>
      <c r="F7" s="3">
        <v>46.459000000000003</v>
      </c>
      <c r="G7" s="3">
        <v>0</v>
      </c>
      <c r="H7" s="3" t="s">
        <v>81</v>
      </c>
      <c r="I7" s="3" t="s">
        <v>81</v>
      </c>
      <c r="J7" s="3" t="s">
        <v>81</v>
      </c>
      <c r="K7" s="3" t="s">
        <v>81</v>
      </c>
      <c r="L7" s="3" t="s">
        <v>81</v>
      </c>
      <c r="M7" s="3" t="s">
        <v>81</v>
      </c>
      <c r="N7" s="3" t="s">
        <v>81</v>
      </c>
      <c r="O7" s="3" t="s">
        <v>81</v>
      </c>
      <c r="P7" s="3" t="s">
        <v>81</v>
      </c>
      <c r="Q7" s="3">
        <v>42.127000000000002</v>
      </c>
      <c r="R7" s="3">
        <v>0</v>
      </c>
      <c r="S7" s="3" t="s">
        <v>81</v>
      </c>
      <c r="T7" s="3" t="s">
        <v>81</v>
      </c>
      <c r="U7" s="3" t="s">
        <v>81</v>
      </c>
      <c r="V7" s="3" t="s">
        <v>81</v>
      </c>
      <c r="W7" s="3" t="s">
        <v>81</v>
      </c>
      <c r="X7" s="3" t="s">
        <v>81</v>
      </c>
      <c r="Y7" s="3" t="s">
        <v>81</v>
      </c>
      <c r="Z7" s="3" t="s">
        <v>81</v>
      </c>
      <c r="AA7" s="3" t="s">
        <v>81</v>
      </c>
      <c r="AB7" s="3" t="s">
        <v>81</v>
      </c>
      <c r="AC7" s="3" t="s">
        <v>81</v>
      </c>
      <c r="AD7" s="3" t="s">
        <v>81</v>
      </c>
      <c r="AE7" s="3" t="s">
        <v>81</v>
      </c>
      <c r="AF7" s="3" t="s">
        <v>81</v>
      </c>
      <c r="AG7" s="3" t="s">
        <v>81</v>
      </c>
      <c r="AH7" s="3" t="s">
        <v>81</v>
      </c>
      <c r="AI7" s="3" t="s">
        <v>81</v>
      </c>
      <c r="AJ7" s="3" t="s">
        <v>81</v>
      </c>
      <c r="AK7" s="3" t="s">
        <v>81</v>
      </c>
      <c r="AL7" s="3" t="s">
        <v>81</v>
      </c>
      <c r="AM7" s="3" t="s">
        <v>81</v>
      </c>
      <c r="AN7" s="3" t="s">
        <v>81</v>
      </c>
      <c r="AO7" s="3" t="s">
        <v>81</v>
      </c>
      <c r="AP7" s="3" t="s">
        <v>81</v>
      </c>
      <c r="AQ7" s="3" t="s">
        <v>81</v>
      </c>
      <c r="AR7" s="3" t="s">
        <v>81</v>
      </c>
      <c r="AS7" s="3" t="s">
        <v>81</v>
      </c>
      <c r="AT7" s="3" t="s">
        <v>81</v>
      </c>
      <c r="AU7" s="3" t="s">
        <v>81</v>
      </c>
      <c r="AV7" s="3" t="s">
        <v>81</v>
      </c>
      <c r="AW7" s="3" t="s">
        <v>81</v>
      </c>
      <c r="AX7" s="3" t="s">
        <v>81</v>
      </c>
      <c r="AY7" s="3" t="s">
        <v>81</v>
      </c>
      <c r="AZ7" s="3" t="s">
        <v>81</v>
      </c>
      <c r="BA7" s="3" t="s">
        <v>81</v>
      </c>
      <c r="BB7" s="3" t="s">
        <v>81</v>
      </c>
      <c r="BC7" s="3" t="s">
        <v>81</v>
      </c>
      <c r="BD7" s="3" t="s">
        <v>81</v>
      </c>
      <c r="BE7" s="3" t="s">
        <v>81</v>
      </c>
      <c r="BF7" s="3" t="s">
        <v>81</v>
      </c>
      <c r="BG7" s="3" t="s">
        <v>81</v>
      </c>
      <c r="BH7" s="3" t="s">
        <v>81</v>
      </c>
      <c r="BI7" s="3" t="s">
        <v>82</v>
      </c>
      <c r="BJ7" s="3" t="s">
        <v>82</v>
      </c>
      <c r="BK7" s="3" t="s">
        <v>83</v>
      </c>
      <c r="BL7" s="3" t="s">
        <v>84</v>
      </c>
      <c r="BM7" s="3" t="s">
        <v>84</v>
      </c>
      <c r="BN7" s="3" t="s">
        <v>84</v>
      </c>
      <c r="BO7" s="3" t="s">
        <v>84</v>
      </c>
      <c r="BP7" s="3" t="s">
        <v>188</v>
      </c>
      <c r="BQ7" s="3" t="s">
        <v>188</v>
      </c>
      <c r="BR7" s="3" t="s">
        <v>189</v>
      </c>
      <c r="BS7" s="3" t="s">
        <v>189</v>
      </c>
      <c r="BT7" s="3" t="s">
        <v>85</v>
      </c>
      <c r="BU7" s="3" t="s">
        <v>81</v>
      </c>
      <c r="BV7" s="3" t="s">
        <v>84</v>
      </c>
      <c r="BW7" s="3" t="s">
        <v>83</v>
      </c>
      <c r="BX7" s="3" t="s">
        <v>82</v>
      </c>
      <c r="BY7" s="3" t="s">
        <v>190</v>
      </c>
      <c r="BZ7" s="3" t="s">
        <v>93</v>
      </c>
      <c r="CB7" s="3" t="s">
        <v>84</v>
      </c>
    </row>
    <row r="8" spans="1:87" ht="15.75" customHeight="1" x14ac:dyDescent="0.15">
      <c r="A8" s="3">
        <v>2625857413</v>
      </c>
      <c r="B8" s="3" t="s">
        <v>186</v>
      </c>
      <c r="C8" s="3" t="s">
        <v>186</v>
      </c>
      <c r="D8" s="3">
        <v>3</v>
      </c>
      <c r="E8" s="3">
        <v>3</v>
      </c>
      <c r="F8" s="3">
        <v>35.340000000000003</v>
      </c>
      <c r="G8" s="3">
        <v>0</v>
      </c>
      <c r="H8" s="3" t="s">
        <v>81</v>
      </c>
      <c r="I8" s="3" t="s">
        <v>81</v>
      </c>
      <c r="J8" s="3" t="s">
        <v>81</v>
      </c>
      <c r="K8" s="3" t="s">
        <v>81</v>
      </c>
      <c r="L8" s="3" t="s">
        <v>81</v>
      </c>
      <c r="M8" s="3" t="s">
        <v>81</v>
      </c>
      <c r="N8" s="3" t="s">
        <v>81</v>
      </c>
      <c r="O8" s="3" t="s">
        <v>81</v>
      </c>
      <c r="P8" s="3" t="s">
        <v>81</v>
      </c>
      <c r="Q8" s="3">
        <v>38.886000000000003</v>
      </c>
      <c r="R8" s="3">
        <v>0</v>
      </c>
      <c r="S8" s="3" t="s">
        <v>81</v>
      </c>
      <c r="T8" s="3" t="s">
        <v>81</v>
      </c>
      <c r="U8" s="3" t="s">
        <v>81</v>
      </c>
      <c r="V8" s="3" t="s">
        <v>81</v>
      </c>
      <c r="W8" s="3" t="s">
        <v>81</v>
      </c>
      <c r="X8" s="3" t="s">
        <v>81</v>
      </c>
      <c r="Y8" s="3" t="s">
        <v>81</v>
      </c>
      <c r="Z8" s="3" t="s">
        <v>81</v>
      </c>
      <c r="AA8" s="3" t="s">
        <v>81</v>
      </c>
      <c r="AB8" s="3">
        <v>34.564999999999998</v>
      </c>
      <c r="AC8" s="3">
        <v>0</v>
      </c>
      <c r="AD8" s="3" t="s">
        <v>81</v>
      </c>
      <c r="AE8" s="3" t="s">
        <v>81</v>
      </c>
      <c r="AF8" s="3" t="s">
        <v>81</v>
      </c>
      <c r="AG8" s="3" t="s">
        <v>81</v>
      </c>
      <c r="AH8" s="3" t="s">
        <v>81</v>
      </c>
      <c r="AI8" s="3" t="s">
        <v>81</v>
      </c>
      <c r="AJ8" s="3" t="s">
        <v>81</v>
      </c>
      <c r="AK8" s="3" t="s">
        <v>81</v>
      </c>
      <c r="AL8" s="3" t="s">
        <v>81</v>
      </c>
      <c r="AM8" s="3" t="s">
        <v>81</v>
      </c>
      <c r="AN8" s="3" t="s">
        <v>81</v>
      </c>
      <c r="AO8" s="3" t="s">
        <v>81</v>
      </c>
      <c r="AP8" s="3" t="s">
        <v>81</v>
      </c>
      <c r="AQ8" s="3" t="s">
        <v>81</v>
      </c>
      <c r="AR8" s="3" t="s">
        <v>81</v>
      </c>
      <c r="AS8" s="3" t="s">
        <v>81</v>
      </c>
      <c r="AT8" s="3" t="s">
        <v>81</v>
      </c>
      <c r="AU8" s="3" t="s">
        <v>81</v>
      </c>
      <c r="AV8" s="3" t="s">
        <v>81</v>
      </c>
      <c r="AW8" s="3" t="s">
        <v>81</v>
      </c>
      <c r="AX8" s="3" t="s">
        <v>81</v>
      </c>
      <c r="AY8" s="3" t="s">
        <v>81</v>
      </c>
      <c r="AZ8" s="3" t="s">
        <v>81</v>
      </c>
      <c r="BA8" s="3" t="s">
        <v>81</v>
      </c>
      <c r="BB8" s="3" t="s">
        <v>81</v>
      </c>
      <c r="BC8" s="3" t="s">
        <v>81</v>
      </c>
      <c r="BD8" s="3" t="s">
        <v>81</v>
      </c>
      <c r="BE8" s="3" t="s">
        <v>81</v>
      </c>
      <c r="BF8" s="3" t="s">
        <v>81</v>
      </c>
      <c r="BG8" s="3" t="s">
        <v>81</v>
      </c>
      <c r="BH8" s="3" t="s">
        <v>81</v>
      </c>
      <c r="BI8" s="3" t="s">
        <v>82</v>
      </c>
      <c r="BJ8" s="3" t="s">
        <v>82</v>
      </c>
      <c r="BK8" s="3" t="s">
        <v>83</v>
      </c>
      <c r="BL8" s="3" t="s">
        <v>84</v>
      </c>
      <c r="BM8" s="3" t="s">
        <v>84</v>
      </c>
      <c r="BN8" s="3" t="s">
        <v>84</v>
      </c>
      <c r="BO8" s="3" t="s">
        <v>82</v>
      </c>
      <c r="BP8" s="3" t="s">
        <v>87</v>
      </c>
      <c r="BQ8" s="3" t="s">
        <v>87</v>
      </c>
      <c r="BR8" s="3" t="s">
        <v>87</v>
      </c>
      <c r="BS8" s="3" t="s">
        <v>87</v>
      </c>
      <c r="BT8" s="3" t="s">
        <v>87</v>
      </c>
      <c r="BU8" s="3" t="s">
        <v>81</v>
      </c>
      <c r="BV8" s="3" t="s">
        <v>82</v>
      </c>
      <c r="BW8" s="3" t="s">
        <v>111</v>
      </c>
      <c r="BX8" s="3" t="s">
        <v>82</v>
      </c>
      <c r="BZ8" s="3" t="s">
        <v>86</v>
      </c>
      <c r="CB8" s="3" t="s">
        <v>84</v>
      </c>
    </row>
    <row r="9" spans="1:87" ht="15.75" customHeight="1" x14ac:dyDescent="0.15">
      <c r="A9" s="3">
        <v>2643329730</v>
      </c>
      <c r="B9" s="3" t="s">
        <v>186</v>
      </c>
      <c r="C9" s="3" t="s">
        <v>186</v>
      </c>
      <c r="D9" s="3">
        <v>3</v>
      </c>
      <c r="E9" s="3">
        <v>3</v>
      </c>
      <c r="F9" s="3">
        <v>41.98</v>
      </c>
      <c r="G9" s="3">
        <v>0</v>
      </c>
      <c r="H9" s="3" t="s">
        <v>81</v>
      </c>
      <c r="I9" s="3" t="s">
        <v>81</v>
      </c>
      <c r="J9" s="3" t="s">
        <v>81</v>
      </c>
      <c r="K9" s="3" t="s">
        <v>81</v>
      </c>
      <c r="L9" s="3" t="s">
        <v>81</v>
      </c>
      <c r="M9" s="3" t="s">
        <v>81</v>
      </c>
      <c r="N9" s="3" t="s">
        <v>81</v>
      </c>
      <c r="O9" s="3" t="s">
        <v>81</v>
      </c>
      <c r="P9" s="3" t="s">
        <v>81</v>
      </c>
      <c r="Q9" s="3">
        <v>43.591999999999999</v>
      </c>
      <c r="R9" s="3">
        <v>0</v>
      </c>
      <c r="S9" s="3" t="s">
        <v>81</v>
      </c>
      <c r="T9" s="3" t="s">
        <v>81</v>
      </c>
      <c r="U9" s="3" t="s">
        <v>81</v>
      </c>
      <c r="V9" s="3" t="s">
        <v>81</v>
      </c>
      <c r="W9" s="3" t="s">
        <v>81</v>
      </c>
      <c r="X9" s="3" t="s">
        <v>81</v>
      </c>
      <c r="Y9" s="3" t="s">
        <v>81</v>
      </c>
      <c r="Z9" s="3" t="s">
        <v>81</v>
      </c>
      <c r="AA9" s="3" t="s">
        <v>81</v>
      </c>
      <c r="AB9" s="3">
        <v>42.345999999999997</v>
      </c>
      <c r="AC9" s="3">
        <v>0</v>
      </c>
      <c r="AD9" s="3" t="s">
        <v>81</v>
      </c>
      <c r="AE9" s="3" t="s">
        <v>81</v>
      </c>
      <c r="AF9" s="3" t="s">
        <v>81</v>
      </c>
      <c r="AG9" s="3" t="s">
        <v>81</v>
      </c>
      <c r="AH9" s="3" t="s">
        <v>81</v>
      </c>
      <c r="AI9" s="3" t="s">
        <v>81</v>
      </c>
      <c r="AJ9" s="3" t="s">
        <v>81</v>
      </c>
      <c r="AK9" s="3" t="s">
        <v>81</v>
      </c>
      <c r="AL9" s="3" t="s">
        <v>81</v>
      </c>
      <c r="AM9" s="3" t="s">
        <v>81</v>
      </c>
      <c r="AN9" s="3" t="s">
        <v>81</v>
      </c>
      <c r="AO9" s="3" t="s">
        <v>81</v>
      </c>
      <c r="AP9" s="3" t="s">
        <v>81</v>
      </c>
      <c r="AQ9" s="3" t="s">
        <v>81</v>
      </c>
      <c r="AR9" s="3" t="s">
        <v>81</v>
      </c>
      <c r="AS9" s="3" t="s">
        <v>81</v>
      </c>
      <c r="AT9" s="3" t="s">
        <v>81</v>
      </c>
      <c r="AU9" s="3" t="s">
        <v>81</v>
      </c>
      <c r="AV9" s="3" t="s">
        <v>81</v>
      </c>
      <c r="AW9" s="3" t="s">
        <v>81</v>
      </c>
      <c r="AX9" s="3" t="s">
        <v>81</v>
      </c>
      <c r="AY9" s="3" t="s">
        <v>81</v>
      </c>
      <c r="AZ9" s="3" t="s">
        <v>81</v>
      </c>
      <c r="BA9" s="3" t="s">
        <v>81</v>
      </c>
      <c r="BB9" s="3" t="s">
        <v>81</v>
      </c>
      <c r="BC9" s="3" t="s">
        <v>81</v>
      </c>
      <c r="BD9" s="3" t="s">
        <v>81</v>
      </c>
      <c r="BE9" s="3" t="s">
        <v>81</v>
      </c>
      <c r="BF9" s="3" t="s">
        <v>81</v>
      </c>
      <c r="BG9" s="3" t="s">
        <v>81</v>
      </c>
      <c r="BH9" s="3" t="s">
        <v>81</v>
      </c>
      <c r="BI9" s="3" t="s">
        <v>82</v>
      </c>
      <c r="BJ9" s="3" t="s">
        <v>82</v>
      </c>
      <c r="BK9" s="3" t="s">
        <v>83</v>
      </c>
      <c r="BL9" s="3" t="s">
        <v>84</v>
      </c>
      <c r="BM9" s="3" t="s">
        <v>84</v>
      </c>
      <c r="BN9" s="3" t="s">
        <v>84</v>
      </c>
      <c r="BO9" s="3" t="s">
        <v>82</v>
      </c>
      <c r="BP9" s="3" t="s">
        <v>191</v>
      </c>
      <c r="BQ9" s="3" t="s">
        <v>191</v>
      </c>
      <c r="BR9" s="3" t="s">
        <v>191</v>
      </c>
      <c r="BS9" s="3" t="s">
        <v>191</v>
      </c>
      <c r="BT9" s="3" t="s">
        <v>87</v>
      </c>
      <c r="BU9" s="3" t="s">
        <v>81</v>
      </c>
      <c r="BV9" s="3" t="s">
        <v>82</v>
      </c>
      <c r="BW9" s="3" t="s">
        <v>111</v>
      </c>
      <c r="BX9" s="3" t="s">
        <v>82</v>
      </c>
      <c r="BZ9" s="3" t="s">
        <v>86</v>
      </c>
      <c r="CB9" s="3" t="s">
        <v>84</v>
      </c>
    </row>
    <row r="10" spans="1:87" x14ac:dyDescent="0.15">
      <c r="A10" s="3">
        <v>1228382386</v>
      </c>
      <c r="B10" s="3" t="s">
        <v>453</v>
      </c>
      <c r="C10" s="3" t="s">
        <v>453</v>
      </c>
      <c r="D10" s="3">
        <v>1</v>
      </c>
      <c r="E10" s="3">
        <v>1</v>
      </c>
      <c r="F10" s="3">
        <v>25.132999999999999</v>
      </c>
      <c r="G10" s="3">
        <v>0</v>
      </c>
      <c r="H10" s="3" t="s">
        <v>81</v>
      </c>
      <c r="I10" s="3" t="s">
        <v>81</v>
      </c>
      <c r="J10" s="3" t="s">
        <v>81</v>
      </c>
      <c r="K10" s="3" t="s">
        <v>81</v>
      </c>
      <c r="L10" s="3" t="s">
        <v>81</v>
      </c>
      <c r="M10" s="3" t="s">
        <v>81</v>
      </c>
      <c r="N10" s="3" t="s">
        <v>81</v>
      </c>
      <c r="O10" s="3" t="s">
        <v>81</v>
      </c>
      <c r="P10" s="3" t="s">
        <v>81</v>
      </c>
      <c r="Q10" s="3" t="s">
        <v>81</v>
      </c>
      <c r="R10" s="3" t="s">
        <v>81</v>
      </c>
      <c r="S10" s="3" t="s">
        <v>81</v>
      </c>
      <c r="T10" s="3" t="s">
        <v>81</v>
      </c>
      <c r="U10" s="3" t="s">
        <v>81</v>
      </c>
      <c r="V10" s="3" t="s">
        <v>81</v>
      </c>
      <c r="W10" s="3" t="s">
        <v>81</v>
      </c>
      <c r="X10" s="3" t="s">
        <v>81</v>
      </c>
      <c r="Y10" s="3" t="s">
        <v>81</v>
      </c>
      <c r="Z10" s="3" t="s">
        <v>81</v>
      </c>
      <c r="AA10" s="3" t="s">
        <v>81</v>
      </c>
      <c r="AB10" s="3" t="s">
        <v>81</v>
      </c>
      <c r="AC10" s="3" t="s">
        <v>81</v>
      </c>
      <c r="AD10" s="3" t="s">
        <v>81</v>
      </c>
      <c r="AE10" s="3" t="s">
        <v>81</v>
      </c>
      <c r="AF10" s="3" t="s">
        <v>81</v>
      </c>
      <c r="AG10" s="3" t="s">
        <v>81</v>
      </c>
      <c r="AH10" s="3" t="s">
        <v>81</v>
      </c>
      <c r="AI10" s="3" t="s">
        <v>81</v>
      </c>
      <c r="AJ10" s="3" t="s">
        <v>81</v>
      </c>
      <c r="AK10" s="3" t="s">
        <v>81</v>
      </c>
      <c r="AL10" s="3" t="s">
        <v>81</v>
      </c>
      <c r="AM10" s="3" t="s">
        <v>81</v>
      </c>
      <c r="AN10" s="3" t="s">
        <v>81</v>
      </c>
      <c r="AO10" s="3" t="s">
        <v>81</v>
      </c>
      <c r="AP10" s="3" t="s">
        <v>81</v>
      </c>
      <c r="AQ10" s="3" t="s">
        <v>81</v>
      </c>
      <c r="AR10" s="3" t="s">
        <v>81</v>
      </c>
      <c r="AS10" s="3" t="s">
        <v>81</v>
      </c>
      <c r="AT10" s="3" t="s">
        <v>81</v>
      </c>
      <c r="AU10" s="3" t="s">
        <v>81</v>
      </c>
      <c r="AV10" s="3" t="s">
        <v>81</v>
      </c>
      <c r="AW10" s="3" t="s">
        <v>81</v>
      </c>
      <c r="AX10" s="3" t="s">
        <v>81</v>
      </c>
      <c r="AY10" s="3" t="s">
        <v>81</v>
      </c>
      <c r="AZ10" s="3" t="s">
        <v>81</v>
      </c>
      <c r="BA10" s="3" t="s">
        <v>81</v>
      </c>
      <c r="BB10" s="3" t="s">
        <v>81</v>
      </c>
      <c r="BC10" s="3" t="s">
        <v>81</v>
      </c>
      <c r="BD10" s="3" t="s">
        <v>81</v>
      </c>
      <c r="BE10" s="3" t="s">
        <v>81</v>
      </c>
      <c r="BF10" s="3" t="s">
        <v>81</v>
      </c>
      <c r="BG10" s="3" t="s">
        <v>81</v>
      </c>
      <c r="BH10" s="3" t="s">
        <v>81</v>
      </c>
      <c r="BI10" s="3" t="s">
        <v>82</v>
      </c>
      <c r="BJ10" s="3" t="s">
        <v>82</v>
      </c>
      <c r="BK10" s="3" t="s">
        <v>83</v>
      </c>
      <c r="BL10" s="3" t="s">
        <v>84</v>
      </c>
      <c r="BM10" s="3" t="s">
        <v>84</v>
      </c>
      <c r="BN10" s="3" t="s">
        <v>83</v>
      </c>
      <c r="BO10" s="3" t="s">
        <v>82</v>
      </c>
      <c r="BP10" s="3" t="s">
        <v>218</v>
      </c>
      <c r="BQ10" s="3" t="s">
        <v>218</v>
      </c>
      <c r="BR10" s="3" t="s">
        <v>454</v>
      </c>
      <c r="BS10" s="3" t="s">
        <v>454</v>
      </c>
      <c r="BT10" s="3" t="s">
        <v>85</v>
      </c>
      <c r="BU10" s="3" t="s">
        <v>98</v>
      </c>
      <c r="BV10" s="3" t="s">
        <v>84</v>
      </c>
      <c r="BW10" s="3" t="s">
        <v>83</v>
      </c>
      <c r="BX10" s="3" t="s">
        <v>82</v>
      </c>
      <c r="BY10" s="3" t="s">
        <v>455</v>
      </c>
      <c r="BZ10" s="3" t="s">
        <v>93</v>
      </c>
      <c r="CA10" s="3"/>
      <c r="CB10" s="3" t="s">
        <v>84</v>
      </c>
      <c r="CC10" s="3"/>
      <c r="CD10" s="3"/>
      <c r="CE10" s="3"/>
      <c r="CF10" s="3"/>
      <c r="CG10" s="3"/>
      <c r="CH10" s="3"/>
      <c r="CI10" s="3"/>
    </row>
    <row r="11" spans="1:87" x14ac:dyDescent="0.15">
      <c r="A11" s="3">
        <v>2643381650</v>
      </c>
      <c r="B11" s="3" t="s">
        <v>453</v>
      </c>
      <c r="C11" s="3" t="s">
        <v>453</v>
      </c>
      <c r="D11" s="3">
        <v>1</v>
      </c>
      <c r="E11" s="3">
        <v>1</v>
      </c>
      <c r="F11" s="3">
        <v>27.585999999999999</v>
      </c>
      <c r="G11" s="3">
        <v>0</v>
      </c>
      <c r="H11" s="3" t="s">
        <v>81</v>
      </c>
      <c r="I11" s="3" t="s">
        <v>81</v>
      </c>
      <c r="J11" s="3" t="s">
        <v>81</v>
      </c>
      <c r="K11" s="3" t="s">
        <v>81</v>
      </c>
      <c r="L11" s="3" t="s">
        <v>81</v>
      </c>
      <c r="M11" s="3" t="s">
        <v>81</v>
      </c>
      <c r="N11" s="3" t="s">
        <v>81</v>
      </c>
      <c r="O11" s="3" t="s">
        <v>81</v>
      </c>
      <c r="P11" s="3" t="s">
        <v>81</v>
      </c>
      <c r="Q11" s="3" t="s">
        <v>81</v>
      </c>
      <c r="R11" s="3" t="s">
        <v>81</v>
      </c>
      <c r="S11" s="3" t="s">
        <v>81</v>
      </c>
      <c r="T11" s="3" t="s">
        <v>81</v>
      </c>
      <c r="U11" s="3" t="s">
        <v>81</v>
      </c>
      <c r="V11" s="3" t="s">
        <v>81</v>
      </c>
      <c r="W11" s="3" t="s">
        <v>81</v>
      </c>
      <c r="X11" s="3" t="s">
        <v>81</v>
      </c>
      <c r="Y11" s="3" t="s">
        <v>81</v>
      </c>
      <c r="Z11" s="3" t="s">
        <v>81</v>
      </c>
      <c r="AA11" s="3" t="s">
        <v>81</v>
      </c>
      <c r="AB11" s="3" t="s">
        <v>81</v>
      </c>
      <c r="AC11" s="3" t="s">
        <v>81</v>
      </c>
      <c r="AD11" s="3" t="s">
        <v>81</v>
      </c>
      <c r="AE11" s="3" t="s">
        <v>81</v>
      </c>
      <c r="AF11" s="3" t="s">
        <v>81</v>
      </c>
      <c r="AG11" s="3" t="s">
        <v>81</v>
      </c>
      <c r="AH11" s="3" t="s">
        <v>81</v>
      </c>
      <c r="AI11" s="3" t="s">
        <v>81</v>
      </c>
      <c r="AJ11" s="3" t="s">
        <v>81</v>
      </c>
      <c r="AK11" s="3" t="s">
        <v>81</v>
      </c>
      <c r="AL11" s="3" t="s">
        <v>81</v>
      </c>
      <c r="AM11" s="3" t="s">
        <v>81</v>
      </c>
      <c r="AN11" s="3" t="s">
        <v>81</v>
      </c>
      <c r="AO11" s="3" t="s">
        <v>81</v>
      </c>
      <c r="AP11" s="3" t="s">
        <v>81</v>
      </c>
      <c r="AQ11" s="3" t="s">
        <v>81</v>
      </c>
      <c r="AR11" s="3" t="s">
        <v>81</v>
      </c>
      <c r="AS11" s="3" t="s">
        <v>81</v>
      </c>
      <c r="AT11" s="3" t="s">
        <v>81</v>
      </c>
      <c r="AU11" s="3" t="s">
        <v>81</v>
      </c>
      <c r="AV11" s="3" t="s">
        <v>81</v>
      </c>
      <c r="AW11" s="3" t="s">
        <v>81</v>
      </c>
      <c r="AX11" s="3" t="s">
        <v>81</v>
      </c>
      <c r="AY11" s="3" t="s">
        <v>81</v>
      </c>
      <c r="AZ11" s="3" t="s">
        <v>81</v>
      </c>
      <c r="BA11" s="3" t="s">
        <v>81</v>
      </c>
      <c r="BB11" s="3" t="s">
        <v>81</v>
      </c>
      <c r="BC11" s="3" t="s">
        <v>81</v>
      </c>
      <c r="BD11" s="3" t="s">
        <v>81</v>
      </c>
      <c r="BE11" s="3" t="s">
        <v>81</v>
      </c>
      <c r="BF11" s="3" t="s">
        <v>81</v>
      </c>
      <c r="BG11" s="3" t="s">
        <v>81</v>
      </c>
      <c r="BH11" s="3" t="s">
        <v>81</v>
      </c>
      <c r="BI11" s="3" t="s">
        <v>84</v>
      </c>
      <c r="BJ11" s="3" t="s">
        <v>82</v>
      </c>
      <c r="BK11" s="3" t="s">
        <v>83</v>
      </c>
      <c r="BL11" s="3" t="s">
        <v>84</v>
      </c>
      <c r="BM11" s="3" t="s">
        <v>84</v>
      </c>
      <c r="BN11" s="3" t="s">
        <v>84</v>
      </c>
      <c r="BO11" s="3" t="s">
        <v>83</v>
      </c>
      <c r="BP11" s="3" t="s">
        <v>81</v>
      </c>
      <c r="BQ11" s="3" t="s">
        <v>81</v>
      </c>
      <c r="BR11" s="3" t="s">
        <v>81</v>
      </c>
      <c r="BS11" s="3" t="s">
        <v>81</v>
      </c>
      <c r="BT11" s="3" t="s">
        <v>81</v>
      </c>
      <c r="BU11" s="3" t="s">
        <v>81</v>
      </c>
      <c r="BV11" s="3" t="s">
        <v>84</v>
      </c>
      <c r="BW11" s="3" t="s">
        <v>83</v>
      </c>
      <c r="BX11" s="3" t="s">
        <v>82</v>
      </c>
      <c r="BY11" s="3" t="s">
        <v>173</v>
      </c>
      <c r="BZ11" s="3" t="s">
        <v>86</v>
      </c>
      <c r="CB11" s="3" t="s">
        <v>84</v>
      </c>
    </row>
    <row r="12" spans="1:87" x14ac:dyDescent="0.15">
      <c r="A12" s="3">
        <v>2643381650</v>
      </c>
      <c r="B12" s="3" t="s">
        <v>453</v>
      </c>
      <c r="C12" s="3" t="s">
        <v>453</v>
      </c>
      <c r="D12" s="3">
        <v>1</v>
      </c>
      <c r="E12" s="3">
        <v>1</v>
      </c>
      <c r="F12" s="3">
        <v>17.744</v>
      </c>
      <c r="G12" s="3">
        <v>0</v>
      </c>
      <c r="H12" s="3" t="s">
        <v>81</v>
      </c>
      <c r="I12" s="3" t="s">
        <v>81</v>
      </c>
      <c r="J12" s="3" t="s">
        <v>81</v>
      </c>
      <c r="K12" s="3" t="s">
        <v>81</v>
      </c>
      <c r="L12" s="3" t="s">
        <v>81</v>
      </c>
      <c r="M12" s="3" t="s">
        <v>81</v>
      </c>
      <c r="N12" s="3" t="s">
        <v>81</v>
      </c>
      <c r="O12" s="3" t="s">
        <v>81</v>
      </c>
      <c r="P12" s="3" t="s">
        <v>81</v>
      </c>
      <c r="Q12" s="3" t="s">
        <v>81</v>
      </c>
      <c r="R12" s="3" t="s">
        <v>81</v>
      </c>
      <c r="S12" s="3" t="s">
        <v>81</v>
      </c>
      <c r="T12" s="3" t="s">
        <v>81</v>
      </c>
      <c r="U12" s="3" t="s">
        <v>81</v>
      </c>
      <c r="V12" s="3" t="s">
        <v>81</v>
      </c>
      <c r="W12" s="3" t="s">
        <v>81</v>
      </c>
      <c r="X12" s="3" t="s">
        <v>81</v>
      </c>
      <c r="Y12" s="3" t="s">
        <v>81</v>
      </c>
      <c r="Z12" s="3" t="s">
        <v>81</v>
      </c>
      <c r="AA12" s="3" t="s">
        <v>81</v>
      </c>
      <c r="AB12" s="3" t="s">
        <v>81</v>
      </c>
      <c r="AC12" s="3" t="s">
        <v>81</v>
      </c>
      <c r="AD12" s="3" t="s">
        <v>81</v>
      </c>
      <c r="AE12" s="3" t="s">
        <v>81</v>
      </c>
      <c r="AF12" s="3" t="s">
        <v>81</v>
      </c>
      <c r="AG12" s="3" t="s">
        <v>81</v>
      </c>
      <c r="AH12" s="3" t="s">
        <v>81</v>
      </c>
      <c r="AI12" s="3" t="s">
        <v>81</v>
      </c>
      <c r="AJ12" s="3" t="s">
        <v>81</v>
      </c>
      <c r="AK12" s="3" t="s">
        <v>81</v>
      </c>
      <c r="AL12" s="3" t="s">
        <v>81</v>
      </c>
      <c r="AM12" s="3" t="s">
        <v>81</v>
      </c>
      <c r="AN12" s="3" t="s">
        <v>81</v>
      </c>
      <c r="AO12" s="3" t="s">
        <v>81</v>
      </c>
      <c r="AP12" s="3" t="s">
        <v>81</v>
      </c>
      <c r="AQ12" s="3" t="s">
        <v>81</v>
      </c>
      <c r="AR12" s="3" t="s">
        <v>81</v>
      </c>
      <c r="AS12" s="3" t="s">
        <v>81</v>
      </c>
      <c r="AT12" s="3" t="s">
        <v>81</v>
      </c>
      <c r="AU12" s="3" t="s">
        <v>81</v>
      </c>
      <c r="AV12" s="3" t="s">
        <v>81</v>
      </c>
      <c r="AW12" s="3" t="s">
        <v>81</v>
      </c>
      <c r="AX12" s="3" t="s">
        <v>81</v>
      </c>
      <c r="AY12" s="3" t="s">
        <v>81</v>
      </c>
      <c r="AZ12" s="3" t="s">
        <v>81</v>
      </c>
      <c r="BA12" s="3" t="s">
        <v>81</v>
      </c>
      <c r="BB12" s="3" t="s">
        <v>81</v>
      </c>
      <c r="BC12" s="3" t="s">
        <v>81</v>
      </c>
      <c r="BD12" s="3" t="s">
        <v>81</v>
      </c>
      <c r="BE12" s="3" t="s">
        <v>81</v>
      </c>
      <c r="BF12" s="3" t="s">
        <v>81</v>
      </c>
      <c r="BG12" s="3" t="s">
        <v>81</v>
      </c>
      <c r="BH12" s="3" t="s">
        <v>81</v>
      </c>
      <c r="BI12" s="3" t="s">
        <v>84</v>
      </c>
      <c r="BJ12" s="3" t="s">
        <v>82</v>
      </c>
      <c r="BK12" s="3" t="s">
        <v>83</v>
      </c>
      <c r="BL12" s="3" t="s">
        <v>84</v>
      </c>
      <c r="BM12" s="3" t="s">
        <v>84</v>
      </c>
      <c r="BN12" s="3" t="s">
        <v>84</v>
      </c>
      <c r="BO12" s="3" t="s">
        <v>83</v>
      </c>
      <c r="BP12" s="3" t="s">
        <v>81</v>
      </c>
      <c r="BQ12" s="3" t="s">
        <v>81</v>
      </c>
      <c r="BR12" s="3" t="s">
        <v>81</v>
      </c>
      <c r="BS12" s="3" t="s">
        <v>81</v>
      </c>
      <c r="BT12" s="3" t="s">
        <v>81</v>
      </c>
      <c r="BU12" s="3" t="s">
        <v>81</v>
      </c>
      <c r="BV12" s="3" t="s">
        <v>84</v>
      </c>
      <c r="BW12" s="3" t="s">
        <v>83</v>
      </c>
      <c r="BX12" s="3" t="s">
        <v>82</v>
      </c>
      <c r="BY12" s="3" t="s">
        <v>173</v>
      </c>
      <c r="BZ12" s="3" t="s">
        <v>86</v>
      </c>
      <c r="CB12" s="3" t="s">
        <v>84</v>
      </c>
    </row>
    <row r="13" spans="1:87" x14ac:dyDescent="0.15">
      <c r="A13" s="3">
        <v>1847937822</v>
      </c>
      <c r="B13" s="3" t="s">
        <v>262</v>
      </c>
      <c r="C13" s="3" t="s">
        <v>262</v>
      </c>
      <c r="D13" s="3">
        <v>4</v>
      </c>
      <c r="E13" s="3">
        <v>4</v>
      </c>
      <c r="F13" s="3">
        <v>138.994</v>
      </c>
      <c r="G13" s="3">
        <v>3</v>
      </c>
      <c r="H13" s="3">
        <v>69.992000000000004</v>
      </c>
      <c r="I13" s="3">
        <v>32.012</v>
      </c>
      <c r="J13" s="3">
        <v>42.662999999999997</v>
      </c>
      <c r="K13" s="3">
        <v>37.606000000000002</v>
      </c>
      <c r="L13" s="3">
        <v>19.251999999999999</v>
      </c>
      <c r="M13" s="3">
        <v>1.266</v>
      </c>
      <c r="N13" s="3">
        <v>11.989000000000001</v>
      </c>
      <c r="O13" s="3" t="s">
        <v>81</v>
      </c>
      <c r="P13" s="3" t="s">
        <v>81</v>
      </c>
      <c r="Q13" s="3" t="s">
        <v>81</v>
      </c>
      <c r="R13" s="3">
        <v>0</v>
      </c>
      <c r="S13" s="3" t="s">
        <v>81</v>
      </c>
      <c r="T13" s="3" t="s">
        <v>81</v>
      </c>
      <c r="U13" s="3" t="s">
        <v>81</v>
      </c>
      <c r="V13" s="3" t="s">
        <v>81</v>
      </c>
      <c r="W13" s="3" t="s">
        <v>81</v>
      </c>
      <c r="X13" s="3" t="s">
        <v>81</v>
      </c>
      <c r="Y13" s="3" t="s">
        <v>81</v>
      </c>
      <c r="Z13" s="3" t="s">
        <v>81</v>
      </c>
      <c r="AA13" s="3" t="s">
        <v>81</v>
      </c>
      <c r="AB13" s="3" t="s">
        <v>81</v>
      </c>
      <c r="AC13" s="3" t="s">
        <v>81</v>
      </c>
      <c r="AD13" s="3" t="s">
        <v>81</v>
      </c>
      <c r="AE13" s="3" t="s">
        <v>81</v>
      </c>
      <c r="AF13" s="3" t="s">
        <v>81</v>
      </c>
      <c r="AG13" s="3" t="s">
        <v>81</v>
      </c>
      <c r="AH13" s="3" t="s">
        <v>81</v>
      </c>
      <c r="AI13" s="3" t="s">
        <v>81</v>
      </c>
      <c r="AJ13" s="3" t="s">
        <v>81</v>
      </c>
      <c r="AK13" s="3" t="s">
        <v>81</v>
      </c>
      <c r="AL13" s="3" t="s">
        <v>81</v>
      </c>
      <c r="AM13" s="3" t="s">
        <v>81</v>
      </c>
      <c r="AN13" s="3" t="s">
        <v>81</v>
      </c>
      <c r="AO13" s="3" t="s">
        <v>81</v>
      </c>
      <c r="AP13" s="3" t="s">
        <v>81</v>
      </c>
      <c r="AQ13" s="3" t="s">
        <v>81</v>
      </c>
      <c r="AR13" s="3" t="s">
        <v>81</v>
      </c>
      <c r="AS13" s="3" t="s">
        <v>81</v>
      </c>
      <c r="AT13" s="3" t="s">
        <v>81</v>
      </c>
      <c r="AU13" s="3" t="s">
        <v>81</v>
      </c>
      <c r="AV13" s="3" t="s">
        <v>81</v>
      </c>
      <c r="AW13" s="3" t="s">
        <v>81</v>
      </c>
      <c r="AX13" s="3" t="s">
        <v>81</v>
      </c>
      <c r="AY13" s="3" t="s">
        <v>81</v>
      </c>
      <c r="AZ13" s="3" t="s">
        <v>81</v>
      </c>
      <c r="BA13" s="3" t="s">
        <v>81</v>
      </c>
      <c r="BB13" s="3" t="s">
        <v>81</v>
      </c>
      <c r="BC13" s="3" t="s">
        <v>81</v>
      </c>
      <c r="BD13" s="3" t="s">
        <v>81</v>
      </c>
      <c r="BE13" s="3" t="s">
        <v>81</v>
      </c>
      <c r="BF13" s="3" t="s">
        <v>81</v>
      </c>
      <c r="BG13" s="3" t="s">
        <v>81</v>
      </c>
      <c r="BH13" s="3" t="s">
        <v>81</v>
      </c>
      <c r="BI13" s="3" t="s">
        <v>84</v>
      </c>
      <c r="BJ13" s="3" t="s">
        <v>82</v>
      </c>
      <c r="BK13" s="3" t="s">
        <v>83</v>
      </c>
      <c r="BL13" s="3" t="s">
        <v>84</v>
      </c>
      <c r="BM13" s="3" t="s">
        <v>84</v>
      </c>
      <c r="BN13" s="3" t="s">
        <v>82</v>
      </c>
      <c r="BO13" s="3" t="s">
        <v>84</v>
      </c>
      <c r="BP13" s="3" t="s">
        <v>263</v>
      </c>
      <c r="BQ13" s="3" t="s">
        <v>263</v>
      </c>
      <c r="BR13" s="3" t="s">
        <v>263</v>
      </c>
      <c r="BS13" s="3" t="s">
        <v>264</v>
      </c>
      <c r="BT13" s="3" t="s">
        <v>129</v>
      </c>
      <c r="BU13" s="3" t="s">
        <v>81</v>
      </c>
      <c r="BV13" s="3" t="s">
        <v>82</v>
      </c>
      <c r="BW13" s="3" t="s">
        <v>91</v>
      </c>
      <c r="BX13" s="3" t="s">
        <v>82</v>
      </c>
      <c r="BY13" s="3" t="s">
        <v>265</v>
      </c>
      <c r="BZ13" s="3" t="s">
        <v>93</v>
      </c>
      <c r="CB13" s="3" t="s">
        <v>84</v>
      </c>
    </row>
    <row r="14" spans="1:87" x14ac:dyDescent="0.15">
      <c r="A14" s="3">
        <v>1320783842</v>
      </c>
      <c r="B14" s="3" t="s">
        <v>281</v>
      </c>
      <c r="C14" s="3" t="s">
        <v>282</v>
      </c>
      <c r="D14" s="3" t="s">
        <v>81</v>
      </c>
      <c r="E14" s="3">
        <v>11</v>
      </c>
      <c r="F14" s="3">
        <v>85.872</v>
      </c>
      <c r="G14" s="3">
        <v>1</v>
      </c>
      <c r="H14" s="3">
        <v>59.33</v>
      </c>
      <c r="I14" s="3">
        <v>27.379000000000001</v>
      </c>
      <c r="J14" s="3">
        <v>26.119</v>
      </c>
      <c r="K14" s="3" t="s">
        <v>81</v>
      </c>
      <c r="L14" s="3" t="s">
        <v>81</v>
      </c>
      <c r="M14" s="3" t="s">
        <v>81</v>
      </c>
      <c r="N14" s="3" t="s">
        <v>81</v>
      </c>
      <c r="O14" s="3" t="s">
        <v>81</v>
      </c>
      <c r="P14" s="3" t="s">
        <v>81</v>
      </c>
      <c r="Q14" s="3">
        <v>81.117000000000004</v>
      </c>
      <c r="R14" s="3">
        <v>1</v>
      </c>
      <c r="S14" s="3">
        <v>65.655000000000001</v>
      </c>
      <c r="T14" s="3">
        <v>30.4</v>
      </c>
      <c r="U14" s="3">
        <v>15.138</v>
      </c>
      <c r="V14" s="3" t="s">
        <v>81</v>
      </c>
      <c r="W14" s="3" t="s">
        <v>81</v>
      </c>
      <c r="X14" s="3" t="s">
        <v>81</v>
      </c>
      <c r="Y14" s="3" t="s">
        <v>81</v>
      </c>
      <c r="Z14" s="3" t="s">
        <v>81</v>
      </c>
      <c r="AA14" s="3" t="s">
        <v>81</v>
      </c>
      <c r="AB14" s="3">
        <v>89.414000000000001</v>
      </c>
      <c r="AC14" s="3">
        <v>1</v>
      </c>
      <c r="AD14" s="3">
        <v>63.692999999999998</v>
      </c>
      <c r="AE14" s="3">
        <v>28.012</v>
      </c>
      <c r="AF14" s="3">
        <v>24.472000000000001</v>
      </c>
      <c r="AG14" s="3" t="s">
        <v>81</v>
      </c>
      <c r="AH14" s="3" t="s">
        <v>81</v>
      </c>
      <c r="AI14" s="3" t="s">
        <v>81</v>
      </c>
      <c r="AJ14" s="3" t="s">
        <v>81</v>
      </c>
      <c r="AK14" s="3" t="s">
        <v>81</v>
      </c>
      <c r="AL14" s="3" t="s">
        <v>81</v>
      </c>
      <c r="AM14" s="3">
        <v>86.450999999999993</v>
      </c>
      <c r="AN14" s="3">
        <v>1</v>
      </c>
      <c r="AO14" s="3">
        <v>56.738999999999997</v>
      </c>
      <c r="AP14" s="3">
        <v>27.5</v>
      </c>
      <c r="AQ14" s="3">
        <v>29.888999999999999</v>
      </c>
      <c r="AR14" s="3" t="s">
        <v>81</v>
      </c>
      <c r="AS14" s="3" t="s">
        <v>81</v>
      </c>
      <c r="AT14" s="3" t="s">
        <v>81</v>
      </c>
      <c r="AU14" s="3" t="s">
        <v>81</v>
      </c>
      <c r="AV14" s="3" t="s">
        <v>81</v>
      </c>
      <c r="AW14" s="3" t="s">
        <v>81</v>
      </c>
      <c r="AX14" s="3">
        <v>84.382000000000005</v>
      </c>
      <c r="AY14" s="3">
        <v>1</v>
      </c>
      <c r="AZ14" s="3">
        <v>63.511000000000003</v>
      </c>
      <c r="BA14" s="3">
        <v>26.138999999999999</v>
      </c>
      <c r="BB14" s="3">
        <v>21.134</v>
      </c>
      <c r="BC14" s="3" t="s">
        <v>81</v>
      </c>
      <c r="BD14" s="3" t="s">
        <v>81</v>
      </c>
      <c r="BE14" s="3" t="s">
        <v>81</v>
      </c>
      <c r="BF14" s="3" t="s">
        <v>81</v>
      </c>
      <c r="BG14" s="3" t="s">
        <v>81</v>
      </c>
      <c r="BH14" s="3" t="s">
        <v>81</v>
      </c>
      <c r="BI14" s="3" t="s">
        <v>84</v>
      </c>
      <c r="BJ14" s="3" t="s">
        <v>82</v>
      </c>
      <c r="BK14" s="3" t="s">
        <v>83</v>
      </c>
      <c r="BL14" s="3" t="s">
        <v>84</v>
      </c>
      <c r="BM14" s="3" t="s">
        <v>84</v>
      </c>
      <c r="BN14" s="3" t="s">
        <v>82</v>
      </c>
      <c r="BO14" s="3" t="s">
        <v>84</v>
      </c>
      <c r="BP14" s="3" t="s">
        <v>81</v>
      </c>
      <c r="BQ14" s="3" t="s">
        <v>81</v>
      </c>
      <c r="BR14" s="3" t="s">
        <v>81</v>
      </c>
      <c r="BS14" s="3" t="s">
        <v>81</v>
      </c>
      <c r="BT14" s="3" t="s">
        <v>81</v>
      </c>
      <c r="BU14" s="3" t="s">
        <v>81</v>
      </c>
      <c r="BV14" s="3" t="s">
        <v>82</v>
      </c>
      <c r="BW14" s="3" t="s">
        <v>91</v>
      </c>
      <c r="BX14" s="3" t="s">
        <v>82</v>
      </c>
      <c r="BY14" s="3" t="s">
        <v>283</v>
      </c>
      <c r="BZ14" s="3" t="s">
        <v>86</v>
      </c>
      <c r="CB14" s="3" t="s">
        <v>84</v>
      </c>
    </row>
    <row r="15" spans="1:87" x14ac:dyDescent="0.15">
      <c r="A15" s="3">
        <v>1228292367</v>
      </c>
      <c r="B15" s="3" t="s">
        <v>282</v>
      </c>
      <c r="C15" s="3" t="s">
        <v>282</v>
      </c>
      <c r="D15" s="3">
        <v>6</v>
      </c>
      <c r="E15" s="3">
        <v>7</v>
      </c>
      <c r="F15" s="3">
        <v>114.623</v>
      </c>
      <c r="G15" s="3">
        <v>2</v>
      </c>
      <c r="H15" s="3">
        <v>91.730999999999995</v>
      </c>
      <c r="I15" s="3">
        <v>26.975000000000001</v>
      </c>
      <c r="J15" s="3">
        <v>20.565000000000001</v>
      </c>
      <c r="K15" s="3">
        <v>22.065000000000001</v>
      </c>
      <c r="L15" s="3">
        <v>0.17</v>
      </c>
      <c r="M15" s="3" t="s">
        <v>81</v>
      </c>
      <c r="N15" s="3" t="s">
        <v>81</v>
      </c>
      <c r="O15" s="3" t="s">
        <v>81</v>
      </c>
      <c r="P15" s="3" t="s">
        <v>81</v>
      </c>
      <c r="Q15" s="3">
        <v>85.844999999999999</v>
      </c>
      <c r="R15" s="3">
        <v>2</v>
      </c>
      <c r="S15" s="3">
        <v>63.652000000000001</v>
      </c>
      <c r="T15" s="3">
        <v>23.510999999999999</v>
      </c>
      <c r="U15" s="3">
        <v>19.84</v>
      </c>
      <c r="V15" s="3">
        <v>20.015999999999998</v>
      </c>
      <c r="W15" s="3">
        <v>0.76</v>
      </c>
      <c r="X15" s="3" t="s">
        <v>81</v>
      </c>
      <c r="Y15" s="3" t="s">
        <v>81</v>
      </c>
      <c r="Z15" s="3" t="s">
        <v>81</v>
      </c>
      <c r="AA15" s="3" t="s">
        <v>81</v>
      </c>
      <c r="AB15" s="3">
        <v>44.098999999999997</v>
      </c>
      <c r="AC15" s="3">
        <v>1</v>
      </c>
      <c r="AD15" s="3">
        <v>42.192999999999998</v>
      </c>
      <c r="AE15" s="3">
        <v>34.572000000000003</v>
      </c>
      <c r="AF15" s="3">
        <v>1.0249999999999999</v>
      </c>
      <c r="AG15" s="3" t="s">
        <v>81</v>
      </c>
      <c r="AH15" s="3" t="s">
        <v>81</v>
      </c>
      <c r="AI15" s="3" t="s">
        <v>81</v>
      </c>
      <c r="AJ15" s="3" t="s">
        <v>81</v>
      </c>
      <c r="AK15" s="3" t="s">
        <v>81</v>
      </c>
      <c r="AL15" s="3" t="s">
        <v>81</v>
      </c>
      <c r="AM15" s="3">
        <v>38.097000000000001</v>
      </c>
      <c r="AN15" s="3">
        <v>1</v>
      </c>
      <c r="AO15" s="3">
        <v>36.229999999999997</v>
      </c>
      <c r="AP15" s="3">
        <v>29.405999999999999</v>
      </c>
      <c r="AQ15" s="3">
        <v>0.79100000000000004</v>
      </c>
      <c r="AR15" s="3" t="s">
        <v>81</v>
      </c>
      <c r="AS15" s="3" t="s">
        <v>81</v>
      </c>
      <c r="AT15" s="3" t="s">
        <v>81</v>
      </c>
      <c r="AU15" s="3" t="s">
        <v>81</v>
      </c>
      <c r="AV15" s="3" t="s">
        <v>81</v>
      </c>
      <c r="AW15" s="3" t="s">
        <v>81</v>
      </c>
      <c r="AX15" s="3">
        <v>72.933999999999997</v>
      </c>
      <c r="AY15" s="3">
        <v>2</v>
      </c>
      <c r="AZ15" s="3">
        <v>20.864000000000001</v>
      </c>
      <c r="BA15" s="3">
        <v>21.3</v>
      </c>
      <c r="BB15" s="3">
        <v>6.242</v>
      </c>
      <c r="BC15" s="3" t="s">
        <v>81</v>
      </c>
      <c r="BD15" s="3">
        <v>4.07</v>
      </c>
      <c r="BE15" s="3" t="s">
        <v>81</v>
      </c>
      <c r="BF15" s="3" t="s">
        <v>81</v>
      </c>
      <c r="BG15" s="3" t="s">
        <v>81</v>
      </c>
      <c r="BH15" s="3" t="s">
        <v>81</v>
      </c>
      <c r="BI15" s="3" t="s">
        <v>84</v>
      </c>
      <c r="BJ15" s="3" t="s">
        <v>82</v>
      </c>
      <c r="BK15" s="3" t="s">
        <v>83</v>
      </c>
      <c r="BL15" s="3" t="s">
        <v>84</v>
      </c>
      <c r="BM15" s="3" t="s">
        <v>84</v>
      </c>
      <c r="BN15" s="3" t="s">
        <v>82</v>
      </c>
      <c r="BO15" s="3" t="s">
        <v>84</v>
      </c>
      <c r="BP15" s="3" t="s">
        <v>87</v>
      </c>
      <c r="BQ15" s="3" t="s">
        <v>87</v>
      </c>
      <c r="BR15" s="3" t="s">
        <v>87</v>
      </c>
      <c r="BS15" s="3" t="s">
        <v>87</v>
      </c>
      <c r="BT15" s="3" t="s">
        <v>87</v>
      </c>
      <c r="BU15" s="3" t="s">
        <v>81</v>
      </c>
      <c r="BV15" s="3" t="s">
        <v>84</v>
      </c>
      <c r="BW15" s="3" t="s">
        <v>83</v>
      </c>
      <c r="BX15" s="3" t="s">
        <v>82</v>
      </c>
      <c r="BY15" s="3" t="s">
        <v>287</v>
      </c>
      <c r="BZ15" s="3" t="s">
        <v>93</v>
      </c>
      <c r="CA15" s="3" t="s">
        <v>84</v>
      </c>
      <c r="CB15" s="3" t="s">
        <v>84</v>
      </c>
    </row>
    <row r="16" spans="1:87" x14ac:dyDescent="0.15">
      <c r="A16" s="3">
        <v>1228361723</v>
      </c>
      <c r="B16" s="3" t="s">
        <v>282</v>
      </c>
      <c r="C16" s="3" t="s">
        <v>282</v>
      </c>
      <c r="D16" s="3">
        <v>9</v>
      </c>
      <c r="E16" s="3">
        <v>11</v>
      </c>
      <c r="F16" s="3">
        <v>186.18299999999999</v>
      </c>
      <c r="G16" s="3">
        <v>3</v>
      </c>
      <c r="H16" s="3">
        <v>113.276</v>
      </c>
      <c r="I16" s="3">
        <v>22.972000000000001</v>
      </c>
      <c r="J16" s="3">
        <v>53.954999999999998</v>
      </c>
      <c r="K16" s="3">
        <v>7.7560000000000002</v>
      </c>
      <c r="L16" s="3">
        <v>11.198</v>
      </c>
      <c r="M16" s="3">
        <v>3.431</v>
      </c>
      <c r="N16" s="3">
        <v>2.1070000000000002</v>
      </c>
      <c r="O16" s="3" t="s">
        <v>81</v>
      </c>
      <c r="P16" s="3" t="s">
        <v>81</v>
      </c>
      <c r="Q16" s="3">
        <v>182.059</v>
      </c>
      <c r="R16" s="3">
        <v>3</v>
      </c>
      <c r="S16" s="3">
        <v>110.226</v>
      </c>
      <c r="T16" s="3">
        <v>21.152000000000001</v>
      </c>
      <c r="U16" s="3">
        <v>53.290999999999997</v>
      </c>
      <c r="V16" s="3">
        <v>7.3280000000000003</v>
      </c>
      <c r="W16" s="3">
        <v>10.641</v>
      </c>
      <c r="X16" s="3">
        <v>2.8809999999999998</v>
      </c>
      <c r="Y16" s="3">
        <v>2.9780000000000002</v>
      </c>
      <c r="Z16" s="3" t="s">
        <v>81</v>
      </c>
      <c r="AA16" s="3" t="s">
        <v>81</v>
      </c>
      <c r="AB16" s="3">
        <v>172.03</v>
      </c>
      <c r="AC16" s="3">
        <v>3</v>
      </c>
      <c r="AD16" s="3">
        <v>105.79600000000001</v>
      </c>
      <c r="AE16" s="3">
        <v>19.062999999999999</v>
      </c>
      <c r="AF16" s="3">
        <v>50.914000000000001</v>
      </c>
      <c r="AG16" s="3">
        <v>6.4740000000000002</v>
      </c>
      <c r="AH16" s="3">
        <v>8.9220000000000006</v>
      </c>
      <c r="AI16" s="3">
        <v>3.7869999999999999</v>
      </c>
      <c r="AJ16" s="3">
        <v>3.4689999999999999</v>
      </c>
      <c r="AK16" s="3" t="s">
        <v>81</v>
      </c>
      <c r="AL16" s="3" t="s">
        <v>81</v>
      </c>
      <c r="AM16" s="3">
        <v>168.81</v>
      </c>
      <c r="AN16" s="3">
        <v>3</v>
      </c>
      <c r="AO16" s="3">
        <v>106.976</v>
      </c>
      <c r="AP16" s="3">
        <v>14.593999999999999</v>
      </c>
      <c r="AQ16" s="3">
        <v>45.493000000000002</v>
      </c>
      <c r="AR16" s="3">
        <v>5.9450000000000003</v>
      </c>
      <c r="AS16" s="3">
        <v>8.4949999999999992</v>
      </c>
      <c r="AT16" s="3">
        <v>3.7519999999999998</v>
      </c>
      <c r="AU16" s="3">
        <v>3.4060000000000001</v>
      </c>
      <c r="AV16" s="3" t="s">
        <v>81</v>
      </c>
      <c r="AW16" s="3" t="s">
        <v>81</v>
      </c>
      <c r="AX16" s="3">
        <v>189.983</v>
      </c>
      <c r="AY16" s="3">
        <v>3</v>
      </c>
      <c r="AZ16" s="3">
        <v>125.468</v>
      </c>
      <c r="BA16" s="3">
        <v>15.414</v>
      </c>
      <c r="BB16" s="3">
        <v>45.765999999999998</v>
      </c>
      <c r="BC16" s="3">
        <v>6.0339999999999998</v>
      </c>
      <c r="BD16" s="3">
        <v>7.8460000000000001</v>
      </c>
      <c r="BE16" s="3">
        <v>3.411</v>
      </c>
      <c r="BF16" s="3">
        <v>2.504</v>
      </c>
      <c r="BG16" s="3" t="s">
        <v>81</v>
      </c>
      <c r="BH16" s="3" t="s">
        <v>81</v>
      </c>
      <c r="BI16" s="3" t="s">
        <v>84</v>
      </c>
      <c r="BJ16" s="3" t="s">
        <v>82</v>
      </c>
      <c r="BK16" s="3" t="s">
        <v>83</v>
      </c>
      <c r="BL16" s="3" t="s">
        <v>84</v>
      </c>
      <c r="BM16" s="3" t="s">
        <v>84</v>
      </c>
      <c r="BN16" s="3" t="s">
        <v>82</v>
      </c>
      <c r="BO16" s="3" t="s">
        <v>84</v>
      </c>
      <c r="BP16" s="3" t="s">
        <v>137</v>
      </c>
      <c r="BQ16" s="3" t="s">
        <v>137</v>
      </c>
      <c r="BR16" s="3" t="s">
        <v>288</v>
      </c>
      <c r="BS16" s="3" t="s">
        <v>289</v>
      </c>
      <c r="BT16" s="3" t="s">
        <v>106</v>
      </c>
      <c r="BU16" s="3" t="s">
        <v>98</v>
      </c>
      <c r="BV16" s="3" t="s">
        <v>84</v>
      </c>
      <c r="BW16" s="3" t="s">
        <v>83</v>
      </c>
      <c r="BX16" s="3" t="s">
        <v>82</v>
      </c>
      <c r="BZ16" s="3" t="s">
        <v>93</v>
      </c>
      <c r="CB16" s="3" t="s">
        <v>84</v>
      </c>
    </row>
    <row r="17" spans="1:87" x14ac:dyDescent="0.15">
      <c r="A17" s="3">
        <v>1847936322</v>
      </c>
      <c r="B17" s="3" t="s">
        <v>282</v>
      </c>
      <c r="C17" s="3" t="s">
        <v>282</v>
      </c>
      <c r="D17" s="3">
        <v>6</v>
      </c>
      <c r="E17" s="3">
        <v>7</v>
      </c>
      <c r="F17" s="3">
        <v>88.671999999999997</v>
      </c>
      <c r="G17" s="3">
        <v>2</v>
      </c>
      <c r="H17" s="3">
        <v>71.808000000000007</v>
      </c>
      <c r="I17" s="3">
        <v>38.783000000000001</v>
      </c>
      <c r="J17" s="3">
        <v>16.576000000000001</v>
      </c>
      <c r="K17" s="3">
        <v>27.93</v>
      </c>
      <c r="L17" s="3">
        <v>0.51900000000000002</v>
      </c>
      <c r="M17" s="3" t="s">
        <v>81</v>
      </c>
      <c r="N17" s="3" t="s">
        <v>81</v>
      </c>
      <c r="O17" s="3" t="s">
        <v>81</v>
      </c>
      <c r="P17" s="3" t="s">
        <v>81</v>
      </c>
      <c r="Q17" s="3">
        <v>75.78</v>
      </c>
      <c r="R17" s="3">
        <v>2</v>
      </c>
      <c r="S17" s="3">
        <v>59.207000000000001</v>
      </c>
      <c r="T17" s="3">
        <v>36.243000000000002</v>
      </c>
      <c r="U17" s="3">
        <v>14.154999999999999</v>
      </c>
      <c r="V17" s="3">
        <v>13.823</v>
      </c>
      <c r="W17" s="3">
        <v>0.497</v>
      </c>
      <c r="X17" s="3" t="s">
        <v>81</v>
      </c>
      <c r="Y17" s="3" t="s">
        <v>81</v>
      </c>
      <c r="Z17" s="3" t="s">
        <v>81</v>
      </c>
      <c r="AA17" s="3" t="s">
        <v>81</v>
      </c>
      <c r="AB17" s="3">
        <v>48.779000000000003</v>
      </c>
      <c r="AC17" s="3">
        <v>1</v>
      </c>
      <c r="AD17" s="3">
        <v>47.76</v>
      </c>
      <c r="AE17" s="3">
        <v>36.033000000000001</v>
      </c>
      <c r="AF17" s="3">
        <v>1.639</v>
      </c>
      <c r="AG17" s="3" t="s">
        <v>81</v>
      </c>
      <c r="AH17" s="3" t="s">
        <v>81</v>
      </c>
      <c r="AI17" s="3" t="s">
        <v>81</v>
      </c>
      <c r="AJ17" s="3" t="s">
        <v>81</v>
      </c>
      <c r="AK17" s="3" t="s">
        <v>81</v>
      </c>
      <c r="AL17" s="3" t="s">
        <v>81</v>
      </c>
      <c r="AM17" s="3" t="s">
        <v>81</v>
      </c>
      <c r="AN17" s="3" t="s">
        <v>81</v>
      </c>
      <c r="AO17" s="3" t="s">
        <v>81</v>
      </c>
      <c r="AP17" s="3" t="s">
        <v>81</v>
      </c>
      <c r="AQ17" s="3" t="s">
        <v>81</v>
      </c>
      <c r="AR17" s="3" t="s">
        <v>81</v>
      </c>
      <c r="AS17" s="3" t="s">
        <v>81</v>
      </c>
      <c r="AT17" s="3" t="s">
        <v>81</v>
      </c>
      <c r="AU17" s="3" t="s">
        <v>81</v>
      </c>
      <c r="AV17" s="3" t="s">
        <v>81</v>
      </c>
      <c r="AW17" s="3" t="s">
        <v>81</v>
      </c>
      <c r="AX17" s="3" t="s">
        <v>81</v>
      </c>
      <c r="AY17" s="3" t="s">
        <v>81</v>
      </c>
      <c r="AZ17" s="3" t="s">
        <v>81</v>
      </c>
      <c r="BA17" s="3" t="s">
        <v>81</v>
      </c>
      <c r="BB17" s="3" t="s">
        <v>81</v>
      </c>
      <c r="BC17" s="3" t="s">
        <v>81</v>
      </c>
      <c r="BD17" s="3" t="s">
        <v>81</v>
      </c>
      <c r="BE17" s="3" t="s">
        <v>81</v>
      </c>
      <c r="BF17" s="3" t="s">
        <v>81</v>
      </c>
      <c r="BG17" s="3" t="s">
        <v>81</v>
      </c>
      <c r="BH17" s="3" t="s">
        <v>81</v>
      </c>
      <c r="BI17" s="3" t="s">
        <v>84</v>
      </c>
      <c r="BJ17" s="3" t="s">
        <v>84</v>
      </c>
      <c r="BK17" s="3" t="s">
        <v>82</v>
      </c>
      <c r="BL17" s="3" t="s">
        <v>84</v>
      </c>
      <c r="BM17" s="3" t="s">
        <v>84</v>
      </c>
      <c r="BN17" s="3" t="s">
        <v>82</v>
      </c>
      <c r="BO17" s="3" t="s">
        <v>84</v>
      </c>
      <c r="BP17" s="3" t="s">
        <v>106</v>
      </c>
      <c r="BQ17" s="3" t="s">
        <v>106</v>
      </c>
      <c r="BR17" s="3" t="s">
        <v>106</v>
      </c>
      <c r="BS17" s="3" t="s">
        <v>106</v>
      </c>
      <c r="BT17" s="3" t="s">
        <v>106</v>
      </c>
      <c r="BU17" s="3" t="s">
        <v>81</v>
      </c>
      <c r="BV17" s="3" t="s">
        <v>84</v>
      </c>
      <c r="BW17" s="3" t="s">
        <v>83</v>
      </c>
      <c r="BX17" s="3" t="s">
        <v>82</v>
      </c>
      <c r="BY17" s="3" t="s">
        <v>290</v>
      </c>
      <c r="BZ17" s="3" t="s">
        <v>93</v>
      </c>
      <c r="CB17" s="3" t="s">
        <v>84</v>
      </c>
    </row>
    <row r="18" spans="1:87" x14ac:dyDescent="0.15">
      <c r="A18" s="3">
        <v>1228373158</v>
      </c>
      <c r="B18" s="3" t="s">
        <v>282</v>
      </c>
      <c r="C18" s="3" t="s">
        <v>282</v>
      </c>
      <c r="D18" s="3">
        <v>6</v>
      </c>
      <c r="E18" s="3">
        <v>6</v>
      </c>
      <c r="F18" s="3">
        <v>60.456000000000003</v>
      </c>
      <c r="G18" s="3">
        <v>2</v>
      </c>
      <c r="H18" s="3">
        <v>45.965000000000003</v>
      </c>
      <c r="I18" s="3">
        <v>12.9</v>
      </c>
      <c r="J18" s="3">
        <v>13.569000000000001</v>
      </c>
      <c r="K18" s="3">
        <v>4.0910000000000002</v>
      </c>
      <c r="L18" s="3">
        <v>1.222</v>
      </c>
      <c r="M18" s="3" t="s">
        <v>81</v>
      </c>
      <c r="N18" s="3" t="s">
        <v>81</v>
      </c>
      <c r="O18" s="3" t="s">
        <v>81</v>
      </c>
      <c r="P18" s="3" t="s">
        <v>81</v>
      </c>
      <c r="Q18" s="3">
        <v>59.715000000000003</v>
      </c>
      <c r="R18" s="3">
        <v>2</v>
      </c>
      <c r="S18" s="3">
        <v>43.387999999999998</v>
      </c>
      <c r="T18" s="3">
        <v>14.988</v>
      </c>
      <c r="U18" s="3">
        <v>13.881</v>
      </c>
      <c r="V18" s="3">
        <v>4.8739999999999997</v>
      </c>
      <c r="W18" s="3">
        <v>1.609</v>
      </c>
      <c r="X18" s="3" t="s">
        <v>81</v>
      </c>
      <c r="Y18" s="3" t="s">
        <v>81</v>
      </c>
      <c r="Z18" s="3" t="s">
        <v>81</v>
      </c>
      <c r="AA18" s="3" t="s">
        <v>81</v>
      </c>
      <c r="AB18" s="3">
        <v>59.781999999999996</v>
      </c>
      <c r="AC18" s="3">
        <v>1</v>
      </c>
      <c r="AD18" s="3">
        <v>42.548999999999999</v>
      </c>
      <c r="AE18" s="3">
        <v>15.573</v>
      </c>
      <c r="AF18" s="3">
        <v>16.91</v>
      </c>
      <c r="AG18" s="3" t="s">
        <v>81</v>
      </c>
      <c r="AH18" s="3" t="s">
        <v>81</v>
      </c>
      <c r="AI18" s="3" t="s">
        <v>81</v>
      </c>
      <c r="AJ18" s="3" t="s">
        <v>81</v>
      </c>
      <c r="AK18" s="3" t="s">
        <v>81</v>
      </c>
      <c r="AL18" s="3" t="s">
        <v>81</v>
      </c>
      <c r="AM18" s="3">
        <v>40.448</v>
      </c>
      <c r="AN18" s="3">
        <v>1</v>
      </c>
      <c r="AO18" s="3">
        <v>39.700000000000003</v>
      </c>
      <c r="AP18" s="3">
        <v>16.675000000000001</v>
      </c>
      <c r="AQ18" s="3">
        <v>0.73899999999999999</v>
      </c>
      <c r="AR18" s="3" t="s">
        <v>81</v>
      </c>
      <c r="AS18" s="3" t="s">
        <v>81</v>
      </c>
      <c r="AT18" s="3" t="s">
        <v>81</v>
      </c>
      <c r="AU18" s="3" t="s">
        <v>81</v>
      </c>
      <c r="AV18" s="3" t="s">
        <v>81</v>
      </c>
      <c r="AW18" s="3" t="s">
        <v>81</v>
      </c>
      <c r="AX18" s="3">
        <v>53.988999999999997</v>
      </c>
      <c r="AY18" s="3">
        <v>1</v>
      </c>
      <c r="AZ18" s="3">
        <v>53.156999999999996</v>
      </c>
      <c r="BA18" s="3">
        <v>13.887</v>
      </c>
      <c r="BB18" s="3">
        <v>0.83199999999999996</v>
      </c>
      <c r="BC18" s="3" t="s">
        <v>81</v>
      </c>
      <c r="BD18" s="3" t="s">
        <v>81</v>
      </c>
      <c r="BE18" s="3" t="s">
        <v>81</v>
      </c>
      <c r="BF18" s="3" t="s">
        <v>81</v>
      </c>
      <c r="BG18" s="3" t="s">
        <v>81</v>
      </c>
      <c r="BH18" s="3" t="s">
        <v>81</v>
      </c>
      <c r="BI18" s="3" t="s">
        <v>84</v>
      </c>
      <c r="BJ18" s="3" t="s">
        <v>82</v>
      </c>
      <c r="BK18" s="3" t="s">
        <v>83</v>
      </c>
      <c r="BL18" s="3" t="s">
        <v>84</v>
      </c>
      <c r="BM18" s="3" t="s">
        <v>84</v>
      </c>
      <c r="BN18" s="3" t="s">
        <v>82</v>
      </c>
      <c r="BO18" s="3" t="s">
        <v>84</v>
      </c>
      <c r="BP18" s="3" t="s">
        <v>85</v>
      </c>
      <c r="BQ18" s="3" t="s">
        <v>85</v>
      </c>
      <c r="BR18" s="3" t="s">
        <v>85</v>
      </c>
      <c r="BS18" s="3" t="s">
        <v>85</v>
      </c>
      <c r="BT18" s="3" t="s">
        <v>85</v>
      </c>
      <c r="BU18" s="3" t="s">
        <v>81</v>
      </c>
      <c r="BV18" s="3" t="s">
        <v>84</v>
      </c>
      <c r="BW18" s="3" t="s">
        <v>83</v>
      </c>
      <c r="BX18" s="3" t="s">
        <v>82</v>
      </c>
      <c r="BZ18" s="3" t="s">
        <v>93</v>
      </c>
      <c r="CB18" s="3" t="s">
        <v>84</v>
      </c>
    </row>
    <row r="19" spans="1:87" x14ac:dyDescent="0.15">
      <c r="A19" s="3">
        <v>2643311594</v>
      </c>
      <c r="B19" s="3" t="s">
        <v>291</v>
      </c>
      <c r="C19" s="3" t="s">
        <v>282</v>
      </c>
      <c r="D19" s="3">
        <v>8</v>
      </c>
      <c r="E19" s="3">
        <v>10</v>
      </c>
      <c r="F19" s="3">
        <v>85.522999999999996</v>
      </c>
      <c r="G19" s="3">
        <v>1</v>
      </c>
      <c r="H19" s="3">
        <v>52.691000000000003</v>
      </c>
      <c r="I19" s="3">
        <v>23.161000000000001</v>
      </c>
      <c r="J19" s="3">
        <v>32.454000000000001</v>
      </c>
      <c r="K19" s="3" t="s">
        <v>81</v>
      </c>
      <c r="L19" s="3" t="s">
        <v>81</v>
      </c>
      <c r="M19" s="3" t="s">
        <v>81</v>
      </c>
      <c r="N19" s="3" t="s">
        <v>81</v>
      </c>
      <c r="O19" s="3" t="s">
        <v>81</v>
      </c>
      <c r="P19" s="3" t="s">
        <v>81</v>
      </c>
      <c r="Q19" s="3">
        <v>82.350999999999999</v>
      </c>
      <c r="R19" s="3">
        <v>1</v>
      </c>
      <c r="S19" s="3">
        <v>63.798999999999999</v>
      </c>
      <c r="T19" s="3">
        <v>18.132999999999999</v>
      </c>
      <c r="U19" s="3">
        <v>24.622</v>
      </c>
      <c r="V19" s="3" t="s">
        <v>81</v>
      </c>
      <c r="W19" s="3" t="s">
        <v>81</v>
      </c>
      <c r="X19" s="3" t="s">
        <v>81</v>
      </c>
      <c r="Y19" s="3" t="s">
        <v>81</v>
      </c>
      <c r="Z19" s="3" t="s">
        <v>81</v>
      </c>
      <c r="AA19" s="3" t="s">
        <v>81</v>
      </c>
      <c r="AB19" s="3">
        <v>80.957999999999998</v>
      </c>
      <c r="AC19" s="3">
        <v>1</v>
      </c>
      <c r="AD19" s="3">
        <v>52.848999999999997</v>
      </c>
      <c r="AE19" s="3">
        <v>23.081</v>
      </c>
      <c r="AF19" s="3">
        <v>27.759</v>
      </c>
      <c r="AG19" s="3" t="s">
        <v>81</v>
      </c>
      <c r="AH19" s="3" t="s">
        <v>81</v>
      </c>
      <c r="AI19" s="3" t="s">
        <v>81</v>
      </c>
      <c r="AJ19" s="3" t="s">
        <v>81</v>
      </c>
      <c r="AK19" s="3" t="s">
        <v>81</v>
      </c>
      <c r="AL19" s="3" t="s">
        <v>81</v>
      </c>
      <c r="AM19" s="3">
        <v>88.265000000000001</v>
      </c>
      <c r="AN19" s="3">
        <v>1</v>
      </c>
      <c r="AO19" s="3">
        <v>56.71</v>
      </c>
      <c r="AP19" s="3">
        <v>23.055</v>
      </c>
      <c r="AQ19" s="3">
        <v>30.89</v>
      </c>
      <c r="AR19" s="3" t="s">
        <v>81</v>
      </c>
      <c r="AS19" s="3" t="s">
        <v>81</v>
      </c>
      <c r="AT19" s="3" t="s">
        <v>81</v>
      </c>
      <c r="AU19" s="3" t="s">
        <v>81</v>
      </c>
      <c r="AV19" s="3" t="s">
        <v>81</v>
      </c>
      <c r="AW19" s="3" t="s">
        <v>81</v>
      </c>
      <c r="AX19" s="3">
        <v>84.769000000000005</v>
      </c>
      <c r="AY19" s="3">
        <v>1</v>
      </c>
      <c r="AZ19" s="3">
        <v>51.029000000000003</v>
      </c>
      <c r="BA19" s="3">
        <v>26.439</v>
      </c>
      <c r="BB19" s="3">
        <v>32.777000000000001</v>
      </c>
      <c r="BC19" s="3" t="s">
        <v>81</v>
      </c>
      <c r="BD19" s="3" t="s">
        <v>81</v>
      </c>
      <c r="BE19" s="3" t="s">
        <v>81</v>
      </c>
      <c r="BF19" s="3" t="s">
        <v>81</v>
      </c>
      <c r="BG19" s="3" t="s">
        <v>81</v>
      </c>
      <c r="BH19" s="3" t="s">
        <v>81</v>
      </c>
      <c r="BI19" s="3" t="s">
        <v>84</v>
      </c>
      <c r="BJ19" s="3" t="s">
        <v>82</v>
      </c>
      <c r="BK19" s="3" t="s">
        <v>83</v>
      </c>
      <c r="BL19" s="3" t="s">
        <v>84</v>
      </c>
      <c r="BM19" s="3" t="s">
        <v>84</v>
      </c>
      <c r="BN19" s="3" t="s">
        <v>82</v>
      </c>
      <c r="BO19" s="3" t="s">
        <v>84</v>
      </c>
      <c r="BP19" s="3" t="s">
        <v>81</v>
      </c>
      <c r="BQ19" s="3" t="s">
        <v>81</v>
      </c>
      <c r="BR19" s="3" t="s">
        <v>81</v>
      </c>
      <c r="BS19" s="3" t="s">
        <v>81</v>
      </c>
      <c r="BT19" s="3" t="s">
        <v>81</v>
      </c>
      <c r="BU19" s="3" t="s">
        <v>81</v>
      </c>
      <c r="BV19" s="3" t="s">
        <v>84</v>
      </c>
      <c r="BW19" s="3" t="s">
        <v>83</v>
      </c>
      <c r="BX19" s="3" t="s">
        <v>82</v>
      </c>
      <c r="BY19" s="3" t="s">
        <v>173</v>
      </c>
      <c r="BZ19" s="3" t="s">
        <v>86</v>
      </c>
      <c r="CB19" s="3" t="s">
        <v>84</v>
      </c>
    </row>
    <row r="20" spans="1:87" ht="15.75" customHeight="1" x14ac:dyDescent="0.15">
      <c r="A20" s="3">
        <v>1228626221</v>
      </c>
      <c r="B20" s="3" t="s">
        <v>115</v>
      </c>
      <c r="C20" s="3" t="s">
        <v>115</v>
      </c>
      <c r="D20" s="3">
        <v>4</v>
      </c>
      <c r="E20" s="3">
        <v>6</v>
      </c>
      <c r="F20" s="3">
        <v>48.377000000000002</v>
      </c>
      <c r="G20" s="3">
        <v>1</v>
      </c>
      <c r="H20" s="3">
        <v>31.984999999999999</v>
      </c>
      <c r="I20" s="3">
        <v>26.481999999999999</v>
      </c>
      <c r="J20" s="3">
        <v>15.906000000000001</v>
      </c>
      <c r="K20" s="3" t="s">
        <v>81</v>
      </c>
      <c r="L20" s="3" t="s">
        <v>81</v>
      </c>
      <c r="M20" s="3" t="s">
        <v>81</v>
      </c>
      <c r="N20" s="3" t="s">
        <v>81</v>
      </c>
      <c r="O20" s="3" t="s">
        <v>81</v>
      </c>
      <c r="P20" s="3" t="s">
        <v>81</v>
      </c>
      <c r="Q20" s="3">
        <v>53.752000000000002</v>
      </c>
      <c r="R20" s="3">
        <v>1</v>
      </c>
      <c r="S20" s="3">
        <v>37.651000000000003</v>
      </c>
      <c r="T20" s="3">
        <v>19.358000000000001</v>
      </c>
      <c r="U20" s="3">
        <v>14.372999999999999</v>
      </c>
      <c r="V20" s="3" t="s">
        <v>81</v>
      </c>
      <c r="W20" s="3" t="s">
        <v>81</v>
      </c>
      <c r="X20" s="3" t="s">
        <v>81</v>
      </c>
      <c r="Y20" s="3" t="s">
        <v>81</v>
      </c>
      <c r="Z20" s="3" t="s">
        <v>81</v>
      </c>
      <c r="AA20" s="3" t="s">
        <v>81</v>
      </c>
      <c r="AB20" s="3">
        <v>51.744</v>
      </c>
      <c r="AC20" s="3">
        <v>1</v>
      </c>
      <c r="AD20" s="3">
        <v>34.661000000000001</v>
      </c>
      <c r="AE20" s="3">
        <v>21.236000000000001</v>
      </c>
      <c r="AF20" s="3">
        <v>16.356000000000002</v>
      </c>
      <c r="AG20" s="3" t="s">
        <v>81</v>
      </c>
      <c r="AH20" s="3" t="s">
        <v>81</v>
      </c>
      <c r="AI20" s="3" t="s">
        <v>81</v>
      </c>
      <c r="AJ20" s="3" t="s">
        <v>81</v>
      </c>
      <c r="AK20" s="3" t="s">
        <v>81</v>
      </c>
      <c r="AL20" s="3" t="s">
        <v>81</v>
      </c>
      <c r="AM20" s="3">
        <v>51.066000000000003</v>
      </c>
      <c r="AN20" s="3">
        <v>1</v>
      </c>
      <c r="AO20" s="3">
        <v>35.551000000000002</v>
      </c>
      <c r="AP20" s="3">
        <v>26.120999999999999</v>
      </c>
      <c r="AQ20" s="3">
        <v>15.005000000000001</v>
      </c>
      <c r="AR20" s="3" t="s">
        <v>81</v>
      </c>
      <c r="AS20" s="3" t="s">
        <v>81</v>
      </c>
      <c r="AT20" s="3" t="s">
        <v>81</v>
      </c>
      <c r="AU20" s="3" t="s">
        <v>81</v>
      </c>
      <c r="AV20" s="3" t="s">
        <v>81</v>
      </c>
      <c r="AW20" s="3" t="s">
        <v>81</v>
      </c>
      <c r="AX20" s="3">
        <v>48.744</v>
      </c>
      <c r="AY20" s="3">
        <v>1</v>
      </c>
      <c r="AZ20" s="3">
        <v>33.899000000000001</v>
      </c>
      <c r="BA20" s="3">
        <v>20.468</v>
      </c>
      <c r="BB20" s="3">
        <v>15.371</v>
      </c>
      <c r="BC20" s="3" t="s">
        <v>81</v>
      </c>
      <c r="BD20" s="3" t="s">
        <v>81</v>
      </c>
      <c r="BE20" s="3" t="s">
        <v>81</v>
      </c>
      <c r="BF20" s="3" t="s">
        <v>81</v>
      </c>
      <c r="BG20" s="3" t="s">
        <v>81</v>
      </c>
      <c r="BH20" s="3" t="s">
        <v>81</v>
      </c>
      <c r="BI20" s="3" t="s">
        <v>84</v>
      </c>
      <c r="BJ20" s="3" t="s">
        <v>82</v>
      </c>
      <c r="BK20" s="3" t="s">
        <v>83</v>
      </c>
      <c r="BL20" s="3" t="s">
        <v>84</v>
      </c>
      <c r="BM20" s="3" t="s">
        <v>84</v>
      </c>
      <c r="BN20" s="3" t="s">
        <v>82</v>
      </c>
      <c r="BO20" s="3" t="s">
        <v>82</v>
      </c>
      <c r="BP20" s="3" t="s">
        <v>87</v>
      </c>
      <c r="BQ20" s="3" t="s">
        <v>87</v>
      </c>
      <c r="BR20" s="3" t="s">
        <v>116</v>
      </c>
      <c r="BS20" s="3" t="s">
        <v>116</v>
      </c>
      <c r="BT20" s="3" t="s">
        <v>87</v>
      </c>
      <c r="BU20" s="3" t="s">
        <v>81</v>
      </c>
      <c r="BV20" s="3" t="s">
        <v>84</v>
      </c>
      <c r="BW20" s="3" t="s">
        <v>83</v>
      </c>
      <c r="BX20" s="3" t="s">
        <v>82</v>
      </c>
      <c r="BY20" s="3"/>
      <c r="BZ20" s="3" t="s">
        <v>93</v>
      </c>
      <c r="CA20" s="3"/>
      <c r="CB20" s="3" t="s">
        <v>84</v>
      </c>
      <c r="CC20" s="3"/>
      <c r="CD20" s="3"/>
      <c r="CE20" s="3"/>
      <c r="CF20" s="3"/>
      <c r="CG20" s="3"/>
      <c r="CH20" s="3"/>
      <c r="CI20" s="3"/>
    </row>
    <row r="21" spans="1:87" ht="15.75" customHeight="1" x14ac:dyDescent="0.15">
      <c r="A21" s="3">
        <v>1322214876</v>
      </c>
      <c r="B21" s="3" t="s">
        <v>115</v>
      </c>
      <c r="C21" s="3" t="s">
        <v>115</v>
      </c>
      <c r="D21" s="3">
        <v>9</v>
      </c>
      <c r="E21" s="3">
        <v>12</v>
      </c>
      <c r="F21" s="3">
        <v>62.137</v>
      </c>
      <c r="G21" s="3">
        <v>1</v>
      </c>
      <c r="H21" s="3">
        <v>28.681999999999999</v>
      </c>
      <c r="I21" s="3">
        <v>12.845000000000001</v>
      </c>
      <c r="J21" s="3">
        <v>31.195</v>
      </c>
      <c r="K21" s="3" t="s">
        <v>81</v>
      </c>
      <c r="L21" s="3" t="s">
        <v>81</v>
      </c>
      <c r="M21" s="3" t="s">
        <v>81</v>
      </c>
      <c r="N21" s="3" t="s">
        <v>81</v>
      </c>
      <c r="O21" s="3" t="s">
        <v>81</v>
      </c>
      <c r="P21" s="3" t="s">
        <v>81</v>
      </c>
      <c r="Q21" s="3">
        <v>54.701999999999998</v>
      </c>
      <c r="R21" s="3">
        <v>1</v>
      </c>
      <c r="S21" s="3">
        <v>31.045000000000002</v>
      </c>
      <c r="T21" s="3">
        <v>16.052</v>
      </c>
      <c r="U21" s="3">
        <v>24.516999999999999</v>
      </c>
      <c r="V21" s="3" t="s">
        <v>81</v>
      </c>
      <c r="W21" s="3" t="s">
        <v>81</v>
      </c>
      <c r="X21" s="3" t="s">
        <v>81</v>
      </c>
      <c r="Y21" s="3" t="s">
        <v>81</v>
      </c>
      <c r="Z21" s="3" t="s">
        <v>81</v>
      </c>
      <c r="AA21" s="3" t="s">
        <v>81</v>
      </c>
      <c r="AB21" s="3">
        <v>60.423000000000002</v>
      </c>
      <c r="AC21" s="3">
        <v>1</v>
      </c>
      <c r="AD21" s="3">
        <v>21.734999999999999</v>
      </c>
      <c r="AE21" s="3">
        <v>22.015999999999998</v>
      </c>
      <c r="AF21" s="3">
        <v>37.728000000000002</v>
      </c>
      <c r="AG21" s="3" t="s">
        <v>81</v>
      </c>
      <c r="AH21" s="3" t="s">
        <v>81</v>
      </c>
      <c r="AI21" s="3" t="s">
        <v>81</v>
      </c>
      <c r="AJ21" s="3" t="s">
        <v>81</v>
      </c>
      <c r="AK21" s="3" t="s">
        <v>81</v>
      </c>
      <c r="AL21" s="3" t="s">
        <v>81</v>
      </c>
      <c r="AM21" s="3">
        <v>73.206999999999994</v>
      </c>
      <c r="AN21" s="3">
        <v>1</v>
      </c>
      <c r="AO21" s="3">
        <v>38.521999999999998</v>
      </c>
      <c r="AP21" s="3">
        <v>17.445</v>
      </c>
      <c r="AQ21" s="3">
        <v>33.674999999999997</v>
      </c>
      <c r="AR21" s="3" t="s">
        <v>81</v>
      </c>
      <c r="AS21" s="3" t="s">
        <v>81</v>
      </c>
      <c r="AT21" s="3" t="s">
        <v>81</v>
      </c>
      <c r="AU21" s="3" t="s">
        <v>81</v>
      </c>
      <c r="AV21" s="3" t="s">
        <v>81</v>
      </c>
      <c r="AW21" s="3" t="s">
        <v>81</v>
      </c>
      <c r="AX21" s="3">
        <v>59.534999999999997</v>
      </c>
      <c r="AY21" s="3">
        <v>1</v>
      </c>
      <c r="AZ21" s="3">
        <v>23.308</v>
      </c>
      <c r="BA21" s="3">
        <v>14.945</v>
      </c>
      <c r="BB21" s="3">
        <v>35</v>
      </c>
      <c r="BC21" s="3" t="s">
        <v>81</v>
      </c>
      <c r="BD21" s="3" t="s">
        <v>81</v>
      </c>
      <c r="BE21" s="3" t="s">
        <v>81</v>
      </c>
      <c r="BF21" s="3" t="s">
        <v>81</v>
      </c>
      <c r="BG21" s="3" t="s">
        <v>81</v>
      </c>
      <c r="BH21" s="3" t="s">
        <v>81</v>
      </c>
      <c r="BI21" s="3" t="s">
        <v>84</v>
      </c>
      <c r="BJ21" s="3" t="s">
        <v>84</v>
      </c>
      <c r="BK21" s="3" t="s">
        <v>82</v>
      </c>
      <c r="BL21" s="3" t="s">
        <v>84</v>
      </c>
      <c r="BM21" s="3" t="s">
        <v>84</v>
      </c>
      <c r="BN21" s="3" t="s">
        <v>82</v>
      </c>
      <c r="BO21" s="3" t="s">
        <v>82</v>
      </c>
      <c r="BP21" s="3" t="s">
        <v>87</v>
      </c>
      <c r="BQ21" s="3" t="s">
        <v>87</v>
      </c>
      <c r="BR21" s="3" t="s">
        <v>87</v>
      </c>
      <c r="BS21" s="3" t="s">
        <v>87</v>
      </c>
      <c r="BT21" s="3" t="s">
        <v>87</v>
      </c>
      <c r="BU21" s="3" t="s">
        <v>81</v>
      </c>
      <c r="BV21" s="3" t="s">
        <v>82</v>
      </c>
      <c r="BW21" s="3" t="s">
        <v>91</v>
      </c>
      <c r="BX21" s="3" t="s">
        <v>82</v>
      </c>
      <c r="BY21" s="3" t="s">
        <v>117</v>
      </c>
      <c r="BZ21" s="3" t="s">
        <v>86</v>
      </c>
      <c r="CB21" s="3" t="s">
        <v>84</v>
      </c>
    </row>
    <row r="22" spans="1:87" ht="15.75" customHeight="1" x14ac:dyDescent="0.15">
      <c r="A22" s="3">
        <v>1322106996</v>
      </c>
      <c r="B22" s="3" t="s">
        <v>115</v>
      </c>
      <c r="C22" s="3" t="s">
        <v>115</v>
      </c>
      <c r="D22" s="3">
        <v>6</v>
      </c>
      <c r="E22" s="3">
        <v>6</v>
      </c>
      <c r="F22" s="3">
        <v>79.078000000000003</v>
      </c>
      <c r="G22" s="3">
        <v>3</v>
      </c>
      <c r="H22" s="3">
        <v>45.631</v>
      </c>
      <c r="I22" s="3">
        <v>10.773999999999999</v>
      </c>
      <c r="J22" s="3">
        <v>24.167000000000002</v>
      </c>
      <c r="K22" s="3">
        <v>8.8439999999999994</v>
      </c>
      <c r="L22" s="3">
        <v>8.6739999999999995</v>
      </c>
      <c r="M22" s="3">
        <v>3.21</v>
      </c>
      <c r="N22" s="3">
        <v>0.55600000000000005</v>
      </c>
      <c r="O22" s="3" t="s">
        <v>81</v>
      </c>
      <c r="P22" s="3" t="s">
        <v>81</v>
      </c>
      <c r="Q22" s="3">
        <v>85.031999999999996</v>
      </c>
      <c r="R22" s="3">
        <v>3</v>
      </c>
      <c r="S22" s="3">
        <v>48.540999999999997</v>
      </c>
      <c r="T22" s="3">
        <v>10.220000000000001</v>
      </c>
      <c r="U22" s="3">
        <v>25.748999999999999</v>
      </c>
      <c r="V22" s="3">
        <v>7.87</v>
      </c>
      <c r="W22" s="3">
        <v>8.3610000000000007</v>
      </c>
      <c r="X22" s="3">
        <v>2.536</v>
      </c>
      <c r="Y22" s="3">
        <v>0.28299999999999997</v>
      </c>
      <c r="Z22" s="3" t="s">
        <v>81</v>
      </c>
      <c r="AA22" s="3" t="s">
        <v>81</v>
      </c>
      <c r="AB22" s="3">
        <v>79.010000000000005</v>
      </c>
      <c r="AC22" s="3">
        <v>3</v>
      </c>
      <c r="AD22" s="3">
        <v>36.112000000000002</v>
      </c>
      <c r="AE22" s="3">
        <v>17.102</v>
      </c>
      <c r="AF22" s="3">
        <v>29.859000000000002</v>
      </c>
      <c r="AG22" s="3">
        <v>7.8490000000000002</v>
      </c>
      <c r="AH22" s="3">
        <v>9.7379999999999995</v>
      </c>
      <c r="AI22" s="3">
        <v>3.7269999999999999</v>
      </c>
      <c r="AJ22" s="3">
        <v>0.68100000000000005</v>
      </c>
      <c r="AK22" s="3" t="s">
        <v>81</v>
      </c>
      <c r="AL22" s="3" t="s">
        <v>81</v>
      </c>
      <c r="AM22" s="3">
        <v>76.721999999999994</v>
      </c>
      <c r="AN22" s="3">
        <v>3</v>
      </c>
      <c r="AO22" s="3">
        <v>39.387999999999998</v>
      </c>
      <c r="AP22" s="3">
        <v>12.388999999999999</v>
      </c>
      <c r="AQ22" s="3">
        <v>26.748000000000001</v>
      </c>
      <c r="AR22" s="3" t="s">
        <v>81</v>
      </c>
      <c r="AS22" s="3">
        <v>7.8280000000000003</v>
      </c>
      <c r="AT22" s="3">
        <v>3.22</v>
      </c>
      <c r="AU22" s="3">
        <v>1.2270000000000001</v>
      </c>
      <c r="AV22" s="3" t="s">
        <v>81</v>
      </c>
      <c r="AW22" s="3" t="s">
        <v>81</v>
      </c>
      <c r="AX22" s="3">
        <v>75.385000000000005</v>
      </c>
      <c r="AY22" s="3">
        <v>3</v>
      </c>
      <c r="AZ22" s="3">
        <v>39.162999999999997</v>
      </c>
      <c r="BA22" s="3" t="s">
        <v>81</v>
      </c>
      <c r="BB22" s="3">
        <v>27.356999999999999</v>
      </c>
      <c r="BC22" s="3">
        <v>7.8280000000000003</v>
      </c>
      <c r="BD22" s="3">
        <v>6.6159999999999997</v>
      </c>
      <c r="BE22" s="3">
        <v>2.8780000000000001</v>
      </c>
      <c r="BF22" s="3">
        <v>0.625</v>
      </c>
      <c r="BG22" s="3" t="s">
        <v>81</v>
      </c>
      <c r="BH22" s="3" t="s">
        <v>81</v>
      </c>
      <c r="BI22" s="3" t="s">
        <v>84</v>
      </c>
      <c r="BJ22" s="3" t="s">
        <v>84</v>
      </c>
      <c r="BK22" s="3" t="s">
        <v>82</v>
      </c>
      <c r="BL22" s="3" t="s">
        <v>84</v>
      </c>
      <c r="BM22" s="3" t="s">
        <v>84</v>
      </c>
      <c r="BN22" s="3" t="s">
        <v>82</v>
      </c>
      <c r="BO22" s="3" t="s">
        <v>83</v>
      </c>
      <c r="BP22" s="3" t="s">
        <v>81</v>
      </c>
      <c r="BQ22" s="3" t="s">
        <v>81</v>
      </c>
      <c r="BR22" s="3" t="s">
        <v>81</v>
      </c>
      <c r="BS22" s="3" t="s">
        <v>81</v>
      </c>
      <c r="BT22" s="3" t="s">
        <v>81</v>
      </c>
      <c r="BU22" s="3" t="s">
        <v>81</v>
      </c>
      <c r="BV22" s="3" t="s">
        <v>82</v>
      </c>
      <c r="BW22" s="3" t="s">
        <v>91</v>
      </c>
      <c r="BX22" s="3" t="s">
        <v>82</v>
      </c>
      <c r="BY22" s="3" t="s">
        <v>118</v>
      </c>
      <c r="BZ22" s="3" t="s">
        <v>86</v>
      </c>
      <c r="CB22" s="3" t="s">
        <v>84</v>
      </c>
    </row>
    <row r="23" spans="1:87" x14ac:dyDescent="0.15">
      <c r="A23" s="3">
        <v>1847925734</v>
      </c>
      <c r="B23" s="3" t="s">
        <v>432</v>
      </c>
      <c r="C23" s="3" t="s">
        <v>433</v>
      </c>
      <c r="D23" s="3">
        <v>3</v>
      </c>
      <c r="E23" s="3">
        <v>3</v>
      </c>
      <c r="F23" s="3">
        <v>76.451999999999998</v>
      </c>
      <c r="G23" s="3">
        <v>2</v>
      </c>
      <c r="H23" s="3">
        <v>46.771000000000001</v>
      </c>
      <c r="I23" s="3">
        <v>24.695</v>
      </c>
      <c r="J23" s="3">
        <v>9.8870000000000005</v>
      </c>
      <c r="K23" s="3" t="s">
        <v>81</v>
      </c>
      <c r="L23" s="3">
        <v>17.908999999999999</v>
      </c>
      <c r="M23" s="3" t="s">
        <v>81</v>
      </c>
      <c r="N23" s="3" t="s">
        <v>81</v>
      </c>
      <c r="O23" s="3" t="s">
        <v>81</v>
      </c>
      <c r="P23" s="3" t="s">
        <v>81</v>
      </c>
      <c r="Q23" s="3">
        <v>74.346999999999994</v>
      </c>
      <c r="R23" s="3">
        <v>2</v>
      </c>
      <c r="S23" s="3">
        <v>39.093000000000004</v>
      </c>
      <c r="T23" s="3" t="s">
        <v>81</v>
      </c>
      <c r="U23" s="3">
        <v>17.414999999999999</v>
      </c>
      <c r="V23" s="3" t="s">
        <v>81</v>
      </c>
      <c r="W23" s="3">
        <v>16.422000000000001</v>
      </c>
      <c r="X23" s="3" t="s">
        <v>81</v>
      </c>
      <c r="Y23" s="3" t="s">
        <v>81</v>
      </c>
      <c r="Z23" s="3" t="s">
        <v>81</v>
      </c>
      <c r="AA23" s="3" t="s">
        <v>81</v>
      </c>
      <c r="AB23" s="3">
        <v>75.531000000000006</v>
      </c>
      <c r="AC23" s="3">
        <v>2</v>
      </c>
      <c r="AD23" s="3">
        <v>39.896000000000001</v>
      </c>
      <c r="AE23" s="3">
        <v>26.387</v>
      </c>
      <c r="AF23" s="3">
        <v>16.271999999999998</v>
      </c>
      <c r="AG23" s="3" t="s">
        <v>81</v>
      </c>
      <c r="AH23" s="3">
        <v>15.522</v>
      </c>
      <c r="AI23" s="3" t="s">
        <v>81</v>
      </c>
      <c r="AJ23" s="3" t="s">
        <v>81</v>
      </c>
      <c r="AK23" s="3" t="s">
        <v>81</v>
      </c>
      <c r="AL23" s="3" t="s">
        <v>81</v>
      </c>
      <c r="AM23" s="3" t="s">
        <v>81</v>
      </c>
      <c r="AN23" s="3" t="s">
        <v>81</v>
      </c>
      <c r="AO23" s="3" t="s">
        <v>81</v>
      </c>
      <c r="AP23" s="3" t="s">
        <v>81</v>
      </c>
      <c r="AQ23" s="3" t="s">
        <v>81</v>
      </c>
      <c r="AR23" s="3" t="s">
        <v>81</v>
      </c>
      <c r="AS23" s="3" t="s">
        <v>81</v>
      </c>
      <c r="AT23" s="3" t="s">
        <v>81</v>
      </c>
      <c r="AU23" s="3" t="s">
        <v>81</v>
      </c>
      <c r="AV23" s="3" t="s">
        <v>81</v>
      </c>
      <c r="AW23" s="3" t="s">
        <v>81</v>
      </c>
      <c r="AX23" s="3" t="s">
        <v>81</v>
      </c>
      <c r="AY23" s="3" t="s">
        <v>81</v>
      </c>
      <c r="AZ23" s="3" t="s">
        <v>81</v>
      </c>
      <c r="BA23" s="3" t="s">
        <v>81</v>
      </c>
      <c r="BB23" s="3" t="s">
        <v>81</v>
      </c>
      <c r="BC23" s="3" t="s">
        <v>81</v>
      </c>
      <c r="BD23" s="3" t="s">
        <v>81</v>
      </c>
      <c r="BE23" s="3" t="s">
        <v>81</v>
      </c>
      <c r="BF23" s="3" t="s">
        <v>81</v>
      </c>
      <c r="BG23" s="3" t="s">
        <v>81</v>
      </c>
      <c r="BH23" s="3" t="s">
        <v>81</v>
      </c>
      <c r="BI23" s="3" t="s">
        <v>84</v>
      </c>
      <c r="BJ23" s="3" t="s">
        <v>82</v>
      </c>
      <c r="BK23" s="3" t="s">
        <v>83</v>
      </c>
      <c r="BL23" s="3" t="s">
        <v>84</v>
      </c>
      <c r="BM23" s="3" t="s">
        <v>84</v>
      </c>
      <c r="BN23" s="3" t="s">
        <v>82</v>
      </c>
      <c r="BO23" s="3" t="s">
        <v>84</v>
      </c>
      <c r="BP23" s="3" t="s">
        <v>87</v>
      </c>
      <c r="BQ23" s="3" t="s">
        <v>98</v>
      </c>
      <c r="BR23" s="3" t="s">
        <v>434</v>
      </c>
      <c r="BS23" s="3" t="s">
        <v>435</v>
      </c>
      <c r="BT23" s="3" t="s">
        <v>98</v>
      </c>
      <c r="BU23" s="3" t="s">
        <v>87</v>
      </c>
      <c r="BV23" s="3" t="s">
        <v>84</v>
      </c>
      <c r="BW23" s="3" t="s">
        <v>83</v>
      </c>
      <c r="BX23" s="3" t="s">
        <v>84</v>
      </c>
      <c r="BZ23" s="3" t="s">
        <v>93</v>
      </c>
      <c r="CB23" s="3" t="s">
        <v>84</v>
      </c>
    </row>
    <row r="24" spans="1:87" x14ac:dyDescent="0.15">
      <c r="A24" s="3">
        <v>1322942978</v>
      </c>
      <c r="B24" s="3" t="s">
        <v>432</v>
      </c>
      <c r="C24" s="3" t="s">
        <v>433</v>
      </c>
      <c r="D24" s="3">
        <v>3</v>
      </c>
      <c r="E24" s="3">
        <v>3</v>
      </c>
      <c r="F24" s="3">
        <v>60.167999999999999</v>
      </c>
      <c r="G24" s="3">
        <v>2</v>
      </c>
      <c r="H24" s="3">
        <v>41.357999999999997</v>
      </c>
      <c r="I24" s="3">
        <v>10.141</v>
      </c>
      <c r="J24" s="3">
        <v>17.722999999999999</v>
      </c>
      <c r="K24" s="3">
        <v>15.483000000000001</v>
      </c>
      <c r="L24" s="3">
        <v>0.24399999999999999</v>
      </c>
      <c r="M24" s="3" t="s">
        <v>81</v>
      </c>
      <c r="N24" s="3" t="s">
        <v>81</v>
      </c>
      <c r="O24" s="3" t="s">
        <v>81</v>
      </c>
      <c r="P24" s="3" t="s">
        <v>81</v>
      </c>
      <c r="Q24" s="3">
        <v>66.712000000000003</v>
      </c>
      <c r="R24" s="3">
        <v>2</v>
      </c>
      <c r="S24" s="3">
        <v>46.851999999999997</v>
      </c>
      <c r="T24" s="3" t="s">
        <v>81</v>
      </c>
      <c r="U24" s="3">
        <v>17.827999999999999</v>
      </c>
      <c r="V24" s="3">
        <v>10.74</v>
      </c>
      <c r="W24" s="3">
        <v>0.86499999999999999</v>
      </c>
      <c r="X24" s="3" t="s">
        <v>81</v>
      </c>
      <c r="Y24" s="3" t="s">
        <v>81</v>
      </c>
      <c r="Z24" s="3" t="s">
        <v>81</v>
      </c>
      <c r="AA24" s="3" t="s">
        <v>81</v>
      </c>
      <c r="AB24" s="3" t="s">
        <v>81</v>
      </c>
      <c r="AC24" s="3" t="s">
        <v>81</v>
      </c>
      <c r="AD24" s="3" t="s">
        <v>81</v>
      </c>
      <c r="AE24" s="3" t="s">
        <v>81</v>
      </c>
      <c r="AF24" s="3" t="s">
        <v>81</v>
      </c>
      <c r="AG24" s="3" t="s">
        <v>81</v>
      </c>
      <c r="AH24" s="3" t="s">
        <v>81</v>
      </c>
      <c r="AI24" s="3" t="s">
        <v>81</v>
      </c>
      <c r="AJ24" s="3" t="s">
        <v>81</v>
      </c>
      <c r="AK24" s="3" t="s">
        <v>81</v>
      </c>
      <c r="AL24" s="3" t="s">
        <v>81</v>
      </c>
      <c r="AM24" s="3" t="s">
        <v>81</v>
      </c>
      <c r="AN24" s="3" t="s">
        <v>81</v>
      </c>
      <c r="AO24" s="3" t="s">
        <v>81</v>
      </c>
      <c r="AP24" s="3" t="s">
        <v>81</v>
      </c>
      <c r="AQ24" s="3" t="s">
        <v>81</v>
      </c>
      <c r="AR24" s="3" t="s">
        <v>81</v>
      </c>
      <c r="AS24" s="3" t="s">
        <v>81</v>
      </c>
      <c r="AT24" s="3" t="s">
        <v>81</v>
      </c>
      <c r="AU24" s="3" t="s">
        <v>81</v>
      </c>
      <c r="AV24" s="3" t="s">
        <v>81</v>
      </c>
      <c r="AW24" s="3" t="s">
        <v>81</v>
      </c>
      <c r="AX24" s="3" t="s">
        <v>81</v>
      </c>
      <c r="AY24" s="3" t="s">
        <v>81</v>
      </c>
      <c r="AZ24" s="3" t="s">
        <v>81</v>
      </c>
      <c r="BA24" s="3" t="s">
        <v>81</v>
      </c>
      <c r="BB24" s="3" t="s">
        <v>81</v>
      </c>
      <c r="BC24" s="3" t="s">
        <v>81</v>
      </c>
      <c r="BD24" s="3" t="s">
        <v>81</v>
      </c>
      <c r="BE24" s="3" t="s">
        <v>81</v>
      </c>
      <c r="BF24" s="3" t="s">
        <v>81</v>
      </c>
      <c r="BG24" s="3" t="s">
        <v>81</v>
      </c>
      <c r="BH24" s="3" t="s">
        <v>81</v>
      </c>
      <c r="BI24" s="3" t="s">
        <v>84</v>
      </c>
      <c r="BJ24" s="3" t="s">
        <v>82</v>
      </c>
      <c r="BK24" s="3" t="s">
        <v>83</v>
      </c>
      <c r="BL24" s="3" t="s">
        <v>84</v>
      </c>
      <c r="BM24" s="3" t="s">
        <v>84</v>
      </c>
      <c r="BN24" s="3" t="s">
        <v>82</v>
      </c>
      <c r="BO24" s="3" t="s">
        <v>84</v>
      </c>
      <c r="BP24" s="3" t="s">
        <v>436</v>
      </c>
      <c r="BQ24" s="3" t="s">
        <v>436</v>
      </c>
      <c r="BR24" s="3" t="s">
        <v>437</v>
      </c>
      <c r="BS24" s="3" t="s">
        <v>437</v>
      </c>
      <c r="BT24" s="3" t="s">
        <v>98</v>
      </c>
      <c r="BU24" s="3" t="s">
        <v>87</v>
      </c>
      <c r="BV24" s="3" t="s">
        <v>84</v>
      </c>
      <c r="BW24" s="3" t="s">
        <v>83</v>
      </c>
      <c r="BX24" s="3" t="s">
        <v>84</v>
      </c>
      <c r="BY24" s="3" t="s">
        <v>201</v>
      </c>
      <c r="BZ24" s="3" t="s">
        <v>86</v>
      </c>
      <c r="CB24" s="3" t="s">
        <v>84</v>
      </c>
    </row>
    <row r="25" spans="1:87" x14ac:dyDescent="0.15">
      <c r="A25" s="3">
        <v>2643312860</v>
      </c>
      <c r="B25" s="3" t="s">
        <v>432</v>
      </c>
      <c r="C25" s="3" t="s">
        <v>433</v>
      </c>
      <c r="D25" s="3">
        <v>4</v>
      </c>
      <c r="E25" s="3">
        <v>4</v>
      </c>
      <c r="F25" s="3">
        <v>26.792999999999999</v>
      </c>
      <c r="G25" s="3">
        <v>1</v>
      </c>
      <c r="H25" s="3">
        <v>25.927</v>
      </c>
      <c r="I25" s="3">
        <v>9.532</v>
      </c>
      <c r="J25" s="3">
        <v>0.89900000000000002</v>
      </c>
      <c r="K25" s="3" t="s">
        <v>81</v>
      </c>
      <c r="L25" s="3" t="s">
        <v>81</v>
      </c>
      <c r="M25" s="3" t="s">
        <v>81</v>
      </c>
      <c r="N25" s="3" t="s">
        <v>81</v>
      </c>
      <c r="O25" s="3" t="s">
        <v>81</v>
      </c>
      <c r="P25" s="3" t="s">
        <v>81</v>
      </c>
      <c r="Q25" s="3">
        <v>22.411999999999999</v>
      </c>
      <c r="R25" s="3">
        <v>1</v>
      </c>
      <c r="S25" s="3">
        <v>21.286999999999999</v>
      </c>
      <c r="T25" s="3">
        <v>8.3810000000000002</v>
      </c>
      <c r="U25" s="3">
        <v>1.2030000000000001</v>
      </c>
      <c r="V25" s="3" t="s">
        <v>81</v>
      </c>
      <c r="W25" s="3" t="s">
        <v>81</v>
      </c>
      <c r="X25" s="3" t="s">
        <v>81</v>
      </c>
      <c r="Y25" s="3" t="s">
        <v>81</v>
      </c>
      <c r="Z25" s="3" t="s">
        <v>81</v>
      </c>
      <c r="AA25" s="3" t="s">
        <v>81</v>
      </c>
      <c r="AB25" s="3">
        <v>27.856999999999999</v>
      </c>
      <c r="AC25" s="3">
        <v>0</v>
      </c>
      <c r="AD25" s="3">
        <v>26.207999999999998</v>
      </c>
      <c r="AE25" s="3">
        <v>9.9209999999999994</v>
      </c>
      <c r="AF25" s="3">
        <v>1.375</v>
      </c>
      <c r="AG25" s="3" t="s">
        <v>81</v>
      </c>
      <c r="AH25" s="3" t="s">
        <v>81</v>
      </c>
      <c r="AI25" s="3" t="s">
        <v>81</v>
      </c>
      <c r="AJ25" s="3" t="s">
        <v>81</v>
      </c>
      <c r="AK25" s="3" t="s">
        <v>81</v>
      </c>
      <c r="AL25" s="3" t="s">
        <v>81</v>
      </c>
      <c r="AM25" s="3">
        <v>25.283000000000001</v>
      </c>
      <c r="AN25" s="3">
        <v>1</v>
      </c>
      <c r="AO25" s="3">
        <v>23.812000000000001</v>
      </c>
      <c r="AP25" s="3">
        <v>9.8780000000000001</v>
      </c>
      <c r="AQ25" s="3">
        <v>1.3160000000000001</v>
      </c>
      <c r="AR25" s="3" t="s">
        <v>81</v>
      </c>
      <c r="AS25" s="3" t="s">
        <v>81</v>
      </c>
      <c r="AT25" s="3" t="s">
        <v>81</v>
      </c>
      <c r="AU25" s="3" t="s">
        <v>81</v>
      </c>
      <c r="AV25" s="3" t="s">
        <v>81</v>
      </c>
      <c r="AW25" s="3" t="s">
        <v>81</v>
      </c>
      <c r="AX25" s="3" t="s">
        <v>81</v>
      </c>
      <c r="AY25" s="3" t="s">
        <v>81</v>
      </c>
      <c r="AZ25" s="3" t="s">
        <v>81</v>
      </c>
      <c r="BA25" s="3" t="s">
        <v>81</v>
      </c>
      <c r="BB25" s="3" t="s">
        <v>81</v>
      </c>
      <c r="BC25" s="3" t="s">
        <v>81</v>
      </c>
      <c r="BD25" s="3" t="s">
        <v>81</v>
      </c>
      <c r="BE25" s="3" t="s">
        <v>81</v>
      </c>
      <c r="BF25" s="3" t="s">
        <v>81</v>
      </c>
      <c r="BG25" s="3" t="s">
        <v>81</v>
      </c>
      <c r="BH25" s="3" t="s">
        <v>81</v>
      </c>
      <c r="BI25" s="3" t="s">
        <v>84</v>
      </c>
      <c r="BJ25" s="3" t="s">
        <v>82</v>
      </c>
      <c r="BK25" s="3" t="s">
        <v>83</v>
      </c>
      <c r="BL25" s="3" t="s">
        <v>84</v>
      </c>
      <c r="BM25" s="3" t="s">
        <v>84</v>
      </c>
      <c r="BN25" s="3" t="s">
        <v>82</v>
      </c>
      <c r="BO25" s="3" t="s">
        <v>84</v>
      </c>
      <c r="BP25" s="3" t="s">
        <v>133</v>
      </c>
      <c r="BQ25" s="3" t="s">
        <v>438</v>
      </c>
      <c r="BR25" s="3" t="s">
        <v>439</v>
      </c>
      <c r="BS25" s="3" t="s">
        <v>439</v>
      </c>
      <c r="BT25" s="3" t="s">
        <v>98</v>
      </c>
      <c r="BU25" s="3" t="s">
        <v>87</v>
      </c>
      <c r="BV25" s="3" t="s">
        <v>84</v>
      </c>
      <c r="BW25" s="3" t="s">
        <v>83</v>
      </c>
      <c r="BX25" s="3" t="s">
        <v>82</v>
      </c>
      <c r="BZ25" s="3" t="s">
        <v>86</v>
      </c>
      <c r="CB25" s="3" t="s">
        <v>84</v>
      </c>
    </row>
    <row r="26" spans="1:87" x14ac:dyDescent="0.15">
      <c r="A26" s="3">
        <v>2643317998</v>
      </c>
      <c r="B26" s="3" t="s">
        <v>440</v>
      </c>
      <c r="C26" s="3" t="s">
        <v>433</v>
      </c>
      <c r="D26" s="3">
        <v>2</v>
      </c>
      <c r="E26" s="3">
        <v>2</v>
      </c>
      <c r="F26" s="3">
        <v>31.152999999999999</v>
      </c>
      <c r="G26" s="3">
        <v>0</v>
      </c>
      <c r="H26" s="3" t="s">
        <v>81</v>
      </c>
      <c r="I26" s="3" t="s">
        <v>81</v>
      </c>
      <c r="J26" s="3" t="s">
        <v>81</v>
      </c>
      <c r="K26" s="3" t="s">
        <v>81</v>
      </c>
      <c r="L26" s="3" t="s">
        <v>81</v>
      </c>
      <c r="M26" s="3" t="s">
        <v>81</v>
      </c>
      <c r="N26" s="3" t="s">
        <v>81</v>
      </c>
      <c r="O26" s="3" t="s">
        <v>81</v>
      </c>
      <c r="P26" s="3" t="s">
        <v>81</v>
      </c>
      <c r="Q26" s="3">
        <v>30.614999999999998</v>
      </c>
      <c r="R26" s="3">
        <v>0</v>
      </c>
      <c r="S26" s="3" t="s">
        <v>81</v>
      </c>
      <c r="T26" s="3" t="s">
        <v>81</v>
      </c>
      <c r="U26" s="3" t="s">
        <v>81</v>
      </c>
      <c r="V26" s="3" t="s">
        <v>81</v>
      </c>
      <c r="W26" s="3" t="s">
        <v>81</v>
      </c>
      <c r="X26" s="3" t="s">
        <v>81</v>
      </c>
      <c r="Y26" s="3" t="s">
        <v>81</v>
      </c>
      <c r="Z26" s="3" t="s">
        <v>81</v>
      </c>
      <c r="AA26" s="3" t="s">
        <v>81</v>
      </c>
      <c r="AB26" s="3" t="s">
        <v>81</v>
      </c>
      <c r="AC26" s="3" t="s">
        <v>81</v>
      </c>
      <c r="AD26" s="3" t="s">
        <v>81</v>
      </c>
      <c r="AE26" s="3" t="s">
        <v>81</v>
      </c>
      <c r="AF26" s="3" t="s">
        <v>81</v>
      </c>
      <c r="AG26" s="3" t="s">
        <v>81</v>
      </c>
      <c r="AH26" s="3" t="s">
        <v>81</v>
      </c>
      <c r="AI26" s="3" t="s">
        <v>81</v>
      </c>
      <c r="AJ26" s="3" t="s">
        <v>81</v>
      </c>
      <c r="AK26" s="3" t="s">
        <v>81</v>
      </c>
      <c r="AL26" s="3" t="s">
        <v>81</v>
      </c>
      <c r="AM26" s="3" t="s">
        <v>81</v>
      </c>
      <c r="AN26" s="3" t="s">
        <v>81</v>
      </c>
      <c r="AO26" s="3" t="s">
        <v>81</v>
      </c>
      <c r="AP26" s="3" t="s">
        <v>81</v>
      </c>
      <c r="AQ26" s="3" t="s">
        <v>81</v>
      </c>
      <c r="AR26" s="3" t="s">
        <v>81</v>
      </c>
      <c r="AS26" s="3" t="s">
        <v>81</v>
      </c>
      <c r="AT26" s="3" t="s">
        <v>81</v>
      </c>
      <c r="AU26" s="3" t="s">
        <v>81</v>
      </c>
      <c r="AV26" s="3" t="s">
        <v>81</v>
      </c>
      <c r="AW26" s="3" t="s">
        <v>81</v>
      </c>
      <c r="AX26" s="3" t="s">
        <v>81</v>
      </c>
      <c r="AY26" s="3" t="s">
        <v>81</v>
      </c>
      <c r="AZ26" s="3" t="s">
        <v>81</v>
      </c>
      <c r="BA26" s="3" t="s">
        <v>81</v>
      </c>
      <c r="BB26" s="3" t="s">
        <v>81</v>
      </c>
      <c r="BC26" s="3" t="s">
        <v>81</v>
      </c>
      <c r="BD26" s="3" t="s">
        <v>81</v>
      </c>
      <c r="BE26" s="3" t="s">
        <v>81</v>
      </c>
      <c r="BF26" s="3" t="s">
        <v>81</v>
      </c>
      <c r="BG26" s="3" t="s">
        <v>81</v>
      </c>
      <c r="BH26" s="3" t="s">
        <v>81</v>
      </c>
      <c r="BI26" s="3" t="s">
        <v>84</v>
      </c>
      <c r="BJ26" s="3" t="s">
        <v>82</v>
      </c>
      <c r="BK26" s="3" t="s">
        <v>83</v>
      </c>
      <c r="BL26" s="3" t="s">
        <v>84</v>
      </c>
      <c r="BM26" s="3" t="s">
        <v>82</v>
      </c>
      <c r="BN26" s="3" t="s">
        <v>84</v>
      </c>
      <c r="BO26" s="3" t="s">
        <v>83</v>
      </c>
      <c r="BP26" s="3" t="s">
        <v>81</v>
      </c>
      <c r="BQ26" s="3" t="s">
        <v>81</v>
      </c>
      <c r="BR26" s="3" t="s">
        <v>81</v>
      </c>
      <c r="BS26" s="3" t="s">
        <v>81</v>
      </c>
      <c r="BT26" s="3" t="s">
        <v>81</v>
      </c>
      <c r="BU26" s="3" t="s">
        <v>81</v>
      </c>
      <c r="BV26" s="3" t="s">
        <v>83</v>
      </c>
      <c r="BW26" s="3" t="s">
        <v>83</v>
      </c>
      <c r="BX26" s="3" t="s">
        <v>83</v>
      </c>
      <c r="BY26" s="3" t="s">
        <v>173</v>
      </c>
      <c r="BZ26" s="3" t="s">
        <v>86</v>
      </c>
      <c r="CB26" s="3" t="s">
        <v>84</v>
      </c>
    </row>
    <row r="27" spans="1:87" x14ac:dyDescent="0.15">
      <c r="A27" s="3">
        <v>1847921869</v>
      </c>
      <c r="B27" s="3" t="s">
        <v>433</v>
      </c>
      <c r="C27" s="3" t="s">
        <v>433</v>
      </c>
      <c r="D27" s="3">
        <v>4</v>
      </c>
      <c r="E27" s="3">
        <v>4</v>
      </c>
      <c r="F27" s="3">
        <v>31.481000000000002</v>
      </c>
      <c r="G27" s="3">
        <v>1</v>
      </c>
      <c r="H27" s="3">
        <v>17.515000000000001</v>
      </c>
      <c r="I27" s="3" t="s">
        <v>81</v>
      </c>
      <c r="J27" s="3">
        <v>13.958</v>
      </c>
      <c r="K27" s="3" t="s">
        <v>81</v>
      </c>
      <c r="L27" s="3" t="s">
        <v>81</v>
      </c>
      <c r="M27" s="3" t="s">
        <v>81</v>
      </c>
      <c r="N27" s="3" t="s">
        <v>81</v>
      </c>
      <c r="O27" s="3" t="s">
        <v>81</v>
      </c>
      <c r="P27" s="3" t="s">
        <v>81</v>
      </c>
      <c r="Q27" s="3">
        <v>38.606000000000002</v>
      </c>
      <c r="R27" s="3">
        <v>1</v>
      </c>
      <c r="S27" s="3">
        <v>26.25</v>
      </c>
      <c r="T27" s="3">
        <v>13.321</v>
      </c>
      <c r="U27" s="3">
        <v>6.32</v>
      </c>
      <c r="V27" s="3" t="s">
        <v>81</v>
      </c>
      <c r="W27" s="3">
        <v>3.43</v>
      </c>
      <c r="X27" s="3" t="s">
        <v>81</v>
      </c>
      <c r="Y27" s="3" t="s">
        <v>81</v>
      </c>
      <c r="Z27" s="3" t="s">
        <v>81</v>
      </c>
      <c r="AA27" s="3" t="s">
        <v>81</v>
      </c>
      <c r="AB27" s="3">
        <v>27.215</v>
      </c>
      <c r="AC27" s="3">
        <v>1</v>
      </c>
      <c r="AD27" s="3">
        <v>24.53</v>
      </c>
      <c r="AE27" s="3">
        <v>5.4029999999999996</v>
      </c>
      <c r="AF27" s="3">
        <v>1.121</v>
      </c>
      <c r="AG27" s="3" t="s">
        <v>81</v>
      </c>
      <c r="AH27" s="3" t="s">
        <v>81</v>
      </c>
      <c r="AI27" s="3" t="s">
        <v>81</v>
      </c>
      <c r="AJ27" s="3" t="s">
        <v>81</v>
      </c>
      <c r="AK27" s="3" t="s">
        <v>81</v>
      </c>
      <c r="AL27" s="3" t="s">
        <v>81</v>
      </c>
      <c r="AM27" s="3">
        <v>24.760999999999999</v>
      </c>
      <c r="AN27" s="3">
        <v>1</v>
      </c>
      <c r="AO27" s="3">
        <v>23.097000000000001</v>
      </c>
      <c r="AP27" s="3" t="s">
        <v>81</v>
      </c>
      <c r="AQ27" s="3">
        <v>1.871</v>
      </c>
      <c r="AR27" s="3" t="s">
        <v>81</v>
      </c>
      <c r="AS27" s="3" t="s">
        <v>81</v>
      </c>
      <c r="AT27" s="3" t="s">
        <v>81</v>
      </c>
      <c r="AU27" s="3" t="s">
        <v>81</v>
      </c>
      <c r="AV27" s="3" t="s">
        <v>81</v>
      </c>
      <c r="AW27" s="3" t="s">
        <v>81</v>
      </c>
      <c r="AX27" s="3" t="s">
        <v>81</v>
      </c>
      <c r="AY27" s="3" t="s">
        <v>81</v>
      </c>
      <c r="AZ27" s="3" t="s">
        <v>81</v>
      </c>
      <c r="BA27" s="3" t="s">
        <v>81</v>
      </c>
      <c r="BB27" s="3" t="s">
        <v>81</v>
      </c>
      <c r="BC27" s="3" t="s">
        <v>81</v>
      </c>
      <c r="BD27" s="3" t="s">
        <v>81</v>
      </c>
      <c r="BE27" s="3" t="s">
        <v>81</v>
      </c>
      <c r="BF27" s="3" t="s">
        <v>81</v>
      </c>
      <c r="BG27" s="3" t="s">
        <v>81</v>
      </c>
      <c r="BH27" s="3" t="s">
        <v>81</v>
      </c>
      <c r="BI27" s="3" t="s">
        <v>84</v>
      </c>
      <c r="BJ27" s="3" t="s">
        <v>82</v>
      </c>
      <c r="BK27" s="3" t="s">
        <v>83</v>
      </c>
      <c r="BL27" s="3" t="s">
        <v>84</v>
      </c>
      <c r="BM27" s="3" t="s">
        <v>84</v>
      </c>
      <c r="BN27" s="3" t="s">
        <v>82</v>
      </c>
      <c r="BO27" s="3" t="s">
        <v>84</v>
      </c>
      <c r="BP27" s="3" t="s">
        <v>133</v>
      </c>
      <c r="BQ27" s="3" t="s">
        <v>438</v>
      </c>
      <c r="BR27" s="3" t="s">
        <v>439</v>
      </c>
      <c r="BS27" s="3" t="s">
        <v>439</v>
      </c>
      <c r="BT27" s="3" t="s">
        <v>87</v>
      </c>
      <c r="BU27" s="3" t="s">
        <v>98</v>
      </c>
      <c r="BV27" s="3" t="s">
        <v>84</v>
      </c>
      <c r="BW27" s="3" t="s">
        <v>83</v>
      </c>
      <c r="BX27" s="3" t="s">
        <v>82</v>
      </c>
      <c r="BY27" s="3" t="s">
        <v>441</v>
      </c>
      <c r="CB27" s="3" t="s">
        <v>84</v>
      </c>
    </row>
    <row r="28" spans="1:87" x14ac:dyDescent="0.15">
      <c r="A28" s="3">
        <v>1847938664</v>
      </c>
      <c r="B28" s="3" t="s">
        <v>433</v>
      </c>
      <c r="C28" s="3" t="s">
        <v>433</v>
      </c>
      <c r="D28" s="3">
        <v>7</v>
      </c>
      <c r="E28" s="3">
        <v>7</v>
      </c>
      <c r="F28" s="3">
        <v>116.64400000000001</v>
      </c>
      <c r="G28" s="3">
        <v>1</v>
      </c>
      <c r="H28" s="3">
        <v>68.471999999999994</v>
      </c>
      <c r="I28" s="3">
        <v>19.303999999999998</v>
      </c>
      <c r="J28" s="3">
        <v>48.070999999999998</v>
      </c>
      <c r="K28" s="3" t="s">
        <v>81</v>
      </c>
      <c r="L28" s="3" t="s">
        <v>81</v>
      </c>
      <c r="M28" s="3" t="s">
        <v>81</v>
      </c>
      <c r="N28" s="3" t="s">
        <v>81</v>
      </c>
      <c r="O28" s="3" t="s">
        <v>81</v>
      </c>
      <c r="P28" s="3" t="s">
        <v>81</v>
      </c>
      <c r="Q28" s="3">
        <v>119.747</v>
      </c>
      <c r="R28" s="3">
        <v>1</v>
      </c>
      <c r="S28" s="3">
        <v>75.122</v>
      </c>
      <c r="T28" s="3">
        <v>18.835999999999999</v>
      </c>
      <c r="U28" s="3">
        <v>43.661000000000001</v>
      </c>
      <c r="V28" s="3" t="s">
        <v>81</v>
      </c>
      <c r="W28" s="3" t="s">
        <v>81</v>
      </c>
      <c r="X28" s="3" t="s">
        <v>81</v>
      </c>
      <c r="Y28" s="3" t="s">
        <v>81</v>
      </c>
      <c r="Z28" s="3" t="s">
        <v>81</v>
      </c>
      <c r="AA28" s="3" t="s">
        <v>81</v>
      </c>
      <c r="AB28" s="3">
        <v>117.001</v>
      </c>
      <c r="AC28" s="3">
        <v>1</v>
      </c>
      <c r="AD28" s="3">
        <v>70.225999999999999</v>
      </c>
      <c r="AE28" s="3">
        <v>21.148</v>
      </c>
      <c r="AF28" s="3">
        <v>44.264000000000003</v>
      </c>
      <c r="AG28" s="3" t="s">
        <v>81</v>
      </c>
      <c r="AH28" s="3" t="s">
        <v>81</v>
      </c>
      <c r="AI28" s="3" t="s">
        <v>81</v>
      </c>
      <c r="AJ28" s="3" t="s">
        <v>81</v>
      </c>
      <c r="AK28" s="3" t="s">
        <v>81</v>
      </c>
      <c r="AL28" s="3" t="s">
        <v>81</v>
      </c>
      <c r="AM28" s="3" t="s">
        <v>81</v>
      </c>
      <c r="AN28" s="3" t="s">
        <v>81</v>
      </c>
      <c r="AO28" s="3" t="s">
        <v>81</v>
      </c>
      <c r="AP28" s="3" t="s">
        <v>81</v>
      </c>
      <c r="AQ28" s="3" t="s">
        <v>81</v>
      </c>
      <c r="AR28" s="3" t="s">
        <v>81</v>
      </c>
      <c r="AS28" s="3" t="s">
        <v>81</v>
      </c>
      <c r="AT28" s="3" t="s">
        <v>81</v>
      </c>
      <c r="AU28" s="3" t="s">
        <v>81</v>
      </c>
      <c r="AV28" s="3" t="s">
        <v>81</v>
      </c>
      <c r="AW28" s="3" t="s">
        <v>81</v>
      </c>
      <c r="AX28" s="3" t="s">
        <v>81</v>
      </c>
      <c r="AY28" s="3" t="s">
        <v>81</v>
      </c>
      <c r="AZ28" s="3" t="s">
        <v>81</v>
      </c>
      <c r="BA28" s="3" t="s">
        <v>81</v>
      </c>
      <c r="BB28" s="3" t="s">
        <v>81</v>
      </c>
      <c r="BC28" s="3" t="s">
        <v>81</v>
      </c>
      <c r="BD28" s="3" t="s">
        <v>81</v>
      </c>
      <c r="BE28" s="3" t="s">
        <v>81</v>
      </c>
      <c r="BF28" s="3" t="s">
        <v>81</v>
      </c>
      <c r="BG28" s="3" t="s">
        <v>81</v>
      </c>
      <c r="BH28" s="3" t="s">
        <v>81</v>
      </c>
      <c r="BI28" s="3" t="s">
        <v>84</v>
      </c>
      <c r="BJ28" s="3" t="s">
        <v>84</v>
      </c>
      <c r="BK28" s="3" t="s">
        <v>82</v>
      </c>
      <c r="BL28" s="3" t="s">
        <v>84</v>
      </c>
      <c r="BM28" s="3" t="s">
        <v>84</v>
      </c>
      <c r="BN28" s="3" t="s">
        <v>84</v>
      </c>
      <c r="BO28" s="3" t="s">
        <v>82</v>
      </c>
      <c r="BP28" s="3" t="s">
        <v>133</v>
      </c>
      <c r="BQ28" s="3" t="s">
        <v>438</v>
      </c>
      <c r="BR28" s="3" t="s">
        <v>442</v>
      </c>
      <c r="BS28" s="3" t="s">
        <v>443</v>
      </c>
      <c r="BT28" s="3" t="s">
        <v>87</v>
      </c>
      <c r="BU28" s="3" t="s">
        <v>98</v>
      </c>
      <c r="BV28" s="3" t="s">
        <v>84</v>
      </c>
      <c r="BW28" s="3" t="s">
        <v>83</v>
      </c>
      <c r="BX28" s="3" t="s">
        <v>82</v>
      </c>
      <c r="BY28" s="3" t="s">
        <v>444</v>
      </c>
      <c r="BZ28" s="3" t="s">
        <v>93</v>
      </c>
      <c r="CB28" s="3" t="s">
        <v>84</v>
      </c>
    </row>
    <row r="29" spans="1:87" x14ac:dyDescent="0.15">
      <c r="A29" s="3">
        <v>2625869697</v>
      </c>
      <c r="B29" s="3" t="s">
        <v>253</v>
      </c>
      <c r="C29" s="3" t="s">
        <v>253</v>
      </c>
      <c r="D29" s="3">
        <v>4</v>
      </c>
      <c r="E29" s="3">
        <v>7</v>
      </c>
      <c r="F29" s="3">
        <v>239.83199999999999</v>
      </c>
      <c r="G29" s="3">
        <v>4</v>
      </c>
      <c r="H29" s="3">
        <v>93.768000000000001</v>
      </c>
      <c r="I29" s="3" t="s">
        <v>81</v>
      </c>
      <c r="J29" s="3">
        <v>56.177</v>
      </c>
      <c r="K29" s="3" t="s">
        <v>81</v>
      </c>
      <c r="L29" s="3">
        <v>48.442</v>
      </c>
      <c r="M29" s="3">
        <v>20.209</v>
      </c>
      <c r="N29" s="3">
        <v>29.27</v>
      </c>
      <c r="O29" s="3">
        <v>5.1980000000000004</v>
      </c>
      <c r="P29" s="3">
        <v>12.38</v>
      </c>
      <c r="Q29" s="3" t="s">
        <v>81</v>
      </c>
      <c r="R29" s="3">
        <v>4</v>
      </c>
      <c r="S29" s="3">
        <v>113.67</v>
      </c>
      <c r="T29" s="3" t="s">
        <v>81</v>
      </c>
      <c r="U29" s="3">
        <v>60.250999999999998</v>
      </c>
      <c r="V29" s="3" t="s">
        <v>81</v>
      </c>
      <c r="W29" s="3">
        <v>64.459000000000003</v>
      </c>
      <c r="X29" s="3" t="s">
        <v>81</v>
      </c>
      <c r="Y29" s="3">
        <v>64.614999999999995</v>
      </c>
      <c r="Z29" s="3">
        <v>21.687000000000001</v>
      </c>
      <c r="AA29" s="3" t="s">
        <v>81</v>
      </c>
      <c r="AB29" s="3">
        <v>246.43899999999999</v>
      </c>
      <c r="AC29" s="3">
        <v>5</v>
      </c>
      <c r="AD29" s="3">
        <v>92.415999999999997</v>
      </c>
      <c r="AE29" s="3" t="s">
        <v>81</v>
      </c>
      <c r="AF29" s="3">
        <v>55.116999999999997</v>
      </c>
      <c r="AG29" s="3" t="s">
        <v>81</v>
      </c>
      <c r="AH29" s="3">
        <v>55.067</v>
      </c>
      <c r="AI29" s="3">
        <v>25.434999999999999</v>
      </c>
      <c r="AJ29" s="3" t="s">
        <v>81</v>
      </c>
      <c r="AK29" s="3" t="s">
        <v>81</v>
      </c>
      <c r="AL29" s="3" t="s">
        <v>81</v>
      </c>
      <c r="AM29" s="3">
        <v>280.49599999999998</v>
      </c>
      <c r="AN29" s="3">
        <v>5</v>
      </c>
      <c r="AO29" s="3">
        <v>105.682</v>
      </c>
      <c r="AP29" s="3" t="s">
        <v>81</v>
      </c>
      <c r="AQ29" s="3">
        <v>66.254999999999995</v>
      </c>
      <c r="AR29" s="3" t="s">
        <v>81</v>
      </c>
      <c r="AS29" s="3">
        <v>43.442999999999998</v>
      </c>
      <c r="AT29" s="3" t="s">
        <v>81</v>
      </c>
      <c r="AU29" s="3">
        <v>42.009</v>
      </c>
      <c r="AV29" s="3">
        <v>23.274999999999999</v>
      </c>
      <c r="AW29" s="3">
        <v>11.851000000000001</v>
      </c>
      <c r="AX29" s="3">
        <v>287.66199999999998</v>
      </c>
      <c r="AY29" s="3">
        <v>5</v>
      </c>
      <c r="AZ29" s="3">
        <v>92.394000000000005</v>
      </c>
      <c r="BA29" s="3" t="s">
        <v>81</v>
      </c>
      <c r="BB29" s="3">
        <v>72.725999999999999</v>
      </c>
      <c r="BC29" s="3" t="s">
        <v>81</v>
      </c>
      <c r="BD29" s="3">
        <v>59.003999999999998</v>
      </c>
      <c r="BE29" s="3" t="s">
        <v>81</v>
      </c>
      <c r="BF29" s="3">
        <v>44.277000000000001</v>
      </c>
      <c r="BG29" s="3" t="s">
        <v>81</v>
      </c>
      <c r="BH29" s="3">
        <v>9.8490000000000002</v>
      </c>
      <c r="BI29" s="3" t="s">
        <v>84</v>
      </c>
      <c r="BJ29" s="3" t="s">
        <v>82</v>
      </c>
      <c r="BK29" s="3" t="s">
        <v>83</v>
      </c>
      <c r="BL29" s="3" t="s">
        <v>84</v>
      </c>
      <c r="BM29" s="3" t="s">
        <v>84</v>
      </c>
      <c r="BN29" s="3" t="s">
        <v>82</v>
      </c>
      <c r="BO29" s="3" t="s">
        <v>84</v>
      </c>
      <c r="BP29" s="3" t="s">
        <v>254</v>
      </c>
      <c r="BQ29" s="3" t="s">
        <v>254</v>
      </c>
      <c r="BR29" s="3" t="s">
        <v>255</v>
      </c>
      <c r="BS29" s="3" t="s">
        <v>256</v>
      </c>
      <c r="BT29" s="3" t="s">
        <v>106</v>
      </c>
      <c r="BU29" s="3" t="s">
        <v>129</v>
      </c>
      <c r="BV29" s="3" t="s">
        <v>84</v>
      </c>
      <c r="BW29" s="3"/>
      <c r="BX29" s="3" t="s">
        <v>82</v>
      </c>
      <c r="BY29" s="3" t="s">
        <v>257</v>
      </c>
      <c r="BZ29" s="3" t="s">
        <v>86</v>
      </c>
      <c r="CB29" s="3" t="s">
        <v>84</v>
      </c>
    </row>
    <row r="30" spans="1:87" x14ac:dyDescent="0.15">
      <c r="A30" s="3">
        <v>2235816960</v>
      </c>
      <c r="B30" s="3" t="s">
        <v>253</v>
      </c>
      <c r="C30" s="3" t="s">
        <v>253</v>
      </c>
      <c r="D30" s="3">
        <v>3</v>
      </c>
      <c r="E30" s="3">
        <v>5</v>
      </c>
      <c r="F30" s="3">
        <v>103.867</v>
      </c>
      <c r="G30" s="3">
        <v>3</v>
      </c>
      <c r="H30" s="3">
        <v>45.281999999999996</v>
      </c>
      <c r="I30" s="3" t="s">
        <v>81</v>
      </c>
      <c r="J30" s="3">
        <v>40.218000000000004</v>
      </c>
      <c r="K30" s="3">
        <v>13.971</v>
      </c>
      <c r="L30" s="3">
        <v>14.487</v>
      </c>
      <c r="M30" s="3">
        <v>3.786</v>
      </c>
      <c r="N30" s="3">
        <v>1.9790000000000001</v>
      </c>
      <c r="O30" s="3" t="s">
        <v>81</v>
      </c>
      <c r="P30" s="3" t="s">
        <v>81</v>
      </c>
      <c r="Q30" s="3">
        <v>81.453999999999994</v>
      </c>
      <c r="R30" s="3">
        <v>3</v>
      </c>
      <c r="S30" s="3">
        <v>30.295999999999999</v>
      </c>
      <c r="T30" s="3">
        <v>15.522</v>
      </c>
      <c r="U30" s="3">
        <v>36.750999999999998</v>
      </c>
      <c r="V30" s="3">
        <v>12.558999999999999</v>
      </c>
      <c r="W30" s="3">
        <v>11.211</v>
      </c>
      <c r="X30" s="3">
        <v>3.7280000000000002</v>
      </c>
      <c r="Y30" s="3">
        <v>1.712</v>
      </c>
      <c r="Z30" s="3" t="s">
        <v>81</v>
      </c>
      <c r="AA30" s="3" t="s">
        <v>81</v>
      </c>
      <c r="AB30" s="3">
        <v>109.40900000000001</v>
      </c>
      <c r="AC30" s="3">
        <v>3</v>
      </c>
      <c r="AD30" s="3">
        <v>49.325000000000003</v>
      </c>
      <c r="AE30" s="3">
        <v>19.530999999999999</v>
      </c>
      <c r="AF30" s="3">
        <v>41.064999999999998</v>
      </c>
      <c r="AG30" s="3">
        <v>15.587999999999999</v>
      </c>
      <c r="AH30" s="3">
        <v>16.126999999999999</v>
      </c>
      <c r="AI30" s="3">
        <v>3.536</v>
      </c>
      <c r="AJ30" s="3">
        <v>1.764</v>
      </c>
      <c r="AK30" s="3" t="s">
        <v>81</v>
      </c>
      <c r="AL30" s="3" t="s">
        <v>81</v>
      </c>
      <c r="AM30" s="3">
        <v>100.30500000000001</v>
      </c>
      <c r="AN30" s="3">
        <v>3</v>
      </c>
      <c r="AO30" s="3">
        <v>41.341999999999999</v>
      </c>
      <c r="AP30" s="3">
        <v>17.664999999999999</v>
      </c>
      <c r="AQ30" s="3">
        <v>38.802</v>
      </c>
      <c r="AR30" s="3">
        <v>16.667000000000002</v>
      </c>
      <c r="AS30" s="3">
        <v>17.167999999999999</v>
      </c>
      <c r="AT30" s="3">
        <v>4.1159999999999997</v>
      </c>
      <c r="AU30" s="3">
        <v>2.6059999999999999</v>
      </c>
      <c r="AV30" s="3" t="s">
        <v>81</v>
      </c>
      <c r="AW30" s="3" t="s">
        <v>81</v>
      </c>
      <c r="AX30" s="3">
        <v>94.644000000000005</v>
      </c>
      <c r="AY30" s="3">
        <v>3</v>
      </c>
      <c r="AZ30" s="3">
        <v>42.518999999999998</v>
      </c>
      <c r="BA30" s="3">
        <v>19.222999999999999</v>
      </c>
      <c r="BB30" s="3">
        <v>37.375</v>
      </c>
      <c r="BC30" s="3">
        <v>11.957000000000001</v>
      </c>
      <c r="BD30" s="3">
        <v>11.021000000000001</v>
      </c>
      <c r="BE30" s="3">
        <v>3.0819999999999999</v>
      </c>
      <c r="BF30" s="3">
        <v>1.639</v>
      </c>
      <c r="BG30" s="3" t="s">
        <v>81</v>
      </c>
      <c r="BH30" s="3" t="s">
        <v>81</v>
      </c>
      <c r="BI30" s="3" t="s">
        <v>84</v>
      </c>
      <c r="BJ30" s="3" t="s">
        <v>82</v>
      </c>
      <c r="BK30" s="3" t="s">
        <v>83</v>
      </c>
      <c r="BL30" s="3" t="s">
        <v>84</v>
      </c>
      <c r="BM30" s="3" t="s">
        <v>84</v>
      </c>
      <c r="BN30" s="3" t="s">
        <v>82</v>
      </c>
      <c r="BO30" s="3" t="s">
        <v>84</v>
      </c>
      <c r="BP30" s="3" t="s">
        <v>81</v>
      </c>
      <c r="BQ30" s="3" t="s">
        <v>81</v>
      </c>
      <c r="BR30" s="3" t="s">
        <v>81</v>
      </c>
      <c r="BS30" s="3" t="s">
        <v>81</v>
      </c>
      <c r="BT30" s="3" t="s">
        <v>81</v>
      </c>
      <c r="BU30" s="3" t="s">
        <v>81</v>
      </c>
      <c r="BV30" s="3" t="s">
        <v>84</v>
      </c>
      <c r="BW30" s="3" t="s">
        <v>83</v>
      </c>
      <c r="BX30" s="3" t="s">
        <v>82</v>
      </c>
      <c r="BZ30" s="3" t="s">
        <v>86</v>
      </c>
      <c r="CB30" s="3" t="s">
        <v>84</v>
      </c>
    </row>
    <row r="31" spans="1:87" x14ac:dyDescent="0.15">
      <c r="A31" s="3">
        <v>2643373368</v>
      </c>
      <c r="B31" s="3" t="s">
        <v>253</v>
      </c>
      <c r="C31" s="3" t="s">
        <v>253</v>
      </c>
      <c r="D31" s="3">
        <v>4</v>
      </c>
      <c r="E31" s="3">
        <v>6</v>
      </c>
      <c r="F31" s="3">
        <v>141.24799999999999</v>
      </c>
      <c r="G31" s="3">
        <v>2</v>
      </c>
      <c r="H31" s="3">
        <v>84.213999999999999</v>
      </c>
      <c r="I31" s="3">
        <v>31.712</v>
      </c>
      <c r="J31" s="3">
        <v>51.113</v>
      </c>
      <c r="K31" s="3">
        <v>9.8650000000000002</v>
      </c>
      <c r="L31" s="3">
        <v>4.2430000000000003</v>
      </c>
      <c r="M31" s="3" t="s">
        <v>81</v>
      </c>
      <c r="N31" s="3" t="s">
        <v>81</v>
      </c>
      <c r="O31" s="3" t="s">
        <v>81</v>
      </c>
      <c r="P31" s="3" t="s">
        <v>81</v>
      </c>
      <c r="Q31" s="3">
        <v>130.27500000000001</v>
      </c>
      <c r="R31" s="3">
        <v>2</v>
      </c>
      <c r="S31" s="3">
        <v>77.489999999999995</v>
      </c>
      <c r="T31" s="3">
        <v>32.793999999999997</v>
      </c>
      <c r="U31" s="3">
        <v>45.890999999999998</v>
      </c>
      <c r="V31" s="3">
        <v>10.682</v>
      </c>
      <c r="W31" s="3">
        <v>4.3410000000000002</v>
      </c>
      <c r="X31" s="3" t="s">
        <v>81</v>
      </c>
      <c r="Y31" s="3" t="s">
        <v>81</v>
      </c>
      <c r="Z31" s="3" t="s">
        <v>81</v>
      </c>
      <c r="AA31" s="3" t="s">
        <v>81</v>
      </c>
      <c r="AB31" s="3">
        <v>148.50399999999999</v>
      </c>
      <c r="AC31" s="3">
        <v>3</v>
      </c>
      <c r="AD31" s="3">
        <v>87.468000000000004</v>
      </c>
      <c r="AE31" s="3">
        <v>33.844999999999999</v>
      </c>
      <c r="AF31" s="3">
        <v>56.137999999999998</v>
      </c>
      <c r="AG31" s="3">
        <v>10.653</v>
      </c>
      <c r="AH31" s="3">
        <v>3.4390000000000001</v>
      </c>
      <c r="AI31" s="3">
        <v>2.762</v>
      </c>
      <c r="AJ31" s="3">
        <v>0.43</v>
      </c>
      <c r="AK31" s="3" t="s">
        <v>81</v>
      </c>
      <c r="AL31" s="3" t="s">
        <v>81</v>
      </c>
      <c r="AM31" s="3">
        <v>158.26599999999999</v>
      </c>
      <c r="AN31" s="3">
        <v>3</v>
      </c>
      <c r="AO31" s="3">
        <v>94.694999999999993</v>
      </c>
      <c r="AP31" s="3">
        <v>28.093</v>
      </c>
      <c r="AQ31" s="3">
        <v>57.155999999999999</v>
      </c>
      <c r="AR31" s="3">
        <v>11.474</v>
      </c>
      <c r="AS31" s="3">
        <v>2.1110000000000002</v>
      </c>
      <c r="AT31" s="3">
        <v>1.917</v>
      </c>
      <c r="AU31" s="3">
        <v>0.626</v>
      </c>
      <c r="AV31" s="3" t="s">
        <v>81</v>
      </c>
      <c r="AW31" s="3" t="s">
        <v>81</v>
      </c>
      <c r="AX31" s="3" t="s">
        <v>81</v>
      </c>
      <c r="AY31" s="3" t="s">
        <v>81</v>
      </c>
      <c r="AZ31" s="3" t="s">
        <v>81</v>
      </c>
      <c r="BA31" s="3" t="s">
        <v>81</v>
      </c>
      <c r="BB31" s="3" t="s">
        <v>81</v>
      </c>
      <c r="BC31" s="3" t="s">
        <v>81</v>
      </c>
      <c r="BD31" s="3" t="s">
        <v>81</v>
      </c>
      <c r="BE31" s="3" t="s">
        <v>81</v>
      </c>
      <c r="BF31" s="3" t="s">
        <v>81</v>
      </c>
      <c r="BG31" s="3" t="s">
        <v>81</v>
      </c>
      <c r="BH31" s="3" t="s">
        <v>81</v>
      </c>
      <c r="BI31" s="3" t="s">
        <v>84</v>
      </c>
      <c r="BJ31" s="3" t="s">
        <v>82</v>
      </c>
      <c r="BK31" s="3" t="s">
        <v>83</v>
      </c>
      <c r="BL31" s="3" t="s">
        <v>84</v>
      </c>
      <c r="BM31" s="3" t="s">
        <v>84</v>
      </c>
      <c r="BN31" s="3" t="s">
        <v>82</v>
      </c>
      <c r="BO31" s="3" t="s">
        <v>84</v>
      </c>
      <c r="BP31" s="3" t="s">
        <v>81</v>
      </c>
      <c r="BQ31" s="3" t="s">
        <v>81</v>
      </c>
      <c r="BR31" s="3" t="s">
        <v>81</v>
      </c>
      <c r="BS31" s="3" t="s">
        <v>81</v>
      </c>
      <c r="BT31" s="3" t="s">
        <v>81</v>
      </c>
      <c r="BU31" s="3" t="s">
        <v>81</v>
      </c>
      <c r="BV31" s="3" t="s">
        <v>82</v>
      </c>
      <c r="BW31" s="3" t="s">
        <v>91</v>
      </c>
      <c r="BX31" s="3" t="s">
        <v>82</v>
      </c>
      <c r="BY31" s="3" t="s">
        <v>258</v>
      </c>
      <c r="BZ31" s="3" t="s">
        <v>86</v>
      </c>
      <c r="CB31" s="3" t="s">
        <v>84</v>
      </c>
    </row>
    <row r="32" spans="1:87" x14ac:dyDescent="0.15">
      <c r="A32" s="3">
        <v>2625857492</v>
      </c>
      <c r="B32" s="3" t="s">
        <v>253</v>
      </c>
      <c r="C32" s="3" t="s">
        <v>253</v>
      </c>
      <c r="D32" s="3">
        <v>6</v>
      </c>
      <c r="E32" s="3">
        <v>24</v>
      </c>
      <c r="F32" s="3">
        <v>196.851</v>
      </c>
      <c r="G32" s="3">
        <v>2</v>
      </c>
      <c r="H32" s="3">
        <v>94.673000000000002</v>
      </c>
      <c r="I32" s="3">
        <v>33.982999999999997</v>
      </c>
      <c r="J32" s="3">
        <v>59.279000000000003</v>
      </c>
      <c r="K32" s="3">
        <v>23.361999999999998</v>
      </c>
      <c r="L32" s="3">
        <v>20.209</v>
      </c>
      <c r="M32" s="3">
        <v>18.084</v>
      </c>
      <c r="N32" s="3" t="s">
        <v>81</v>
      </c>
      <c r="O32" s="3" t="s">
        <v>81</v>
      </c>
      <c r="P32" s="3" t="s">
        <v>81</v>
      </c>
      <c r="Q32" s="3">
        <v>195.12200000000001</v>
      </c>
      <c r="R32" s="3">
        <v>2</v>
      </c>
      <c r="S32" s="3">
        <v>91.876000000000005</v>
      </c>
      <c r="T32" s="3">
        <v>30.86</v>
      </c>
      <c r="U32" s="3">
        <v>53.676000000000002</v>
      </c>
      <c r="V32" s="3">
        <v>13.616</v>
      </c>
      <c r="W32" s="3">
        <v>24.545000000000002</v>
      </c>
      <c r="X32" s="3">
        <v>21.599</v>
      </c>
      <c r="Y32" s="3" t="s">
        <v>81</v>
      </c>
      <c r="Z32" s="3" t="s">
        <v>81</v>
      </c>
      <c r="AA32" s="3" t="s">
        <v>81</v>
      </c>
      <c r="AB32" s="3">
        <v>196.62100000000001</v>
      </c>
      <c r="AC32" s="3">
        <v>2</v>
      </c>
      <c r="AD32" s="3">
        <v>98.721999999999994</v>
      </c>
      <c r="AE32" s="3">
        <v>33.591999999999999</v>
      </c>
      <c r="AF32" s="3">
        <v>59.564999999999998</v>
      </c>
      <c r="AG32" s="3">
        <v>24.145</v>
      </c>
      <c r="AH32" s="3">
        <v>17.035</v>
      </c>
      <c r="AI32" s="3">
        <v>19.649000000000001</v>
      </c>
      <c r="AJ32" s="3" t="s">
        <v>81</v>
      </c>
      <c r="AK32" s="3" t="s">
        <v>81</v>
      </c>
      <c r="AL32" s="3" t="s">
        <v>81</v>
      </c>
      <c r="AM32" s="3">
        <v>222.99299999999999</v>
      </c>
      <c r="AN32" s="3">
        <v>2</v>
      </c>
      <c r="AO32" s="3">
        <v>117.913</v>
      </c>
      <c r="AP32" s="3">
        <v>33.466999999999999</v>
      </c>
      <c r="AQ32" s="3">
        <v>52.655000000000001</v>
      </c>
      <c r="AR32" s="3">
        <v>30.103000000000002</v>
      </c>
      <c r="AS32" s="3">
        <v>50.183</v>
      </c>
      <c r="AT32" s="3" t="s">
        <v>81</v>
      </c>
      <c r="AU32" s="3" t="s">
        <v>81</v>
      </c>
      <c r="AV32" s="3" t="s">
        <v>81</v>
      </c>
      <c r="AW32" s="3" t="s">
        <v>81</v>
      </c>
      <c r="AX32" s="3">
        <v>190.55600000000001</v>
      </c>
      <c r="AY32" s="3">
        <v>2</v>
      </c>
      <c r="AZ32" s="3">
        <v>97.736000000000004</v>
      </c>
      <c r="BA32" s="3">
        <v>31.754999999999999</v>
      </c>
      <c r="BB32" s="3">
        <v>51.249000000000002</v>
      </c>
      <c r="BC32" s="3" t="s">
        <v>81</v>
      </c>
      <c r="BD32" s="3">
        <v>38.225000000000001</v>
      </c>
      <c r="BE32" s="3" t="s">
        <v>81</v>
      </c>
      <c r="BF32" s="3" t="s">
        <v>81</v>
      </c>
      <c r="BG32" s="3" t="s">
        <v>81</v>
      </c>
      <c r="BH32" s="3" t="s">
        <v>81</v>
      </c>
      <c r="BI32" s="3" t="s">
        <v>84</v>
      </c>
      <c r="BJ32" s="3" t="s">
        <v>84</v>
      </c>
      <c r="BK32" s="3" t="s">
        <v>84</v>
      </c>
      <c r="BL32" s="3" t="s">
        <v>82</v>
      </c>
      <c r="BM32" s="3" t="s">
        <v>83</v>
      </c>
      <c r="BN32" s="3" t="s">
        <v>82</v>
      </c>
      <c r="BO32" s="3" t="s">
        <v>83</v>
      </c>
      <c r="BP32" s="3" t="s">
        <v>259</v>
      </c>
      <c r="BQ32" s="3" t="s">
        <v>259</v>
      </c>
      <c r="BR32" s="3" t="s">
        <v>259</v>
      </c>
      <c r="BS32" s="3" t="s">
        <v>259</v>
      </c>
      <c r="BT32" s="3" t="s">
        <v>85</v>
      </c>
      <c r="BU32" s="3" t="s">
        <v>98</v>
      </c>
      <c r="BV32" s="3" t="s">
        <v>83</v>
      </c>
      <c r="BW32" s="3" t="s">
        <v>83</v>
      </c>
      <c r="BX32" s="3" t="s">
        <v>83</v>
      </c>
      <c r="BY32" s="3" t="s">
        <v>260</v>
      </c>
      <c r="BZ32" s="3" t="s">
        <v>86</v>
      </c>
      <c r="CB32" s="3" t="s">
        <v>84</v>
      </c>
    </row>
    <row r="33" spans="1:87" x14ac:dyDescent="0.15">
      <c r="A33" s="3">
        <v>2235988488</v>
      </c>
      <c r="B33" s="3" t="s">
        <v>253</v>
      </c>
      <c r="C33" s="3" t="s">
        <v>253</v>
      </c>
      <c r="D33" s="3">
        <v>6</v>
      </c>
      <c r="E33" s="3">
        <v>8</v>
      </c>
      <c r="F33" s="3">
        <v>100.76900000000001</v>
      </c>
      <c r="G33" s="3">
        <v>3</v>
      </c>
      <c r="H33" s="3">
        <v>26.795000000000002</v>
      </c>
      <c r="I33" s="3">
        <v>43.497</v>
      </c>
      <c r="J33" s="3">
        <v>42.465000000000003</v>
      </c>
      <c r="K33" s="3">
        <v>31.321999999999999</v>
      </c>
      <c r="L33" s="3">
        <v>21.187000000000001</v>
      </c>
      <c r="M33" s="3">
        <v>20.157</v>
      </c>
      <c r="N33" s="3">
        <v>11.41</v>
      </c>
      <c r="O33" s="3" t="s">
        <v>81</v>
      </c>
      <c r="P33" s="3" t="s">
        <v>81</v>
      </c>
      <c r="Q33" s="3">
        <v>120.357</v>
      </c>
      <c r="R33" s="3">
        <v>3</v>
      </c>
      <c r="S33" s="3">
        <v>30.379000000000001</v>
      </c>
      <c r="T33" s="3">
        <v>40.357999999999997</v>
      </c>
      <c r="U33" s="3">
        <v>55.415999999999997</v>
      </c>
      <c r="V33" s="3" t="s">
        <v>81</v>
      </c>
      <c r="W33" s="3">
        <v>17.015999999999998</v>
      </c>
      <c r="X33" s="3">
        <v>21.195</v>
      </c>
      <c r="Y33" s="3">
        <v>14.428000000000001</v>
      </c>
      <c r="Z33" s="3" t="s">
        <v>81</v>
      </c>
      <c r="AA33" s="3" t="s">
        <v>81</v>
      </c>
      <c r="AB33" s="3">
        <v>100.678</v>
      </c>
      <c r="AC33" s="3">
        <v>3</v>
      </c>
      <c r="AD33" s="3">
        <v>27.052</v>
      </c>
      <c r="AE33" s="3">
        <v>41.207000000000001</v>
      </c>
      <c r="AF33" s="3">
        <v>46.969000000000001</v>
      </c>
      <c r="AG33" s="3">
        <v>26.257999999999999</v>
      </c>
      <c r="AH33" s="3">
        <v>18.163</v>
      </c>
      <c r="AI33" s="3">
        <v>11.18</v>
      </c>
      <c r="AJ33" s="3">
        <v>8.8409999999999993</v>
      </c>
      <c r="AK33" s="3" t="s">
        <v>81</v>
      </c>
      <c r="AL33" s="3" t="s">
        <v>81</v>
      </c>
      <c r="AM33" s="3" t="s">
        <v>81</v>
      </c>
      <c r="AN33" s="3" t="s">
        <v>81</v>
      </c>
      <c r="AO33" s="3" t="s">
        <v>81</v>
      </c>
      <c r="AP33" s="3" t="s">
        <v>81</v>
      </c>
      <c r="AQ33" s="3" t="s">
        <v>81</v>
      </c>
      <c r="AR33" s="3" t="s">
        <v>81</v>
      </c>
      <c r="AS33" s="3" t="s">
        <v>81</v>
      </c>
      <c r="AT33" s="3" t="s">
        <v>81</v>
      </c>
      <c r="AU33" s="3" t="s">
        <v>81</v>
      </c>
      <c r="AV33" s="3" t="s">
        <v>81</v>
      </c>
      <c r="AW33" s="3" t="s">
        <v>81</v>
      </c>
      <c r="AX33" s="3" t="s">
        <v>81</v>
      </c>
      <c r="AY33" s="3" t="s">
        <v>81</v>
      </c>
      <c r="AZ33" s="3" t="s">
        <v>81</v>
      </c>
      <c r="BA33" s="3" t="s">
        <v>81</v>
      </c>
      <c r="BB33" s="3" t="s">
        <v>81</v>
      </c>
      <c r="BC33" s="3" t="s">
        <v>81</v>
      </c>
      <c r="BD33" s="3" t="s">
        <v>81</v>
      </c>
      <c r="BE33" s="3" t="s">
        <v>81</v>
      </c>
      <c r="BF33" s="3" t="s">
        <v>81</v>
      </c>
      <c r="BG33" s="3" t="s">
        <v>81</v>
      </c>
      <c r="BH33" s="3" t="s">
        <v>81</v>
      </c>
      <c r="BI33" s="3" t="s">
        <v>84</v>
      </c>
      <c r="BJ33" s="3" t="s">
        <v>84</v>
      </c>
      <c r="BK33" s="3" t="s">
        <v>84</v>
      </c>
      <c r="BL33" s="3" t="s">
        <v>84</v>
      </c>
      <c r="BM33" s="3" t="s">
        <v>84</v>
      </c>
      <c r="BN33" s="3" t="s">
        <v>82</v>
      </c>
      <c r="BO33" s="3" t="s">
        <v>84</v>
      </c>
      <c r="BP33" s="3" t="s">
        <v>106</v>
      </c>
      <c r="BQ33" s="3" t="s">
        <v>106</v>
      </c>
      <c r="BR33" s="3" t="s">
        <v>135</v>
      </c>
      <c r="BS33" s="3" t="s">
        <v>153</v>
      </c>
      <c r="BT33" s="3" t="s">
        <v>106</v>
      </c>
      <c r="BU33" s="3" t="s">
        <v>98</v>
      </c>
      <c r="BV33" s="3" t="s">
        <v>84</v>
      </c>
      <c r="BW33" s="3" t="s">
        <v>83</v>
      </c>
      <c r="BX33" s="3" t="s">
        <v>82</v>
      </c>
      <c r="BY33" s="3" t="s">
        <v>261</v>
      </c>
      <c r="BZ33" s="3" t="s">
        <v>86</v>
      </c>
      <c r="CB33" s="3" t="s">
        <v>84</v>
      </c>
    </row>
    <row r="34" spans="1:87" x14ac:dyDescent="0.15">
      <c r="A34" s="3">
        <v>1847941932</v>
      </c>
      <c r="B34" s="3" t="s">
        <v>445</v>
      </c>
      <c r="C34" s="3" t="s">
        <v>445</v>
      </c>
      <c r="D34" s="3">
        <v>15</v>
      </c>
      <c r="E34" s="3">
        <v>20</v>
      </c>
      <c r="F34" s="3">
        <v>86.957999999999998</v>
      </c>
      <c r="G34" s="3">
        <v>0</v>
      </c>
      <c r="H34" s="3" t="s">
        <v>81</v>
      </c>
      <c r="I34" s="3" t="s">
        <v>81</v>
      </c>
      <c r="J34" s="3" t="s">
        <v>81</v>
      </c>
      <c r="K34" s="3" t="s">
        <v>81</v>
      </c>
      <c r="L34" s="3" t="s">
        <v>81</v>
      </c>
      <c r="M34" s="3" t="s">
        <v>81</v>
      </c>
      <c r="N34" s="3" t="s">
        <v>81</v>
      </c>
      <c r="O34" s="3" t="s">
        <v>81</v>
      </c>
      <c r="P34" s="3" t="s">
        <v>81</v>
      </c>
      <c r="Q34" s="3">
        <v>84.688000000000002</v>
      </c>
      <c r="R34" s="3">
        <v>0</v>
      </c>
      <c r="S34" s="3" t="s">
        <v>81</v>
      </c>
      <c r="T34" s="3" t="s">
        <v>81</v>
      </c>
      <c r="U34" s="3" t="s">
        <v>81</v>
      </c>
      <c r="V34" s="3" t="s">
        <v>81</v>
      </c>
      <c r="W34" s="3" t="s">
        <v>81</v>
      </c>
      <c r="X34" s="3" t="s">
        <v>81</v>
      </c>
      <c r="Y34" s="3" t="s">
        <v>81</v>
      </c>
      <c r="Z34" s="3" t="s">
        <v>81</v>
      </c>
      <c r="AA34" s="3" t="s">
        <v>81</v>
      </c>
      <c r="AB34" s="3">
        <v>83.212999999999994</v>
      </c>
      <c r="AC34" s="3">
        <v>0</v>
      </c>
      <c r="AD34" s="3" t="s">
        <v>81</v>
      </c>
      <c r="AE34" s="3" t="s">
        <v>81</v>
      </c>
      <c r="AF34" s="3" t="s">
        <v>81</v>
      </c>
      <c r="AG34" s="3" t="s">
        <v>81</v>
      </c>
      <c r="AH34" s="3" t="s">
        <v>81</v>
      </c>
      <c r="AI34" s="3" t="s">
        <v>81</v>
      </c>
      <c r="AJ34" s="3" t="s">
        <v>81</v>
      </c>
      <c r="AK34" s="3" t="s">
        <v>81</v>
      </c>
      <c r="AL34" s="3" t="s">
        <v>81</v>
      </c>
      <c r="AM34" s="3">
        <v>68.332999999999998</v>
      </c>
      <c r="AN34" s="3">
        <v>0</v>
      </c>
      <c r="AO34" s="3" t="s">
        <v>81</v>
      </c>
      <c r="AP34" s="3" t="s">
        <v>81</v>
      </c>
      <c r="AQ34" s="3" t="s">
        <v>81</v>
      </c>
      <c r="AR34" s="3" t="s">
        <v>81</v>
      </c>
      <c r="AS34" s="3" t="s">
        <v>81</v>
      </c>
      <c r="AT34" s="3" t="s">
        <v>81</v>
      </c>
      <c r="AU34" s="3" t="s">
        <v>81</v>
      </c>
      <c r="AV34" s="3" t="s">
        <v>81</v>
      </c>
      <c r="AW34" s="3" t="s">
        <v>81</v>
      </c>
      <c r="AX34" s="3">
        <v>81.903000000000006</v>
      </c>
      <c r="AY34" s="3">
        <v>0</v>
      </c>
      <c r="AZ34" s="3" t="s">
        <v>81</v>
      </c>
      <c r="BA34" s="3" t="s">
        <v>81</v>
      </c>
      <c r="BB34" s="3" t="s">
        <v>81</v>
      </c>
      <c r="BC34" s="3" t="s">
        <v>81</v>
      </c>
      <c r="BD34" s="3" t="s">
        <v>81</v>
      </c>
      <c r="BE34" s="3" t="s">
        <v>81</v>
      </c>
      <c r="BF34" s="3" t="s">
        <v>81</v>
      </c>
      <c r="BG34" s="3" t="s">
        <v>81</v>
      </c>
      <c r="BH34" s="3" t="s">
        <v>81</v>
      </c>
      <c r="BI34" s="3" t="s">
        <v>82</v>
      </c>
      <c r="BJ34" s="3" t="s">
        <v>82</v>
      </c>
      <c r="BK34" s="3" t="s">
        <v>83</v>
      </c>
      <c r="BL34" s="3" t="s">
        <v>84</v>
      </c>
      <c r="BM34" s="3" t="s">
        <v>84</v>
      </c>
      <c r="BN34" s="3" t="s">
        <v>84</v>
      </c>
      <c r="BO34" s="3" t="s">
        <v>82</v>
      </c>
      <c r="BP34" s="3" t="s">
        <v>87</v>
      </c>
      <c r="BQ34" s="3" t="s">
        <v>87</v>
      </c>
      <c r="BR34" s="3" t="s">
        <v>87</v>
      </c>
      <c r="BS34" s="3" t="s">
        <v>87</v>
      </c>
      <c r="BT34" s="3" t="s">
        <v>87</v>
      </c>
      <c r="BU34" s="3" t="s">
        <v>81</v>
      </c>
      <c r="BV34" s="3" t="s">
        <v>82</v>
      </c>
      <c r="BW34" s="3" t="s">
        <v>91</v>
      </c>
      <c r="BX34" s="3" t="s">
        <v>82</v>
      </c>
      <c r="BY34" s="3"/>
      <c r="BZ34" s="3" t="s">
        <v>93</v>
      </c>
      <c r="CA34" s="3" t="s">
        <v>103</v>
      </c>
      <c r="CB34" s="3" t="s">
        <v>84</v>
      </c>
      <c r="CC34" s="3"/>
      <c r="CD34" s="3"/>
      <c r="CE34" s="3"/>
      <c r="CF34" s="3"/>
      <c r="CG34" s="3"/>
      <c r="CH34" s="3"/>
      <c r="CI34" s="3"/>
    </row>
    <row r="35" spans="1:87" x14ac:dyDescent="0.15">
      <c r="A35" s="3">
        <v>1847924066</v>
      </c>
      <c r="B35" s="3" t="s">
        <v>475</v>
      </c>
      <c r="C35" s="3" t="s">
        <v>475</v>
      </c>
      <c r="D35" s="3">
        <v>4</v>
      </c>
      <c r="E35" s="3">
        <v>4</v>
      </c>
      <c r="F35" s="3">
        <v>30.576000000000001</v>
      </c>
      <c r="G35" s="3">
        <v>0</v>
      </c>
      <c r="H35" s="3" t="s">
        <v>81</v>
      </c>
      <c r="I35" s="3" t="s">
        <v>81</v>
      </c>
      <c r="J35" s="3" t="s">
        <v>81</v>
      </c>
      <c r="K35" s="3" t="s">
        <v>81</v>
      </c>
      <c r="L35" s="3" t="s">
        <v>81</v>
      </c>
      <c r="M35" s="3" t="s">
        <v>81</v>
      </c>
      <c r="N35" s="3" t="s">
        <v>81</v>
      </c>
      <c r="O35" s="3" t="s">
        <v>81</v>
      </c>
      <c r="P35" s="3" t="s">
        <v>81</v>
      </c>
      <c r="Q35" s="3">
        <v>30.163</v>
      </c>
      <c r="R35" s="3">
        <v>0</v>
      </c>
      <c r="S35" s="3" t="s">
        <v>81</v>
      </c>
      <c r="T35" s="3" t="s">
        <v>81</v>
      </c>
      <c r="U35" s="3" t="s">
        <v>81</v>
      </c>
      <c r="V35" s="3" t="s">
        <v>81</v>
      </c>
      <c r="W35" s="3" t="s">
        <v>81</v>
      </c>
      <c r="X35" s="3" t="s">
        <v>81</v>
      </c>
      <c r="Y35" s="3" t="s">
        <v>81</v>
      </c>
      <c r="Z35" s="3" t="s">
        <v>81</v>
      </c>
      <c r="AA35" s="3" t="s">
        <v>81</v>
      </c>
      <c r="AB35" s="3">
        <v>20.102</v>
      </c>
      <c r="AC35" s="3">
        <v>0</v>
      </c>
      <c r="AD35" s="3" t="s">
        <v>81</v>
      </c>
      <c r="AE35" s="3" t="s">
        <v>81</v>
      </c>
      <c r="AF35" s="3" t="s">
        <v>81</v>
      </c>
      <c r="AG35" s="3" t="s">
        <v>81</v>
      </c>
      <c r="AH35" s="3" t="s">
        <v>81</v>
      </c>
      <c r="AI35" s="3" t="s">
        <v>81</v>
      </c>
      <c r="AJ35" s="3" t="s">
        <v>81</v>
      </c>
      <c r="AK35" s="3" t="s">
        <v>81</v>
      </c>
      <c r="AL35" s="3" t="s">
        <v>81</v>
      </c>
      <c r="AM35" s="3" t="s">
        <v>81</v>
      </c>
      <c r="AN35" s="3" t="s">
        <v>81</v>
      </c>
      <c r="AO35" s="3" t="s">
        <v>81</v>
      </c>
      <c r="AP35" s="3" t="s">
        <v>81</v>
      </c>
      <c r="AQ35" s="3" t="s">
        <v>81</v>
      </c>
      <c r="AR35" s="3" t="s">
        <v>81</v>
      </c>
      <c r="AS35" s="3" t="s">
        <v>81</v>
      </c>
      <c r="AT35" s="3" t="s">
        <v>81</v>
      </c>
      <c r="AU35" s="3" t="s">
        <v>81</v>
      </c>
      <c r="AV35" s="3" t="s">
        <v>81</v>
      </c>
      <c r="AW35" s="3" t="s">
        <v>81</v>
      </c>
      <c r="AX35" s="3" t="s">
        <v>81</v>
      </c>
      <c r="AY35" s="3" t="s">
        <v>81</v>
      </c>
      <c r="AZ35" s="3" t="s">
        <v>81</v>
      </c>
      <c r="BA35" s="3" t="s">
        <v>81</v>
      </c>
      <c r="BB35" s="3" t="s">
        <v>81</v>
      </c>
      <c r="BC35" s="3" t="s">
        <v>81</v>
      </c>
      <c r="BD35" s="3" t="s">
        <v>81</v>
      </c>
      <c r="BE35" s="3" t="s">
        <v>81</v>
      </c>
      <c r="BF35" s="3" t="s">
        <v>81</v>
      </c>
      <c r="BG35" s="3" t="s">
        <v>81</v>
      </c>
      <c r="BH35" s="3" t="s">
        <v>81</v>
      </c>
      <c r="BI35" s="3" t="s">
        <v>82</v>
      </c>
      <c r="BJ35" s="3" t="s">
        <v>82</v>
      </c>
      <c r="BK35" s="3" t="s">
        <v>83</v>
      </c>
      <c r="BL35" s="3" t="s">
        <v>84</v>
      </c>
      <c r="BM35" s="3" t="s">
        <v>84</v>
      </c>
      <c r="BN35" s="3" t="s">
        <v>82</v>
      </c>
      <c r="BO35" s="3" t="s">
        <v>82</v>
      </c>
      <c r="BP35" s="3" t="s">
        <v>369</v>
      </c>
      <c r="BQ35" s="3" t="s">
        <v>369</v>
      </c>
      <c r="BR35" s="3" t="s">
        <v>476</v>
      </c>
      <c r="BS35" s="3" t="s">
        <v>476</v>
      </c>
      <c r="BT35" s="3" t="s">
        <v>85</v>
      </c>
      <c r="BU35" s="3" t="s">
        <v>98</v>
      </c>
      <c r="BV35" s="3" t="s">
        <v>82</v>
      </c>
      <c r="BW35" s="3" t="s">
        <v>111</v>
      </c>
      <c r="BX35" s="3" t="s">
        <v>84</v>
      </c>
      <c r="BY35" s="3"/>
      <c r="BZ35" s="3" t="s">
        <v>93</v>
      </c>
      <c r="CA35" s="3" t="s">
        <v>103</v>
      </c>
      <c r="CB35" s="3" t="s">
        <v>84</v>
      </c>
      <c r="CC35" s="3"/>
      <c r="CD35" s="3"/>
      <c r="CE35" s="3"/>
      <c r="CF35" s="3"/>
      <c r="CG35" s="3"/>
      <c r="CH35" s="3"/>
      <c r="CI35" s="3"/>
    </row>
    <row r="36" spans="1:87" x14ac:dyDescent="0.15">
      <c r="A36" s="3">
        <v>2236117833</v>
      </c>
      <c r="B36" s="3" t="s">
        <v>477</v>
      </c>
      <c r="C36" s="3" t="s">
        <v>477</v>
      </c>
      <c r="D36" s="3" t="s">
        <v>81</v>
      </c>
      <c r="E36" s="3">
        <v>23</v>
      </c>
      <c r="F36" s="3">
        <v>18.702999999999999</v>
      </c>
      <c r="G36" s="3">
        <v>0</v>
      </c>
      <c r="H36" s="3" t="s">
        <v>81</v>
      </c>
      <c r="I36" s="3" t="s">
        <v>81</v>
      </c>
      <c r="J36" s="3" t="s">
        <v>81</v>
      </c>
      <c r="K36" s="3" t="s">
        <v>81</v>
      </c>
      <c r="L36" s="3" t="s">
        <v>81</v>
      </c>
      <c r="M36" s="3" t="s">
        <v>81</v>
      </c>
      <c r="N36" s="3" t="s">
        <v>81</v>
      </c>
      <c r="O36" s="3" t="s">
        <v>81</v>
      </c>
      <c r="P36" s="3" t="s">
        <v>81</v>
      </c>
      <c r="Q36" s="3">
        <v>15.464</v>
      </c>
      <c r="R36" s="3">
        <v>0</v>
      </c>
      <c r="S36" s="3" t="s">
        <v>81</v>
      </c>
      <c r="T36" s="3" t="s">
        <v>81</v>
      </c>
      <c r="U36" s="3" t="s">
        <v>81</v>
      </c>
      <c r="V36" s="3" t="s">
        <v>81</v>
      </c>
      <c r="W36" s="3" t="s">
        <v>81</v>
      </c>
      <c r="X36" s="3" t="s">
        <v>81</v>
      </c>
      <c r="Y36" s="3" t="s">
        <v>81</v>
      </c>
      <c r="Z36" s="3" t="s">
        <v>81</v>
      </c>
      <c r="AA36" s="3" t="s">
        <v>81</v>
      </c>
      <c r="AB36" s="3">
        <v>18.318999999999999</v>
      </c>
      <c r="AC36" s="3">
        <v>0</v>
      </c>
      <c r="AD36" s="3" t="s">
        <v>81</v>
      </c>
      <c r="AE36" s="3" t="s">
        <v>81</v>
      </c>
      <c r="AF36" s="3" t="s">
        <v>81</v>
      </c>
      <c r="AG36" s="3" t="s">
        <v>81</v>
      </c>
      <c r="AH36" s="3" t="s">
        <v>81</v>
      </c>
      <c r="AI36" s="3" t="s">
        <v>81</v>
      </c>
      <c r="AJ36" s="3" t="s">
        <v>81</v>
      </c>
      <c r="AK36" s="3" t="s">
        <v>81</v>
      </c>
      <c r="AL36" s="3" t="s">
        <v>81</v>
      </c>
      <c r="AM36" s="3">
        <v>17.454999999999998</v>
      </c>
      <c r="AN36" s="3">
        <v>0</v>
      </c>
      <c r="AO36" s="3" t="s">
        <v>81</v>
      </c>
      <c r="AP36" s="3" t="s">
        <v>81</v>
      </c>
      <c r="AQ36" s="3" t="s">
        <v>81</v>
      </c>
      <c r="AR36" s="3" t="s">
        <v>81</v>
      </c>
      <c r="AS36" s="3" t="s">
        <v>81</v>
      </c>
      <c r="AT36" s="3" t="s">
        <v>81</v>
      </c>
      <c r="AU36" s="3" t="s">
        <v>81</v>
      </c>
      <c r="AV36" s="3" t="s">
        <v>81</v>
      </c>
      <c r="AW36" s="3" t="s">
        <v>81</v>
      </c>
      <c r="AX36" s="3">
        <v>16.329999999999998</v>
      </c>
      <c r="AY36" s="3">
        <v>0</v>
      </c>
      <c r="AZ36" s="3" t="s">
        <v>81</v>
      </c>
      <c r="BA36" s="3" t="s">
        <v>81</v>
      </c>
      <c r="BB36" s="3" t="s">
        <v>81</v>
      </c>
      <c r="BC36" s="3" t="s">
        <v>81</v>
      </c>
      <c r="BD36" s="3" t="s">
        <v>81</v>
      </c>
      <c r="BE36" s="3" t="s">
        <v>81</v>
      </c>
      <c r="BF36" s="3" t="s">
        <v>81</v>
      </c>
      <c r="BG36" s="3" t="s">
        <v>81</v>
      </c>
      <c r="BH36" s="3" t="s">
        <v>81</v>
      </c>
      <c r="BI36" s="3" t="s">
        <v>82</v>
      </c>
      <c r="BJ36" s="3" t="s">
        <v>84</v>
      </c>
      <c r="BK36" s="3" t="s">
        <v>84</v>
      </c>
      <c r="BL36" s="3" t="s">
        <v>84</v>
      </c>
      <c r="BM36" s="3" t="s">
        <v>84</v>
      </c>
      <c r="BN36" s="3"/>
      <c r="BO36" s="3" t="s">
        <v>82</v>
      </c>
      <c r="BP36" s="3" t="s">
        <v>478</v>
      </c>
      <c r="BQ36" s="3" t="s">
        <v>478</v>
      </c>
      <c r="BR36" s="3" t="s">
        <v>478</v>
      </c>
      <c r="BS36" s="3" t="s">
        <v>478</v>
      </c>
      <c r="BT36" s="3" t="s">
        <v>87</v>
      </c>
      <c r="BU36" s="3" t="s">
        <v>81</v>
      </c>
      <c r="BV36" s="3" t="s">
        <v>84</v>
      </c>
      <c r="BW36" s="3"/>
      <c r="BX36" s="3" t="s">
        <v>82</v>
      </c>
      <c r="BY36" s="8" t="s">
        <v>160</v>
      </c>
      <c r="BZ36" s="3" t="s">
        <v>86</v>
      </c>
      <c r="CB36" s="3" t="s">
        <v>84</v>
      </c>
    </row>
    <row r="37" spans="1:87" x14ac:dyDescent="0.15">
      <c r="A37" s="3">
        <v>1228374622</v>
      </c>
      <c r="B37" s="3" t="s">
        <v>477</v>
      </c>
      <c r="C37" s="3" t="s">
        <v>477</v>
      </c>
      <c r="D37" s="3">
        <v>17</v>
      </c>
      <c r="E37" s="3">
        <v>20</v>
      </c>
      <c r="F37" s="3">
        <v>28.972999999999999</v>
      </c>
      <c r="G37" s="3">
        <v>0</v>
      </c>
      <c r="H37" s="3" t="s">
        <v>81</v>
      </c>
      <c r="I37" s="3" t="s">
        <v>81</v>
      </c>
      <c r="J37" s="3" t="s">
        <v>81</v>
      </c>
      <c r="K37" s="3" t="s">
        <v>81</v>
      </c>
      <c r="L37" s="3" t="s">
        <v>81</v>
      </c>
      <c r="M37" s="3" t="s">
        <v>81</v>
      </c>
      <c r="N37" s="3" t="s">
        <v>81</v>
      </c>
      <c r="O37" s="3" t="s">
        <v>81</v>
      </c>
      <c r="P37" s="3" t="s">
        <v>81</v>
      </c>
      <c r="Q37" s="3">
        <v>27.507000000000001</v>
      </c>
      <c r="R37" s="3">
        <v>0</v>
      </c>
      <c r="S37" s="3" t="s">
        <v>81</v>
      </c>
      <c r="T37" s="3" t="s">
        <v>81</v>
      </c>
      <c r="U37" s="3" t="s">
        <v>81</v>
      </c>
      <c r="V37" s="3" t="s">
        <v>81</v>
      </c>
      <c r="W37" s="3" t="s">
        <v>81</v>
      </c>
      <c r="X37" s="3" t="s">
        <v>81</v>
      </c>
      <c r="Y37" s="3" t="s">
        <v>81</v>
      </c>
      <c r="Z37" s="3" t="s">
        <v>81</v>
      </c>
      <c r="AA37" s="3" t="s">
        <v>81</v>
      </c>
      <c r="AB37" s="3">
        <v>32.4</v>
      </c>
      <c r="AC37" s="3">
        <v>0</v>
      </c>
      <c r="AD37" s="3" t="s">
        <v>81</v>
      </c>
      <c r="AE37" s="3" t="s">
        <v>81</v>
      </c>
      <c r="AF37" s="3" t="s">
        <v>81</v>
      </c>
      <c r="AG37" s="3" t="s">
        <v>81</v>
      </c>
      <c r="AH37" s="3" t="s">
        <v>81</v>
      </c>
      <c r="AI37" s="3" t="s">
        <v>81</v>
      </c>
      <c r="AJ37" s="3" t="s">
        <v>81</v>
      </c>
      <c r="AK37" s="3" t="s">
        <v>81</v>
      </c>
      <c r="AL37" s="3" t="s">
        <v>81</v>
      </c>
      <c r="AM37" s="3">
        <v>32.284999999999997</v>
      </c>
      <c r="AN37" s="3">
        <v>0</v>
      </c>
      <c r="AO37" s="3" t="s">
        <v>81</v>
      </c>
      <c r="AP37" s="3" t="s">
        <v>81</v>
      </c>
      <c r="AQ37" s="3" t="s">
        <v>81</v>
      </c>
      <c r="AR37" s="3" t="s">
        <v>81</v>
      </c>
      <c r="AS37" s="3" t="s">
        <v>81</v>
      </c>
      <c r="AT37" s="3" t="s">
        <v>81</v>
      </c>
      <c r="AU37" s="3" t="s">
        <v>81</v>
      </c>
      <c r="AV37" s="3" t="s">
        <v>81</v>
      </c>
      <c r="AW37" s="3" t="s">
        <v>81</v>
      </c>
      <c r="AX37" s="3">
        <v>31.821999999999999</v>
      </c>
      <c r="AY37" s="3">
        <v>0</v>
      </c>
      <c r="AZ37" s="3" t="s">
        <v>81</v>
      </c>
      <c r="BA37" s="3" t="s">
        <v>81</v>
      </c>
      <c r="BB37" s="3" t="s">
        <v>81</v>
      </c>
      <c r="BC37" s="3" t="s">
        <v>81</v>
      </c>
      <c r="BD37" s="3" t="s">
        <v>81</v>
      </c>
      <c r="BE37" s="3" t="s">
        <v>81</v>
      </c>
      <c r="BF37" s="3" t="s">
        <v>81</v>
      </c>
      <c r="BG37" s="3" t="s">
        <v>81</v>
      </c>
      <c r="BH37" s="3" t="s">
        <v>81</v>
      </c>
      <c r="BI37" s="3" t="s">
        <v>82</v>
      </c>
      <c r="BJ37" s="3" t="s">
        <v>82</v>
      </c>
      <c r="BK37" s="3" t="s">
        <v>83</v>
      </c>
      <c r="BL37" s="3" t="s">
        <v>84</v>
      </c>
      <c r="BM37" s="3" t="s">
        <v>84</v>
      </c>
      <c r="BN37" s="3" t="s">
        <v>84</v>
      </c>
      <c r="BO37" s="3" t="s">
        <v>84</v>
      </c>
      <c r="BP37" s="3" t="s">
        <v>87</v>
      </c>
      <c r="BQ37" s="3" t="s">
        <v>87</v>
      </c>
      <c r="BR37" s="3" t="s">
        <v>87</v>
      </c>
      <c r="BS37" s="3" t="s">
        <v>87</v>
      </c>
      <c r="BT37" s="3" t="s">
        <v>87</v>
      </c>
      <c r="BU37" s="3" t="s">
        <v>81</v>
      </c>
      <c r="BV37" s="3" t="s">
        <v>82</v>
      </c>
      <c r="BW37" s="3" t="s">
        <v>111</v>
      </c>
      <c r="BX37" s="3" t="s">
        <v>82</v>
      </c>
      <c r="BY37" s="3" t="s">
        <v>468</v>
      </c>
      <c r="BZ37" s="3" t="s">
        <v>93</v>
      </c>
      <c r="CB37" s="3" t="s">
        <v>84</v>
      </c>
    </row>
    <row r="38" spans="1:87" x14ac:dyDescent="0.15">
      <c r="A38" s="3">
        <v>1228446902</v>
      </c>
      <c r="B38" s="3" t="s">
        <v>477</v>
      </c>
      <c r="C38" s="3" t="s">
        <v>477</v>
      </c>
      <c r="D38" s="3">
        <v>4</v>
      </c>
      <c r="E38" s="3">
        <v>4</v>
      </c>
      <c r="F38" s="3">
        <v>32.767000000000003</v>
      </c>
      <c r="G38" s="3">
        <v>0</v>
      </c>
      <c r="H38" s="3" t="s">
        <v>81</v>
      </c>
      <c r="I38" s="3" t="s">
        <v>81</v>
      </c>
      <c r="J38" s="3" t="s">
        <v>81</v>
      </c>
      <c r="K38" s="3" t="s">
        <v>81</v>
      </c>
      <c r="L38" s="3" t="s">
        <v>81</v>
      </c>
      <c r="M38" s="3" t="s">
        <v>81</v>
      </c>
      <c r="N38" s="3" t="s">
        <v>81</v>
      </c>
      <c r="O38" s="3" t="s">
        <v>81</v>
      </c>
      <c r="P38" s="3" t="s">
        <v>81</v>
      </c>
      <c r="Q38" s="3">
        <v>30.93</v>
      </c>
      <c r="R38" s="3">
        <v>0</v>
      </c>
      <c r="S38" s="3" t="s">
        <v>81</v>
      </c>
      <c r="T38" s="3" t="s">
        <v>81</v>
      </c>
      <c r="U38" s="3" t="s">
        <v>81</v>
      </c>
      <c r="V38" s="3" t="s">
        <v>81</v>
      </c>
      <c r="W38" s="3" t="s">
        <v>81</v>
      </c>
      <c r="X38" s="3" t="s">
        <v>81</v>
      </c>
      <c r="Y38" s="3" t="s">
        <v>81</v>
      </c>
      <c r="Z38" s="3" t="s">
        <v>81</v>
      </c>
      <c r="AA38" s="3" t="s">
        <v>81</v>
      </c>
      <c r="AB38" s="3">
        <v>28.108000000000001</v>
      </c>
      <c r="AC38" s="3">
        <v>0</v>
      </c>
      <c r="AD38" s="3" t="s">
        <v>81</v>
      </c>
      <c r="AE38" s="3" t="s">
        <v>81</v>
      </c>
      <c r="AF38" s="3" t="s">
        <v>81</v>
      </c>
      <c r="AG38" s="3" t="s">
        <v>81</v>
      </c>
      <c r="AH38" s="3" t="s">
        <v>81</v>
      </c>
      <c r="AI38" s="3" t="s">
        <v>81</v>
      </c>
      <c r="AJ38" s="3" t="s">
        <v>81</v>
      </c>
      <c r="AK38" s="3" t="s">
        <v>81</v>
      </c>
      <c r="AL38" s="3" t="s">
        <v>81</v>
      </c>
      <c r="AM38" s="3">
        <v>24.318999999999999</v>
      </c>
      <c r="AN38" s="3">
        <v>0</v>
      </c>
      <c r="AO38" s="3" t="s">
        <v>81</v>
      </c>
      <c r="AP38" s="3" t="s">
        <v>81</v>
      </c>
      <c r="AQ38" s="3" t="s">
        <v>81</v>
      </c>
      <c r="AR38" s="3" t="s">
        <v>81</v>
      </c>
      <c r="AS38" s="3" t="s">
        <v>81</v>
      </c>
      <c r="AT38" s="3" t="s">
        <v>81</v>
      </c>
      <c r="AU38" s="3" t="s">
        <v>81</v>
      </c>
      <c r="AV38" s="3" t="s">
        <v>81</v>
      </c>
      <c r="AW38" s="3" t="s">
        <v>81</v>
      </c>
      <c r="AX38" s="3" t="s">
        <v>81</v>
      </c>
      <c r="AY38" s="3" t="s">
        <v>81</v>
      </c>
      <c r="AZ38" s="3" t="s">
        <v>81</v>
      </c>
      <c r="BA38" s="3" t="s">
        <v>81</v>
      </c>
      <c r="BB38" s="3" t="s">
        <v>81</v>
      </c>
      <c r="BC38" s="3" t="s">
        <v>81</v>
      </c>
      <c r="BD38" s="3" t="s">
        <v>81</v>
      </c>
      <c r="BE38" s="3" t="s">
        <v>81</v>
      </c>
      <c r="BF38" s="3" t="s">
        <v>81</v>
      </c>
      <c r="BG38" s="3" t="s">
        <v>81</v>
      </c>
      <c r="BH38" s="3" t="s">
        <v>81</v>
      </c>
      <c r="BI38" s="3" t="s">
        <v>84</v>
      </c>
      <c r="BJ38" s="3" t="s">
        <v>84</v>
      </c>
      <c r="BK38" s="3" t="s">
        <v>84</v>
      </c>
      <c r="BL38" s="3" t="s">
        <v>82</v>
      </c>
      <c r="BM38" s="3" t="s">
        <v>83</v>
      </c>
      <c r="BN38" s="3" t="s">
        <v>84</v>
      </c>
      <c r="BO38" s="3" t="s">
        <v>83</v>
      </c>
      <c r="BP38" s="3" t="s">
        <v>81</v>
      </c>
      <c r="BQ38" s="3" t="s">
        <v>81</v>
      </c>
      <c r="BR38" s="3" t="s">
        <v>81</v>
      </c>
      <c r="BS38" s="3" t="s">
        <v>81</v>
      </c>
      <c r="BT38" s="3" t="s">
        <v>81</v>
      </c>
      <c r="BU38" s="3" t="s">
        <v>81</v>
      </c>
      <c r="BV38" s="3" t="s">
        <v>83</v>
      </c>
      <c r="BW38" s="3" t="s">
        <v>83</v>
      </c>
      <c r="BX38" s="3" t="s">
        <v>83</v>
      </c>
      <c r="BY38" s="3" t="s">
        <v>479</v>
      </c>
      <c r="BZ38" s="3" t="s">
        <v>93</v>
      </c>
      <c r="CB38" s="3" t="s">
        <v>84</v>
      </c>
    </row>
    <row r="39" spans="1:87" x14ac:dyDescent="0.15">
      <c r="A39" s="3">
        <v>1228545309</v>
      </c>
      <c r="B39" s="3" t="s">
        <v>477</v>
      </c>
      <c r="C39" s="3" t="s">
        <v>477</v>
      </c>
      <c r="D39" s="3">
        <v>11</v>
      </c>
      <c r="E39" s="3">
        <v>11</v>
      </c>
      <c r="F39" s="3">
        <v>22.164999999999999</v>
      </c>
      <c r="G39" s="3">
        <v>0</v>
      </c>
      <c r="H39" s="3" t="s">
        <v>81</v>
      </c>
      <c r="I39" s="3" t="s">
        <v>81</v>
      </c>
      <c r="J39" s="3" t="s">
        <v>81</v>
      </c>
      <c r="K39" s="3" t="s">
        <v>81</v>
      </c>
      <c r="L39" s="3" t="s">
        <v>81</v>
      </c>
      <c r="M39" s="3" t="s">
        <v>81</v>
      </c>
      <c r="N39" s="3" t="s">
        <v>81</v>
      </c>
      <c r="O39" s="3" t="s">
        <v>81</v>
      </c>
      <c r="P39" s="3" t="s">
        <v>81</v>
      </c>
      <c r="Q39" s="3">
        <v>20.974</v>
      </c>
      <c r="R39" s="3">
        <v>0</v>
      </c>
      <c r="S39" s="3" t="s">
        <v>81</v>
      </c>
      <c r="T39" s="3" t="s">
        <v>81</v>
      </c>
      <c r="U39" s="3" t="s">
        <v>81</v>
      </c>
      <c r="V39" s="3" t="s">
        <v>81</v>
      </c>
      <c r="W39" s="3" t="s">
        <v>81</v>
      </c>
      <c r="X39" s="3" t="s">
        <v>81</v>
      </c>
      <c r="Y39" s="3" t="s">
        <v>81</v>
      </c>
      <c r="Z39" s="3" t="s">
        <v>81</v>
      </c>
      <c r="AA39" s="3" t="s">
        <v>81</v>
      </c>
      <c r="AB39" s="3">
        <v>20.785</v>
      </c>
      <c r="AC39" s="3">
        <v>0</v>
      </c>
      <c r="AD39" s="3" t="s">
        <v>81</v>
      </c>
      <c r="AE39" s="3" t="s">
        <v>81</v>
      </c>
      <c r="AF39" s="3" t="s">
        <v>81</v>
      </c>
      <c r="AG39" s="3" t="s">
        <v>81</v>
      </c>
      <c r="AH39" s="3" t="s">
        <v>81</v>
      </c>
      <c r="AI39" s="3" t="s">
        <v>81</v>
      </c>
      <c r="AJ39" s="3" t="s">
        <v>81</v>
      </c>
      <c r="AK39" s="3" t="s">
        <v>81</v>
      </c>
      <c r="AL39" s="3" t="s">
        <v>81</v>
      </c>
      <c r="AM39" s="3">
        <v>21.585999999999999</v>
      </c>
      <c r="AN39" s="3">
        <v>0</v>
      </c>
      <c r="AO39" s="3" t="s">
        <v>81</v>
      </c>
      <c r="AP39" s="3" t="s">
        <v>81</v>
      </c>
      <c r="AQ39" s="3" t="s">
        <v>81</v>
      </c>
      <c r="AR39" s="3" t="s">
        <v>81</v>
      </c>
      <c r="AS39" s="3" t="s">
        <v>81</v>
      </c>
      <c r="AT39" s="3" t="s">
        <v>81</v>
      </c>
      <c r="AU39" s="3" t="s">
        <v>81</v>
      </c>
      <c r="AV39" s="3" t="s">
        <v>81</v>
      </c>
      <c r="AW39" s="3" t="s">
        <v>81</v>
      </c>
      <c r="AX39" s="3">
        <v>21.466999999999999</v>
      </c>
      <c r="AY39" s="3">
        <v>0</v>
      </c>
      <c r="AZ39" s="3" t="s">
        <v>81</v>
      </c>
      <c r="BA39" s="3" t="s">
        <v>81</v>
      </c>
      <c r="BB39" s="3" t="s">
        <v>81</v>
      </c>
      <c r="BC39" s="3" t="s">
        <v>81</v>
      </c>
      <c r="BD39" s="3" t="s">
        <v>81</v>
      </c>
      <c r="BE39" s="3" t="s">
        <v>81</v>
      </c>
      <c r="BF39" s="3" t="s">
        <v>81</v>
      </c>
      <c r="BG39" s="3" t="s">
        <v>81</v>
      </c>
      <c r="BH39" s="3" t="s">
        <v>81</v>
      </c>
      <c r="BI39" s="3" t="s">
        <v>84</v>
      </c>
      <c r="BJ39" s="3" t="s">
        <v>82</v>
      </c>
      <c r="BK39" s="3" t="s">
        <v>83</v>
      </c>
      <c r="BL39" s="3" t="s">
        <v>84</v>
      </c>
      <c r="BM39" s="3" t="s">
        <v>84</v>
      </c>
      <c r="BN39" s="3" t="s">
        <v>84</v>
      </c>
      <c r="BO39" s="3" t="s">
        <v>82</v>
      </c>
      <c r="BP39" s="3" t="s">
        <v>87</v>
      </c>
      <c r="BQ39" s="3" t="s">
        <v>87</v>
      </c>
      <c r="BR39" s="3" t="s">
        <v>87</v>
      </c>
      <c r="BS39" s="3" t="s">
        <v>87</v>
      </c>
      <c r="BT39" s="3" t="s">
        <v>87</v>
      </c>
      <c r="BU39" s="3" t="s">
        <v>81</v>
      </c>
      <c r="BV39" s="3" t="s">
        <v>84</v>
      </c>
      <c r="BW39" s="3" t="s">
        <v>83</v>
      </c>
      <c r="BX39" s="3" t="s">
        <v>82</v>
      </c>
      <c r="BZ39" s="3" t="s">
        <v>93</v>
      </c>
      <c r="CB39" s="3" t="s">
        <v>84</v>
      </c>
    </row>
    <row r="40" spans="1:87" x14ac:dyDescent="0.15">
      <c r="A40" s="3">
        <v>1228605909</v>
      </c>
      <c r="B40" s="3" t="s">
        <v>477</v>
      </c>
      <c r="C40" s="3" t="s">
        <v>477</v>
      </c>
      <c r="D40" s="3">
        <v>16</v>
      </c>
      <c r="E40" s="3">
        <v>21</v>
      </c>
      <c r="F40" s="3">
        <v>30.568000000000001</v>
      </c>
      <c r="G40" s="3">
        <v>0</v>
      </c>
      <c r="H40" s="3" t="s">
        <v>81</v>
      </c>
      <c r="I40" s="3" t="s">
        <v>81</v>
      </c>
      <c r="J40" s="3" t="s">
        <v>81</v>
      </c>
      <c r="K40" s="3" t="s">
        <v>81</v>
      </c>
      <c r="L40" s="3" t="s">
        <v>81</v>
      </c>
      <c r="M40" s="3" t="s">
        <v>81</v>
      </c>
      <c r="N40" s="3" t="s">
        <v>81</v>
      </c>
      <c r="O40" s="3" t="s">
        <v>81</v>
      </c>
      <c r="P40" s="3" t="s">
        <v>81</v>
      </c>
      <c r="Q40" s="3">
        <v>32.445</v>
      </c>
      <c r="R40" s="3">
        <v>0</v>
      </c>
      <c r="S40" s="3" t="s">
        <v>81</v>
      </c>
      <c r="T40" s="3" t="s">
        <v>81</v>
      </c>
      <c r="U40" s="3" t="s">
        <v>81</v>
      </c>
      <c r="V40" s="3" t="s">
        <v>81</v>
      </c>
      <c r="W40" s="3" t="s">
        <v>81</v>
      </c>
      <c r="X40" s="3" t="s">
        <v>81</v>
      </c>
      <c r="Y40" s="3" t="s">
        <v>81</v>
      </c>
      <c r="Z40" s="3" t="s">
        <v>81</v>
      </c>
      <c r="AA40" s="3" t="s">
        <v>81</v>
      </c>
      <c r="AB40" s="3">
        <v>36.012</v>
      </c>
      <c r="AC40" s="3">
        <v>0</v>
      </c>
      <c r="AD40" s="3" t="s">
        <v>81</v>
      </c>
      <c r="AE40" s="3" t="s">
        <v>81</v>
      </c>
      <c r="AF40" s="3" t="s">
        <v>81</v>
      </c>
      <c r="AG40" s="3" t="s">
        <v>81</v>
      </c>
      <c r="AH40" s="3" t="s">
        <v>81</v>
      </c>
      <c r="AI40" s="3" t="s">
        <v>81</v>
      </c>
      <c r="AJ40" s="3" t="s">
        <v>81</v>
      </c>
      <c r="AK40" s="3" t="s">
        <v>81</v>
      </c>
      <c r="AL40" s="3" t="s">
        <v>81</v>
      </c>
      <c r="AM40" s="3">
        <v>31.303000000000001</v>
      </c>
      <c r="AN40" s="3">
        <v>0</v>
      </c>
      <c r="AO40" s="3" t="s">
        <v>81</v>
      </c>
      <c r="AP40" s="3" t="s">
        <v>81</v>
      </c>
      <c r="AQ40" s="3" t="s">
        <v>81</v>
      </c>
      <c r="AR40" s="3" t="s">
        <v>81</v>
      </c>
      <c r="AS40" s="3" t="s">
        <v>81</v>
      </c>
      <c r="AT40" s="3" t="s">
        <v>81</v>
      </c>
      <c r="AU40" s="3" t="s">
        <v>81</v>
      </c>
      <c r="AV40" s="3" t="s">
        <v>81</v>
      </c>
      <c r="AW40" s="3" t="s">
        <v>81</v>
      </c>
      <c r="AX40" s="3">
        <v>31.69</v>
      </c>
      <c r="AY40" s="3">
        <v>0</v>
      </c>
      <c r="AZ40" s="3" t="s">
        <v>81</v>
      </c>
      <c r="BA40" s="3" t="s">
        <v>81</v>
      </c>
      <c r="BB40" s="3" t="s">
        <v>81</v>
      </c>
      <c r="BC40" s="3" t="s">
        <v>81</v>
      </c>
      <c r="BD40" s="3" t="s">
        <v>81</v>
      </c>
      <c r="BE40" s="3" t="s">
        <v>81</v>
      </c>
      <c r="BF40" s="3" t="s">
        <v>81</v>
      </c>
      <c r="BG40" s="3" t="s">
        <v>81</v>
      </c>
      <c r="BH40" s="3" t="s">
        <v>81</v>
      </c>
      <c r="BI40" s="3" t="s">
        <v>84</v>
      </c>
      <c r="BJ40" s="3" t="s">
        <v>82</v>
      </c>
      <c r="BK40" s="3" t="s">
        <v>83</v>
      </c>
      <c r="BL40" s="3" t="s">
        <v>84</v>
      </c>
      <c r="BM40" s="3" t="s">
        <v>84</v>
      </c>
      <c r="BN40" s="3" t="s">
        <v>84</v>
      </c>
      <c r="BO40" s="3" t="s">
        <v>84</v>
      </c>
      <c r="BP40" s="3" t="s">
        <v>85</v>
      </c>
      <c r="BQ40" s="3" t="s">
        <v>85</v>
      </c>
      <c r="BR40" s="3" t="s">
        <v>85</v>
      </c>
      <c r="BS40" s="3" t="s">
        <v>480</v>
      </c>
      <c r="BT40" s="3" t="s">
        <v>85</v>
      </c>
      <c r="BU40" s="3" t="s">
        <v>81</v>
      </c>
      <c r="BV40" s="3" t="s">
        <v>84</v>
      </c>
      <c r="BW40" s="3" t="s">
        <v>83</v>
      </c>
      <c r="BX40" s="3" t="s">
        <v>82</v>
      </c>
      <c r="BZ40" s="3" t="s">
        <v>93</v>
      </c>
      <c r="CB40" s="3" t="s">
        <v>84</v>
      </c>
    </row>
    <row r="41" spans="1:87" x14ac:dyDescent="0.15">
      <c r="A41" s="3">
        <v>2625856303</v>
      </c>
      <c r="B41" s="3" t="s">
        <v>337</v>
      </c>
      <c r="C41" s="3" t="s">
        <v>337</v>
      </c>
      <c r="D41" s="3" t="s">
        <v>81</v>
      </c>
      <c r="E41" s="3">
        <v>13</v>
      </c>
      <c r="F41" s="3">
        <v>22.72</v>
      </c>
      <c r="G41" s="3">
        <v>0</v>
      </c>
      <c r="H41" s="3" t="s">
        <v>81</v>
      </c>
      <c r="I41" s="3" t="s">
        <v>81</v>
      </c>
      <c r="J41" s="3" t="s">
        <v>81</v>
      </c>
      <c r="K41" s="3" t="s">
        <v>81</v>
      </c>
      <c r="L41" s="3" t="s">
        <v>81</v>
      </c>
      <c r="M41" s="3" t="s">
        <v>81</v>
      </c>
      <c r="N41" s="3" t="s">
        <v>81</v>
      </c>
      <c r="O41" s="3" t="s">
        <v>81</v>
      </c>
      <c r="P41" s="3" t="s">
        <v>81</v>
      </c>
      <c r="Q41" s="3">
        <v>20.719000000000001</v>
      </c>
      <c r="R41" s="3">
        <v>0</v>
      </c>
      <c r="S41" s="3" t="s">
        <v>81</v>
      </c>
      <c r="T41" s="3" t="s">
        <v>81</v>
      </c>
      <c r="U41" s="3" t="s">
        <v>81</v>
      </c>
      <c r="V41" s="3" t="s">
        <v>81</v>
      </c>
      <c r="W41" s="3" t="s">
        <v>81</v>
      </c>
      <c r="X41" s="3" t="s">
        <v>81</v>
      </c>
      <c r="Y41" s="3" t="s">
        <v>81</v>
      </c>
      <c r="Z41" s="3" t="s">
        <v>81</v>
      </c>
      <c r="AA41" s="3" t="s">
        <v>81</v>
      </c>
      <c r="AB41" s="3">
        <v>23.064</v>
      </c>
      <c r="AC41" s="3">
        <v>0</v>
      </c>
      <c r="AD41" s="3" t="s">
        <v>81</v>
      </c>
      <c r="AE41" s="3" t="s">
        <v>81</v>
      </c>
      <c r="AF41" s="3" t="s">
        <v>81</v>
      </c>
      <c r="AG41" s="3" t="s">
        <v>81</v>
      </c>
      <c r="AH41" s="3" t="s">
        <v>81</v>
      </c>
      <c r="AI41" s="3" t="s">
        <v>81</v>
      </c>
      <c r="AJ41" s="3" t="s">
        <v>81</v>
      </c>
      <c r="AK41" s="3" t="s">
        <v>81</v>
      </c>
      <c r="AL41" s="3" t="s">
        <v>81</v>
      </c>
      <c r="AM41" s="3">
        <v>19.843</v>
      </c>
      <c r="AN41" s="3">
        <v>0</v>
      </c>
      <c r="AO41" s="3" t="s">
        <v>81</v>
      </c>
      <c r="AP41" s="3" t="s">
        <v>81</v>
      </c>
      <c r="AQ41" s="3" t="s">
        <v>81</v>
      </c>
      <c r="AR41" s="3" t="s">
        <v>81</v>
      </c>
      <c r="AS41" s="3" t="s">
        <v>81</v>
      </c>
      <c r="AT41" s="3" t="s">
        <v>81</v>
      </c>
      <c r="AU41" s="3" t="s">
        <v>81</v>
      </c>
      <c r="AV41" s="3" t="s">
        <v>81</v>
      </c>
      <c r="AW41" s="3" t="s">
        <v>81</v>
      </c>
      <c r="AX41" s="3">
        <v>21.93</v>
      </c>
      <c r="AY41" s="3">
        <v>0</v>
      </c>
      <c r="AZ41" s="3" t="s">
        <v>81</v>
      </c>
      <c r="BA41" s="3" t="s">
        <v>81</v>
      </c>
      <c r="BB41" s="3" t="s">
        <v>81</v>
      </c>
      <c r="BC41" s="3" t="s">
        <v>81</v>
      </c>
      <c r="BD41" s="3" t="s">
        <v>81</v>
      </c>
      <c r="BE41" s="3" t="s">
        <v>81</v>
      </c>
      <c r="BF41" s="3" t="s">
        <v>81</v>
      </c>
      <c r="BG41" s="3" t="s">
        <v>81</v>
      </c>
      <c r="BH41" s="3" t="s">
        <v>81</v>
      </c>
      <c r="BI41" s="3" t="s">
        <v>82</v>
      </c>
      <c r="BJ41" s="3" t="s">
        <v>84</v>
      </c>
      <c r="BK41" s="3" t="s">
        <v>82</v>
      </c>
      <c r="BL41" s="3" t="s">
        <v>84</v>
      </c>
      <c r="BM41" s="3" t="s">
        <v>84</v>
      </c>
      <c r="BN41" s="3" t="s">
        <v>84</v>
      </c>
      <c r="BO41" s="3" t="s">
        <v>84</v>
      </c>
      <c r="BP41" s="3" t="s">
        <v>129</v>
      </c>
      <c r="BQ41" s="3" t="s">
        <v>129</v>
      </c>
      <c r="BR41" s="3" t="s">
        <v>129</v>
      </c>
      <c r="BS41" s="3" t="s">
        <v>129</v>
      </c>
      <c r="BT41" s="3" t="s">
        <v>129</v>
      </c>
      <c r="BU41" s="3" t="s">
        <v>81</v>
      </c>
      <c r="BV41" s="3" t="s">
        <v>83</v>
      </c>
      <c r="BW41" s="3" t="s">
        <v>83</v>
      </c>
      <c r="BX41" s="3" t="s">
        <v>82</v>
      </c>
      <c r="BY41" s="3" t="s">
        <v>338</v>
      </c>
      <c r="BZ41" s="3" t="s">
        <v>86</v>
      </c>
      <c r="CA41" s="3"/>
      <c r="CB41" s="3" t="s">
        <v>84</v>
      </c>
      <c r="CC41" s="3"/>
      <c r="CD41" s="3"/>
      <c r="CE41" s="3"/>
      <c r="CF41" s="3"/>
      <c r="CG41" s="3"/>
      <c r="CH41" s="3"/>
      <c r="CI41" s="3"/>
    </row>
    <row r="42" spans="1:87" x14ac:dyDescent="0.15">
      <c r="A42" s="3">
        <v>2625876458</v>
      </c>
      <c r="B42" s="3" t="s">
        <v>337</v>
      </c>
      <c r="C42" s="3" t="s">
        <v>337</v>
      </c>
      <c r="D42" s="3" t="s">
        <v>81</v>
      </c>
      <c r="E42" s="3">
        <v>11</v>
      </c>
      <c r="F42" s="3">
        <v>35.497</v>
      </c>
      <c r="G42" s="3">
        <v>0</v>
      </c>
      <c r="H42" s="3" t="s">
        <v>81</v>
      </c>
      <c r="I42" s="3" t="s">
        <v>81</v>
      </c>
      <c r="J42" s="3" t="s">
        <v>81</v>
      </c>
      <c r="K42" s="3" t="s">
        <v>81</v>
      </c>
      <c r="L42" s="3" t="s">
        <v>81</v>
      </c>
      <c r="M42" s="3" t="s">
        <v>81</v>
      </c>
      <c r="N42" s="3" t="s">
        <v>81</v>
      </c>
      <c r="O42" s="3" t="s">
        <v>81</v>
      </c>
      <c r="P42" s="3" t="s">
        <v>81</v>
      </c>
      <c r="Q42" s="3">
        <v>34.930999999999997</v>
      </c>
      <c r="R42" s="3">
        <v>0</v>
      </c>
      <c r="S42" s="3" t="s">
        <v>81</v>
      </c>
      <c r="T42" s="3" t="s">
        <v>81</v>
      </c>
      <c r="U42" s="3" t="s">
        <v>81</v>
      </c>
      <c r="V42" s="3" t="s">
        <v>81</v>
      </c>
      <c r="W42" s="3" t="s">
        <v>81</v>
      </c>
      <c r="X42" s="3" t="s">
        <v>81</v>
      </c>
      <c r="Y42" s="3" t="s">
        <v>81</v>
      </c>
      <c r="Z42" s="3" t="s">
        <v>81</v>
      </c>
      <c r="AA42" s="3" t="s">
        <v>81</v>
      </c>
      <c r="AB42" s="3">
        <v>32.743000000000002</v>
      </c>
      <c r="AC42" s="3">
        <v>0</v>
      </c>
      <c r="AD42" s="3" t="s">
        <v>81</v>
      </c>
      <c r="AE42" s="3" t="s">
        <v>81</v>
      </c>
      <c r="AF42" s="3" t="s">
        <v>81</v>
      </c>
      <c r="AG42" s="3" t="s">
        <v>81</v>
      </c>
      <c r="AH42" s="3" t="s">
        <v>81</v>
      </c>
      <c r="AI42" s="3" t="s">
        <v>81</v>
      </c>
      <c r="AJ42" s="3" t="s">
        <v>81</v>
      </c>
      <c r="AK42" s="3" t="s">
        <v>81</v>
      </c>
      <c r="AL42" s="3" t="s">
        <v>81</v>
      </c>
      <c r="AM42" s="3">
        <v>35.414000000000001</v>
      </c>
      <c r="AN42" s="3">
        <v>0</v>
      </c>
      <c r="AO42" s="3" t="s">
        <v>81</v>
      </c>
      <c r="AP42" s="3" t="s">
        <v>81</v>
      </c>
      <c r="AQ42" s="3" t="s">
        <v>81</v>
      </c>
      <c r="AR42" s="3" t="s">
        <v>81</v>
      </c>
      <c r="AS42" s="3" t="s">
        <v>81</v>
      </c>
      <c r="AT42" s="3" t="s">
        <v>81</v>
      </c>
      <c r="AU42" s="3" t="s">
        <v>81</v>
      </c>
      <c r="AV42" s="3" t="s">
        <v>81</v>
      </c>
      <c r="AW42" s="3" t="s">
        <v>81</v>
      </c>
      <c r="AX42" s="3">
        <v>38.945</v>
      </c>
      <c r="AY42" s="3">
        <v>0</v>
      </c>
      <c r="AZ42" s="3" t="s">
        <v>81</v>
      </c>
      <c r="BA42" s="3" t="s">
        <v>81</v>
      </c>
      <c r="BB42" s="3" t="s">
        <v>81</v>
      </c>
      <c r="BC42" s="3" t="s">
        <v>81</v>
      </c>
      <c r="BD42" s="3" t="s">
        <v>81</v>
      </c>
      <c r="BE42" s="3" t="s">
        <v>81</v>
      </c>
      <c r="BF42" s="3" t="s">
        <v>81</v>
      </c>
      <c r="BG42" s="3" t="s">
        <v>81</v>
      </c>
      <c r="BH42" s="3" t="s">
        <v>81</v>
      </c>
      <c r="BI42" s="3" t="s">
        <v>82</v>
      </c>
      <c r="BJ42" s="3" t="s">
        <v>84</v>
      </c>
      <c r="BK42" s="3" t="s">
        <v>84</v>
      </c>
      <c r="BL42" s="3" t="s">
        <v>84</v>
      </c>
      <c r="BM42" s="3" t="s">
        <v>84</v>
      </c>
      <c r="BN42" s="3" t="s">
        <v>84</v>
      </c>
      <c r="BO42" s="3" t="s">
        <v>83</v>
      </c>
      <c r="BP42" s="3" t="s">
        <v>135</v>
      </c>
      <c r="BQ42" s="3" t="s">
        <v>135</v>
      </c>
      <c r="BR42" s="3" t="s">
        <v>135</v>
      </c>
      <c r="BS42" s="3" t="s">
        <v>135</v>
      </c>
      <c r="BT42" s="3" t="s">
        <v>98</v>
      </c>
      <c r="BU42" s="3" t="s">
        <v>129</v>
      </c>
      <c r="BV42" s="3" t="s">
        <v>83</v>
      </c>
      <c r="BW42" s="3" t="s">
        <v>83</v>
      </c>
      <c r="BX42" s="3" t="s">
        <v>82</v>
      </c>
      <c r="BY42" s="3" t="s">
        <v>338</v>
      </c>
      <c r="BZ42" s="3" t="s">
        <v>86</v>
      </c>
      <c r="CB42" s="3" t="s">
        <v>84</v>
      </c>
    </row>
    <row r="43" spans="1:87" x14ac:dyDescent="0.15">
      <c r="A43" s="3">
        <v>2643357962</v>
      </c>
      <c r="B43" s="3" t="s">
        <v>337</v>
      </c>
      <c r="C43" s="3" t="s">
        <v>337</v>
      </c>
      <c r="D43" s="3" t="s">
        <v>81</v>
      </c>
      <c r="E43" s="3" t="s">
        <v>81</v>
      </c>
      <c r="F43" s="3">
        <v>22.38</v>
      </c>
      <c r="G43" s="3">
        <v>0</v>
      </c>
      <c r="H43" s="3" t="s">
        <v>81</v>
      </c>
      <c r="I43" s="3" t="s">
        <v>81</v>
      </c>
      <c r="J43" s="3" t="s">
        <v>81</v>
      </c>
      <c r="K43" s="3" t="s">
        <v>81</v>
      </c>
      <c r="L43" s="3" t="s">
        <v>81</v>
      </c>
      <c r="M43" s="3" t="s">
        <v>81</v>
      </c>
      <c r="N43" s="3" t="s">
        <v>81</v>
      </c>
      <c r="O43" s="3" t="s">
        <v>81</v>
      </c>
      <c r="P43" s="3" t="s">
        <v>81</v>
      </c>
      <c r="Q43" s="3">
        <v>20.373000000000001</v>
      </c>
      <c r="R43" s="3">
        <v>0</v>
      </c>
      <c r="S43" s="3" t="s">
        <v>81</v>
      </c>
      <c r="T43" s="3" t="s">
        <v>81</v>
      </c>
      <c r="U43" s="3" t="s">
        <v>81</v>
      </c>
      <c r="V43" s="3" t="s">
        <v>81</v>
      </c>
      <c r="W43" s="3" t="s">
        <v>81</v>
      </c>
      <c r="X43" s="3" t="s">
        <v>81</v>
      </c>
      <c r="Y43" s="3" t="s">
        <v>81</v>
      </c>
      <c r="Z43" s="3" t="s">
        <v>81</v>
      </c>
      <c r="AA43" s="3" t="s">
        <v>81</v>
      </c>
      <c r="AB43" s="3">
        <v>23.899000000000001</v>
      </c>
      <c r="AC43" s="3">
        <v>0</v>
      </c>
      <c r="AD43" s="3" t="s">
        <v>81</v>
      </c>
      <c r="AE43" s="3" t="s">
        <v>81</v>
      </c>
      <c r="AF43" s="3" t="s">
        <v>81</v>
      </c>
      <c r="AG43" s="3" t="s">
        <v>81</v>
      </c>
      <c r="AH43" s="3" t="s">
        <v>81</v>
      </c>
      <c r="AI43" s="3" t="s">
        <v>81</v>
      </c>
      <c r="AJ43" s="3" t="s">
        <v>81</v>
      </c>
      <c r="AK43" s="3" t="s">
        <v>81</v>
      </c>
      <c r="AL43" s="3" t="s">
        <v>81</v>
      </c>
      <c r="AM43" s="3">
        <v>23.545000000000002</v>
      </c>
      <c r="AN43" s="3">
        <v>0</v>
      </c>
      <c r="AO43" s="3" t="s">
        <v>81</v>
      </c>
      <c r="AP43" s="3" t="s">
        <v>81</v>
      </c>
      <c r="AQ43" s="3" t="s">
        <v>81</v>
      </c>
      <c r="AR43" s="3" t="s">
        <v>81</v>
      </c>
      <c r="AS43" s="3" t="s">
        <v>81</v>
      </c>
      <c r="AT43" s="3" t="s">
        <v>81</v>
      </c>
      <c r="AU43" s="3" t="s">
        <v>81</v>
      </c>
      <c r="AV43" s="3" t="s">
        <v>81</v>
      </c>
      <c r="AW43" s="3" t="s">
        <v>81</v>
      </c>
      <c r="AX43" s="3" t="s">
        <v>81</v>
      </c>
      <c r="AY43" s="3" t="s">
        <v>81</v>
      </c>
      <c r="AZ43" s="3" t="s">
        <v>81</v>
      </c>
      <c r="BA43" s="3" t="s">
        <v>81</v>
      </c>
      <c r="BB43" s="3" t="s">
        <v>81</v>
      </c>
      <c r="BC43" s="3" t="s">
        <v>81</v>
      </c>
      <c r="BD43" s="3" t="s">
        <v>81</v>
      </c>
      <c r="BE43" s="3" t="s">
        <v>81</v>
      </c>
      <c r="BF43" s="3" t="s">
        <v>81</v>
      </c>
      <c r="BG43" s="3" t="s">
        <v>81</v>
      </c>
      <c r="BH43" s="3" t="s">
        <v>81</v>
      </c>
      <c r="BI43" s="3" t="s">
        <v>82</v>
      </c>
      <c r="BJ43" s="3" t="s">
        <v>82</v>
      </c>
      <c r="BK43" s="3" t="s">
        <v>83</v>
      </c>
      <c r="BL43" s="3" t="s">
        <v>84</v>
      </c>
      <c r="BM43" s="3" t="s">
        <v>84</v>
      </c>
      <c r="BN43" s="3" t="s">
        <v>84</v>
      </c>
      <c r="BO43" s="3" t="s">
        <v>82</v>
      </c>
      <c r="BP43" s="3" t="s">
        <v>339</v>
      </c>
      <c r="BQ43" s="3" t="s">
        <v>339</v>
      </c>
      <c r="BR43" s="3" t="s">
        <v>339</v>
      </c>
      <c r="BS43" s="3" t="s">
        <v>339</v>
      </c>
      <c r="BT43" s="3" t="s">
        <v>98</v>
      </c>
      <c r="BU43" s="3" t="s">
        <v>106</v>
      </c>
      <c r="BV43" s="3" t="s">
        <v>82</v>
      </c>
      <c r="BW43" s="3" t="s">
        <v>111</v>
      </c>
      <c r="BX43" s="3" t="s">
        <v>82</v>
      </c>
      <c r="BY43" s="3" t="s">
        <v>340</v>
      </c>
      <c r="BZ43" s="3" t="s">
        <v>86</v>
      </c>
      <c r="CB43" s="3" t="s">
        <v>84</v>
      </c>
    </row>
    <row r="44" spans="1:87" ht="15.75" customHeight="1" x14ac:dyDescent="0.15">
      <c r="A44" s="3">
        <v>1322745819</v>
      </c>
      <c r="B44" s="3" t="s">
        <v>119</v>
      </c>
      <c r="C44" s="3" t="s">
        <v>119</v>
      </c>
      <c r="D44" s="3" t="s">
        <v>81</v>
      </c>
      <c r="E44" s="3">
        <v>4</v>
      </c>
      <c r="F44" s="3">
        <v>31.943999999999999</v>
      </c>
      <c r="G44" s="3">
        <v>1</v>
      </c>
      <c r="H44" s="3">
        <v>7.69</v>
      </c>
      <c r="I44" s="3">
        <v>22.986000000000001</v>
      </c>
      <c r="J44" s="3">
        <v>23.966999999999999</v>
      </c>
      <c r="K44" s="3" t="s">
        <v>81</v>
      </c>
      <c r="L44" s="3" t="s">
        <v>81</v>
      </c>
      <c r="M44" s="3" t="s">
        <v>81</v>
      </c>
      <c r="N44" s="3" t="s">
        <v>81</v>
      </c>
      <c r="O44" s="3" t="s">
        <v>81</v>
      </c>
      <c r="P44" s="3" t="s">
        <v>81</v>
      </c>
      <c r="Q44" s="3">
        <v>34.668999999999997</v>
      </c>
      <c r="R44" s="3">
        <v>1</v>
      </c>
      <c r="S44" s="3">
        <v>4.3390000000000004</v>
      </c>
      <c r="T44" s="3">
        <v>28.806999999999999</v>
      </c>
      <c r="U44" s="3">
        <v>29.423999999999999</v>
      </c>
      <c r="V44" s="3" t="s">
        <v>81</v>
      </c>
      <c r="W44" s="3" t="s">
        <v>81</v>
      </c>
      <c r="X44" s="3" t="s">
        <v>81</v>
      </c>
      <c r="Y44" s="3" t="s">
        <v>81</v>
      </c>
      <c r="Z44" s="3" t="s">
        <v>81</v>
      </c>
      <c r="AA44" s="3" t="s">
        <v>81</v>
      </c>
      <c r="AB44" s="3" t="s">
        <v>81</v>
      </c>
      <c r="AC44" s="3" t="s">
        <v>81</v>
      </c>
      <c r="AD44" s="3" t="s">
        <v>81</v>
      </c>
      <c r="AE44" s="3" t="s">
        <v>81</v>
      </c>
      <c r="AF44" s="3" t="s">
        <v>81</v>
      </c>
      <c r="AG44" s="3" t="s">
        <v>81</v>
      </c>
      <c r="AH44" s="3" t="s">
        <v>81</v>
      </c>
      <c r="AI44" s="3" t="s">
        <v>81</v>
      </c>
      <c r="AJ44" s="3" t="s">
        <v>81</v>
      </c>
      <c r="AK44" s="3" t="s">
        <v>81</v>
      </c>
      <c r="AL44" s="3" t="s">
        <v>81</v>
      </c>
      <c r="AM44" s="3" t="s">
        <v>81</v>
      </c>
      <c r="AN44" s="3" t="s">
        <v>81</v>
      </c>
      <c r="AO44" s="3" t="s">
        <v>81</v>
      </c>
      <c r="AP44" s="3" t="s">
        <v>81</v>
      </c>
      <c r="AQ44" s="3" t="s">
        <v>81</v>
      </c>
      <c r="AR44" s="3" t="s">
        <v>81</v>
      </c>
      <c r="AS44" s="3" t="s">
        <v>81</v>
      </c>
      <c r="AT44" s="3" t="s">
        <v>81</v>
      </c>
      <c r="AU44" s="3" t="s">
        <v>81</v>
      </c>
      <c r="AV44" s="3" t="s">
        <v>81</v>
      </c>
      <c r="AW44" s="3" t="s">
        <v>81</v>
      </c>
      <c r="AX44" s="3" t="s">
        <v>81</v>
      </c>
      <c r="AY44" s="3" t="s">
        <v>81</v>
      </c>
      <c r="AZ44" s="3" t="s">
        <v>81</v>
      </c>
      <c r="BA44" s="3" t="s">
        <v>81</v>
      </c>
      <c r="BB44" s="3" t="s">
        <v>81</v>
      </c>
      <c r="BC44" s="3" t="s">
        <v>81</v>
      </c>
      <c r="BD44" s="3" t="s">
        <v>81</v>
      </c>
      <c r="BE44" s="3" t="s">
        <v>81</v>
      </c>
      <c r="BF44" s="3" t="s">
        <v>81</v>
      </c>
      <c r="BG44" s="3" t="s">
        <v>81</v>
      </c>
      <c r="BH44" s="3" t="s">
        <v>81</v>
      </c>
      <c r="BI44" s="3" t="s">
        <v>84</v>
      </c>
      <c r="BJ44" s="3" t="s">
        <v>82</v>
      </c>
      <c r="BK44" s="3" t="s">
        <v>83</v>
      </c>
      <c r="BL44" s="3" t="s">
        <v>84</v>
      </c>
      <c r="BM44" s="3" t="s">
        <v>84</v>
      </c>
      <c r="BN44" s="3" t="s">
        <v>82</v>
      </c>
      <c r="BO44" s="3" t="s">
        <v>82</v>
      </c>
      <c r="BP44" s="3" t="s">
        <v>120</v>
      </c>
      <c r="BQ44" s="3" t="s">
        <v>120</v>
      </c>
      <c r="BR44" s="3" t="s">
        <v>120</v>
      </c>
      <c r="BS44" s="3" t="s">
        <v>120</v>
      </c>
      <c r="BT44" s="3" t="s">
        <v>87</v>
      </c>
      <c r="BU44" s="3" t="s">
        <v>98</v>
      </c>
      <c r="BV44" s="3" t="s">
        <v>82</v>
      </c>
      <c r="BW44" s="3" t="s">
        <v>91</v>
      </c>
      <c r="BX44" s="3" t="s">
        <v>84</v>
      </c>
      <c r="BY44" s="3" t="s">
        <v>121</v>
      </c>
      <c r="BZ44" s="3" t="s">
        <v>86</v>
      </c>
      <c r="CA44" s="3"/>
      <c r="CB44" s="3" t="s">
        <v>84</v>
      </c>
      <c r="CC44" s="3"/>
      <c r="CD44" s="3" t="s">
        <v>83</v>
      </c>
      <c r="CE44" s="3"/>
      <c r="CF44" s="3"/>
      <c r="CG44" s="3"/>
      <c r="CH44" s="3"/>
      <c r="CI44" s="3"/>
    </row>
    <row r="45" spans="1:87" ht="15.75" customHeight="1" x14ac:dyDescent="0.15">
      <c r="A45" s="3">
        <v>1260871688</v>
      </c>
      <c r="B45" s="3" t="s">
        <v>119</v>
      </c>
      <c r="C45" s="3" t="s">
        <v>119</v>
      </c>
      <c r="D45" s="3" t="s">
        <v>81</v>
      </c>
      <c r="E45" s="3">
        <v>4</v>
      </c>
      <c r="F45" s="3">
        <v>32.353999999999999</v>
      </c>
      <c r="G45" s="3">
        <v>1</v>
      </c>
      <c r="H45" s="3">
        <v>8.5</v>
      </c>
      <c r="I45" s="3">
        <v>23.721</v>
      </c>
      <c r="J45" s="3">
        <v>23.149000000000001</v>
      </c>
      <c r="K45" s="3" t="s">
        <v>81</v>
      </c>
      <c r="L45" s="3" t="s">
        <v>81</v>
      </c>
      <c r="M45" s="3" t="s">
        <v>81</v>
      </c>
      <c r="N45" s="3" t="s">
        <v>81</v>
      </c>
      <c r="O45" s="3" t="s">
        <v>81</v>
      </c>
      <c r="P45" s="3" t="s">
        <v>81</v>
      </c>
      <c r="Q45" s="3">
        <v>31.899000000000001</v>
      </c>
      <c r="R45" s="3">
        <v>1</v>
      </c>
      <c r="S45" s="3">
        <v>8.0839999999999996</v>
      </c>
      <c r="T45" s="3">
        <v>25.077000000000002</v>
      </c>
      <c r="U45" s="3">
        <v>24.356999999999999</v>
      </c>
      <c r="V45" s="3" t="s">
        <v>81</v>
      </c>
      <c r="W45" s="3" t="s">
        <v>81</v>
      </c>
      <c r="X45" s="3" t="s">
        <v>81</v>
      </c>
      <c r="Y45" s="3" t="s">
        <v>81</v>
      </c>
      <c r="Z45" s="3" t="s">
        <v>81</v>
      </c>
      <c r="AA45" s="3" t="s">
        <v>81</v>
      </c>
      <c r="AB45" s="3">
        <v>35.051000000000002</v>
      </c>
      <c r="AC45" s="3">
        <v>1</v>
      </c>
      <c r="AD45" s="3">
        <v>11.766999999999999</v>
      </c>
      <c r="AE45" s="3" t="s">
        <v>81</v>
      </c>
      <c r="AF45" s="3">
        <v>23.617000000000001</v>
      </c>
      <c r="AG45" s="3" t="s">
        <v>81</v>
      </c>
      <c r="AH45" s="3" t="s">
        <v>81</v>
      </c>
      <c r="AI45" s="3" t="s">
        <v>81</v>
      </c>
      <c r="AJ45" s="3" t="s">
        <v>81</v>
      </c>
      <c r="AK45" s="3" t="s">
        <v>81</v>
      </c>
      <c r="AL45" s="3" t="s">
        <v>81</v>
      </c>
      <c r="AM45" s="3" t="s">
        <v>81</v>
      </c>
      <c r="AN45" s="3">
        <v>1</v>
      </c>
      <c r="AO45" s="3" t="s">
        <v>81</v>
      </c>
      <c r="AP45" s="3" t="s">
        <v>81</v>
      </c>
      <c r="AQ45" s="3" t="s">
        <v>81</v>
      </c>
      <c r="AR45" s="3" t="s">
        <v>81</v>
      </c>
      <c r="AS45" s="3" t="s">
        <v>81</v>
      </c>
      <c r="AT45" s="3" t="s">
        <v>81</v>
      </c>
      <c r="AU45" s="3" t="s">
        <v>81</v>
      </c>
      <c r="AV45" s="3" t="s">
        <v>81</v>
      </c>
      <c r="AW45" s="3" t="s">
        <v>81</v>
      </c>
      <c r="AX45" s="3" t="s">
        <v>81</v>
      </c>
      <c r="AY45" s="3" t="s">
        <v>81</v>
      </c>
      <c r="AZ45" s="3" t="s">
        <v>81</v>
      </c>
      <c r="BA45" s="3" t="s">
        <v>81</v>
      </c>
      <c r="BB45" s="3" t="s">
        <v>81</v>
      </c>
      <c r="BC45" s="3" t="s">
        <v>81</v>
      </c>
      <c r="BD45" s="3" t="s">
        <v>81</v>
      </c>
      <c r="BE45" s="3" t="s">
        <v>81</v>
      </c>
      <c r="BF45" s="3" t="s">
        <v>81</v>
      </c>
      <c r="BG45" s="3" t="s">
        <v>81</v>
      </c>
      <c r="BH45" s="3" t="s">
        <v>81</v>
      </c>
      <c r="BI45" s="3" t="s">
        <v>84</v>
      </c>
      <c r="BJ45" s="3" t="s">
        <v>82</v>
      </c>
      <c r="BK45" s="3" t="s">
        <v>83</v>
      </c>
      <c r="BL45" s="3" t="s">
        <v>84</v>
      </c>
      <c r="BM45" s="3" t="s">
        <v>84</v>
      </c>
      <c r="BN45" s="3" t="s">
        <v>82</v>
      </c>
      <c r="BO45" s="3" t="s">
        <v>82</v>
      </c>
      <c r="BP45" s="3" t="s">
        <v>81</v>
      </c>
      <c r="BQ45" s="3" t="s">
        <v>81</v>
      </c>
      <c r="BR45" s="3" t="s">
        <v>81</v>
      </c>
      <c r="BS45" s="3" t="s">
        <v>81</v>
      </c>
      <c r="BT45" s="3" t="s">
        <v>81</v>
      </c>
      <c r="BU45" s="3" t="s">
        <v>81</v>
      </c>
      <c r="BV45" s="3" t="s">
        <v>82</v>
      </c>
      <c r="BW45" s="3" t="s">
        <v>91</v>
      </c>
      <c r="BX45" s="3" t="s">
        <v>84</v>
      </c>
      <c r="BY45" s="3" t="s">
        <v>122</v>
      </c>
      <c r="BZ45" s="3" t="s">
        <v>123</v>
      </c>
      <c r="CB45" s="3" t="s">
        <v>84</v>
      </c>
      <c r="CD45" s="3" t="s">
        <v>83</v>
      </c>
    </row>
    <row r="46" spans="1:87" ht="15.75" customHeight="1" x14ac:dyDescent="0.15">
      <c r="A46" s="3">
        <v>1998734384</v>
      </c>
      <c r="B46" s="3" t="s">
        <v>119</v>
      </c>
      <c r="C46" s="3" t="s">
        <v>119</v>
      </c>
      <c r="D46" s="3" t="s">
        <v>81</v>
      </c>
      <c r="E46" s="3">
        <v>2</v>
      </c>
      <c r="F46" s="3">
        <v>39.741</v>
      </c>
      <c r="G46" s="3">
        <v>1</v>
      </c>
      <c r="H46" s="3">
        <v>11.537000000000001</v>
      </c>
      <c r="I46" s="3">
        <v>20.53</v>
      </c>
      <c r="J46" s="3">
        <v>27.79</v>
      </c>
      <c r="K46" s="3" t="s">
        <v>81</v>
      </c>
      <c r="L46" s="3" t="s">
        <v>81</v>
      </c>
      <c r="M46" s="3" t="s">
        <v>81</v>
      </c>
      <c r="N46" s="3" t="s">
        <v>81</v>
      </c>
      <c r="O46" s="3" t="s">
        <v>81</v>
      </c>
      <c r="P46" s="3" t="s">
        <v>81</v>
      </c>
      <c r="Q46" s="3">
        <v>32.631</v>
      </c>
      <c r="R46" s="3">
        <v>1</v>
      </c>
      <c r="S46" s="3">
        <v>10.271000000000001</v>
      </c>
      <c r="T46" s="3">
        <v>20.343</v>
      </c>
      <c r="U46" s="3">
        <v>21.577000000000002</v>
      </c>
      <c r="V46" s="3" t="s">
        <v>81</v>
      </c>
      <c r="W46" s="3" t="s">
        <v>81</v>
      </c>
      <c r="X46" s="3" t="s">
        <v>81</v>
      </c>
      <c r="Y46" s="3" t="s">
        <v>81</v>
      </c>
      <c r="Z46" s="3" t="s">
        <v>81</v>
      </c>
      <c r="AA46" s="3" t="s">
        <v>81</v>
      </c>
      <c r="AB46" s="3" t="s">
        <v>81</v>
      </c>
      <c r="AC46" s="3" t="s">
        <v>81</v>
      </c>
      <c r="AD46" s="3" t="s">
        <v>81</v>
      </c>
      <c r="AE46" s="3" t="s">
        <v>81</v>
      </c>
      <c r="AF46" s="3" t="s">
        <v>81</v>
      </c>
      <c r="AG46" s="3" t="s">
        <v>81</v>
      </c>
      <c r="AH46" s="3" t="s">
        <v>81</v>
      </c>
      <c r="AI46" s="3" t="s">
        <v>81</v>
      </c>
      <c r="AJ46" s="3" t="s">
        <v>81</v>
      </c>
      <c r="AK46" s="3" t="s">
        <v>81</v>
      </c>
      <c r="AL46" s="3" t="s">
        <v>81</v>
      </c>
      <c r="AM46" s="3" t="s">
        <v>81</v>
      </c>
      <c r="AN46" s="3" t="s">
        <v>81</v>
      </c>
      <c r="AO46" s="3" t="s">
        <v>81</v>
      </c>
      <c r="AP46" s="3" t="s">
        <v>81</v>
      </c>
      <c r="AQ46" s="3" t="s">
        <v>81</v>
      </c>
      <c r="AR46" s="3" t="s">
        <v>81</v>
      </c>
      <c r="AS46" s="3" t="s">
        <v>81</v>
      </c>
      <c r="AT46" s="3" t="s">
        <v>81</v>
      </c>
      <c r="AU46" s="3" t="s">
        <v>81</v>
      </c>
      <c r="AV46" s="3" t="s">
        <v>81</v>
      </c>
      <c r="AW46" s="3" t="s">
        <v>81</v>
      </c>
      <c r="AX46" s="3" t="s">
        <v>81</v>
      </c>
      <c r="AY46" s="3" t="s">
        <v>81</v>
      </c>
      <c r="AZ46" s="3" t="s">
        <v>81</v>
      </c>
      <c r="BA46" s="3" t="s">
        <v>81</v>
      </c>
      <c r="BB46" s="3" t="s">
        <v>81</v>
      </c>
      <c r="BC46" s="3" t="s">
        <v>81</v>
      </c>
      <c r="BD46" s="3" t="s">
        <v>81</v>
      </c>
      <c r="BE46" s="3" t="s">
        <v>81</v>
      </c>
      <c r="BF46" s="3" t="s">
        <v>81</v>
      </c>
      <c r="BG46" s="3" t="s">
        <v>81</v>
      </c>
      <c r="BH46" s="3" t="s">
        <v>81</v>
      </c>
      <c r="BI46" s="3" t="s">
        <v>84</v>
      </c>
      <c r="BJ46" s="3" t="s">
        <v>82</v>
      </c>
      <c r="BK46" s="3" t="s">
        <v>83</v>
      </c>
      <c r="BL46" s="3" t="s">
        <v>84</v>
      </c>
      <c r="BM46" s="3" t="s">
        <v>84</v>
      </c>
      <c r="BN46" s="3" t="s">
        <v>82</v>
      </c>
      <c r="BO46" s="3" t="s">
        <v>83</v>
      </c>
      <c r="BP46" s="3" t="s">
        <v>81</v>
      </c>
      <c r="BQ46" s="3" t="s">
        <v>81</v>
      </c>
      <c r="BR46" s="3" t="s">
        <v>81</v>
      </c>
      <c r="BS46" s="3" t="s">
        <v>81</v>
      </c>
      <c r="BT46" s="3" t="s">
        <v>81</v>
      </c>
      <c r="BU46" s="3" t="s">
        <v>81</v>
      </c>
      <c r="BV46" s="3" t="s">
        <v>82</v>
      </c>
      <c r="BW46" s="3" t="s">
        <v>91</v>
      </c>
      <c r="BX46" s="3" t="s">
        <v>84</v>
      </c>
      <c r="BY46" s="3" t="s">
        <v>124</v>
      </c>
      <c r="BZ46" s="3" t="s">
        <v>125</v>
      </c>
      <c r="CB46" s="3" t="s">
        <v>84</v>
      </c>
      <c r="CD46" s="3" t="s">
        <v>83</v>
      </c>
    </row>
    <row r="47" spans="1:87" x14ac:dyDescent="0.15">
      <c r="A47" s="3">
        <v>2625895494</v>
      </c>
      <c r="B47" s="3" t="s">
        <v>320</v>
      </c>
      <c r="C47" s="3" t="s">
        <v>320</v>
      </c>
      <c r="D47" s="3" t="s">
        <v>81</v>
      </c>
      <c r="E47" s="3">
        <v>7</v>
      </c>
      <c r="F47" s="3">
        <v>8.5289999999999999</v>
      </c>
      <c r="G47" s="3">
        <v>1</v>
      </c>
      <c r="H47" s="3">
        <v>4.2910000000000004</v>
      </c>
      <c r="I47" s="3">
        <v>5.6639999999999997</v>
      </c>
      <c r="J47" s="3">
        <v>5.0659999999999998</v>
      </c>
      <c r="K47" s="3" t="s">
        <v>81</v>
      </c>
      <c r="L47" s="3" t="s">
        <v>81</v>
      </c>
      <c r="M47" s="3" t="s">
        <v>81</v>
      </c>
      <c r="N47" s="3" t="s">
        <v>81</v>
      </c>
      <c r="O47" s="3" t="s">
        <v>81</v>
      </c>
      <c r="P47" s="3" t="s">
        <v>81</v>
      </c>
      <c r="Q47" s="3">
        <v>11.272</v>
      </c>
      <c r="R47" s="3">
        <v>1</v>
      </c>
      <c r="S47" s="3">
        <v>3.706</v>
      </c>
      <c r="T47" s="3">
        <v>9.6920000000000002</v>
      </c>
      <c r="U47" s="3">
        <v>7.633</v>
      </c>
      <c r="V47" s="3" t="s">
        <v>81</v>
      </c>
      <c r="W47" s="3" t="s">
        <v>81</v>
      </c>
      <c r="X47" s="3" t="s">
        <v>81</v>
      </c>
      <c r="Y47" s="3" t="s">
        <v>81</v>
      </c>
      <c r="Z47" s="3" t="s">
        <v>81</v>
      </c>
      <c r="AA47" s="3" t="s">
        <v>81</v>
      </c>
      <c r="AB47" s="3">
        <v>11.763999999999999</v>
      </c>
      <c r="AC47" s="3">
        <v>1</v>
      </c>
      <c r="AD47" s="3">
        <v>4.8419999999999996</v>
      </c>
      <c r="AE47" s="3">
        <v>11.606999999999999</v>
      </c>
      <c r="AF47" s="3">
        <v>6.5049999999999999</v>
      </c>
      <c r="AG47" s="3" t="s">
        <v>81</v>
      </c>
      <c r="AH47" s="3" t="s">
        <v>81</v>
      </c>
      <c r="AI47" s="3" t="s">
        <v>81</v>
      </c>
      <c r="AJ47" s="3" t="s">
        <v>81</v>
      </c>
      <c r="AK47" s="3" t="s">
        <v>81</v>
      </c>
      <c r="AL47" s="3" t="s">
        <v>81</v>
      </c>
      <c r="AM47" s="3" t="s">
        <v>81</v>
      </c>
      <c r="AN47" s="3" t="s">
        <v>81</v>
      </c>
      <c r="AO47" s="3" t="s">
        <v>81</v>
      </c>
      <c r="AP47" s="3" t="s">
        <v>81</v>
      </c>
      <c r="AQ47" s="3" t="s">
        <v>81</v>
      </c>
      <c r="AR47" s="3" t="s">
        <v>81</v>
      </c>
      <c r="AS47" s="3" t="s">
        <v>81</v>
      </c>
      <c r="AT47" s="3" t="s">
        <v>81</v>
      </c>
      <c r="AU47" s="3" t="s">
        <v>81</v>
      </c>
      <c r="AV47" s="3" t="s">
        <v>81</v>
      </c>
      <c r="AW47" s="3" t="s">
        <v>81</v>
      </c>
      <c r="AX47" s="3" t="s">
        <v>81</v>
      </c>
      <c r="AY47" s="3" t="s">
        <v>81</v>
      </c>
      <c r="AZ47" s="3" t="s">
        <v>81</v>
      </c>
      <c r="BA47" s="3" t="s">
        <v>81</v>
      </c>
      <c r="BB47" s="3" t="s">
        <v>81</v>
      </c>
      <c r="BC47" s="3" t="s">
        <v>81</v>
      </c>
      <c r="BD47" s="3" t="s">
        <v>81</v>
      </c>
      <c r="BE47" s="3" t="s">
        <v>81</v>
      </c>
      <c r="BF47" s="3" t="s">
        <v>81</v>
      </c>
      <c r="BG47" s="3" t="s">
        <v>81</v>
      </c>
      <c r="BH47" s="3" t="s">
        <v>81</v>
      </c>
      <c r="BI47" s="3" t="s">
        <v>84</v>
      </c>
      <c r="BJ47" s="3" t="s">
        <v>82</v>
      </c>
      <c r="BK47" s="3" t="s">
        <v>83</v>
      </c>
      <c r="BL47" s="3" t="s">
        <v>84</v>
      </c>
      <c r="BM47" s="3" t="s">
        <v>84</v>
      </c>
      <c r="BN47" s="3" t="s">
        <v>82</v>
      </c>
      <c r="BO47" s="3" t="s">
        <v>82</v>
      </c>
      <c r="BP47" s="3" t="s">
        <v>321</v>
      </c>
      <c r="BQ47" s="3" t="s">
        <v>321</v>
      </c>
      <c r="BR47" s="3" t="s">
        <v>98</v>
      </c>
      <c r="BS47" s="3" t="s">
        <v>98</v>
      </c>
      <c r="BT47" s="3" t="s">
        <v>98</v>
      </c>
      <c r="BU47" s="3" t="s">
        <v>81</v>
      </c>
      <c r="BV47" s="3" t="s">
        <v>84</v>
      </c>
      <c r="BW47" s="3" t="s">
        <v>83</v>
      </c>
      <c r="BX47" s="3" t="s">
        <v>84</v>
      </c>
      <c r="BY47" s="3" t="s">
        <v>322</v>
      </c>
      <c r="BZ47" s="3" t="s">
        <v>86</v>
      </c>
      <c r="CA47" s="3"/>
      <c r="CB47" s="3" t="s">
        <v>84</v>
      </c>
      <c r="CC47" s="3"/>
      <c r="CD47" s="3"/>
      <c r="CE47" s="3"/>
      <c r="CF47" s="3"/>
      <c r="CG47" s="3"/>
      <c r="CH47" s="3"/>
      <c r="CI47" s="3"/>
    </row>
    <row r="48" spans="1:87" x14ac:dyDescent="0.15">
      <c r="A48" s="3">
        <v>1318752169</v>
      </c>
      <c r="B48" s="3" t="s">
        <v>320</v>
      </c>
      <c r="C48" s="3" t="s">
        <v>320</v>
      </c>
      <c r="D48" s="3" t="s">
        <v>81</v>
      </c>
      <c r="E48" s="3">
        <v>4</v>
      </c>
      <c r="F48" s="3">
        <v>18.623000000000001</v>
      </c>
      <c r="G48" s="3">
        <v>1</v>
      </c>
      <c r="H48" s="3" t="s">
        <v>81</v>
      </c>
      <c r="I48" s="3" t="s">
        <v>81</v>
      </c>
      <c r="J48" s="3" t="s">
        <v>81</v>
      </c>
      <c r="K48" s="3" t="s">
        <v>81</v>
      </c>
      <c r="L48" s="3" t="s">
        <v>81</v>
      </c>
      <c r="M48" s="3" t="s">
        <v>81</v>
      </c>
      <c r="N48" s="3" t="s">
        <v>81</v>
      </c>
      <c r="O48" s="3" t="s">
        <v>81</v>
      </c>
      <c r="P48" s="3" t="s">
        <v>81</v>
      </c>
      <c r="Q48" s="3">
        <v>10.739000000000001</v>
      </c>
      <c r="R48" s="3">
        <v>1</v>
      </c>
      <c r="S48" s="3" t="s">
        <v>81</v>
      </c>
      <c r="T48" s="3" t="s">
        <v>81</v>
      </c>
      <c r="U48" s="3" t="s">
        <v>81</v>
      </c>
      <c r="V48" s="3" t="s">
        <v>81</v>
      </c>
      <c r="W48" s="3" t="s">
        <v>81</v>
      </c>
      <c r="X48" s="3" t="s">
        <v>81</v>
      </c>
      <c r="Y48" s="3" t="s">
        <v>81</v>
      </c>
      <c r="Z48" s="3" t="s">
        <v>81</v>
      </c>
      <c r="AA48" s="3" t="s">
        <v>81</v>
      </c>
      <c r="AB48" s="3">
        <v>24.468</v>
      </c>
      <c r="AC48" s="3">
        <v>1</v>
      </c>
      <c r="AD48" s="3" t="s">
        <v>81</v>
      </c>
      <c r="AE48" s="3" t="s">
        <v>81</v>
      </c>
      <c r="AF48" s="3" t="s">
        <v>81</v>
      </c>
      <c r="AG48" s="3" t="s">
        <v>81</v>
      </c>
      <c r="AH48" s="3" t="s">
        <v>81</v>
      </c>
      <c r="AI48" s="3" t="s">
        <v>81</v>
      </c>
      <c r="AJ48" s="3" t="s">
        <v>81</v>
      </c>
      <c r="AK48" s="3" t="s">
        <v>81</v>
      </c>
      <c r="AL48" s="3" t="s">
        <v>81</v>
      </c>
      <c r="AM48" s="3">
        <v>10.775</v>
      </c>
      <c r="AN48" s="3">
        <v>1</v>
      </c>
      <c r="AO48" s="3">
        <v>7.36</v>
      </c>
      <c r="AP48" s="3">
        <v>7.91</v>
      </c>
      <c r="AQ48" s="3">
        <v>5.141</v>
      </c>
      <c r="AR48" s="3" t="s">
        <v>81</v>
      </c>
      <c r="AS48" s="3" t="s">
        <v>81</v>
      </c>
      <c r="AT48" s="3" t="s">
        <v>81</v>
      </c>
      <c r="AU48" s="3" t="s">
        <v>81</v>
      </c>
      <c r="AV48" s="3" t="s">
        <v>81</v>
      </c>
      <c r="AW48" s="3" t="s">
        <v>81</v>
      </c>
      <c r="AX48" s="3" t="s">
        <v>81</v>
      </c>
      <c r="AY48" s="3" t="s">
        <v>81</v>
      </c>
      <c r="AZ48" s="3" t="s">
        <v>81</v>
      </c>
      <c r="BA48" s="3" t="s">
        <v>81</v>
      </c>
      <c r="BB48" s="3" t="s">
        <v>81</v>
      </c>
      <c r="BC48" s="3" t="s">
        <v>81</v>
      </c>
      <c r="BD48" s="3" t="s">
        <v>81</v>
      </c>
      <c r="BE48" s="3" t="s">
        <v>81</v>
      </c>
      <c r="BF48" s="3" t="s">
        <v>81</v>
      </c>
      <c r="BG48" s="3" t="s">
        <v>81</v>
      </c>
      <c r="BH48" s="3" t="s">
        <v>81</v>
      </c>
      <c r="BI48" s="3" t="s">
        <v>84</v>
      </c>
      <c r="BJ48" s="3" t="s">
        <v>82</v>
      </c>
      <c r="BK48" s="3" t="s">
        <v>83</v>
      </c>
      <c r="BL48" s="3" t="s">
        <v>84</v>
      </c>
      <c r="BM48" s="3" t="s">
        <v>84</v>
      </c>
      <c r="BN48" s="3" t="s">
        <v>82</v>
      </c>
      <c r="BO48" s="3" t="s">
        <v>82</v>
      </c>
      <c r="BP48" s="3" t="s">
        <v>263</v>
      </c>
      <c r="BQ48" s="3" t="s">
        <v>263</v>
      </c>
      <c r="BR48" s="3" t="s">
        <v>263</v>
      </c>
      <c r="BS48" s="3" t="s">
        <v>263</v>
      </c>
      <c r="BT48" s="3" t="s">
        <v>98</v>
      </c>
      <c r="BU48" s="3" t="s">
        <v>81</v>
      </c>
      <c r="BV48" s="3" t="s">
        <v>84</v>
      </c>
      <c r="BW48" s="3" t="s">
        <v>83</v>
      </c>
      <c r="BX48" s="3" t="s">
        <v>84</v>
      </c>
      <c r="BY48" s="3" t="s">
        <v>322</v>
      </c>
      <c r="BZ48" s="3" t="s">
        <v>86</v>
      </c>
      <c r="CB48" s="3" t="s">
        <v>84</v>
      </c>
    </row>
    <row r="49" spans="1:87" ht="15.75" customHeight="1" x14ac:dyDescent="0.15">
      <c r="A49" s="3">
        <v>2625888549</v>
      </c>
      <c r="B49" s="3" t="s">
        <v>131</v>
      </c>
      <c r="C49" s="3" t="s">
        <v>131</v>
      </c>
      <c r="D49" s="3">
        <v>3</v>
      </c>
      <c r="E49" s="3">
        <v>3</v>
      </c>
      <c r="F49" s="3">
        <v>33.720999999999997</v>
      </c>
      <c r="G49" s="3">
        <v>1</v>
      </c>
      <c r="H49" s="3">
        <v>17.228999999999999</v>
      </c>
      <c r="I49" s="3">
        <v>18.716999999999999</v>
      </c>
      <c r="J49" s="3">
        <v>15.375999999999999</v>
      </c>
      <c r="K49" s="3" t="s">
        <v>81</v>
      </c>
      <c r="L49" s="3" t="s">
        <v>81</v>
      </c>
      <c r="M49" s="3" t="s">
        <v>81</v>
      </c>
      <c r="N49" s="3" t="s">
        <v>81</v>
      </c>
      <c r="O49" s="3" t="s">
        <v>81</v>
      </c>
      <c r="P49" s="3" t="s">
        <v>81</v>
      </c>
      <c r="Q49" s="3">
        <v>37.353999999999999</v>
      </c>
      <c r="R49" s="3">
        <v>2</v>
      </c>
      <c r="S49" s="3">
        <v>12.234999999999999</v>
      </c>
      <c r="T49" s="3">
        <v>18.942</v>
      </c>
      <c r="U49" s="3">
        <v>11.313000000000001</v>
      </c>
      <c r="V49" s="3">
        <v>15.339</v>
      </c>
      <c r="W49" s="3">
        <v>12.058999999999999</v>
      </c>
      <c r="X49" s="3" t="s">
        <v>81</v>
      </c>
      <c r="Y49" s="3" t="s">
        <v>81</v>
      </c>
      <c r="Z49" s="3" t="s">
        <v>81</v>
      </c>
      <c r="AA49" s="3" t="s">
        <v>81</v>
      </c>
      <c r="AB49" s="3">
        <v>33.813000000000002</v>
      </c>
      <c r="AC49" s="3">
        <v>2</v>
      </c>
      <c r="AD49" s="3">
        <v>10.73</v>
      </c>
      <c r="AE49" s="3">
        <v>15.478</v>
      </c>
      <c r="AF49" s="3">
        <v>10.135</v>
      </c>
      <c r="AG49" s="3">
        <v>13.987</v>
      </c>
      <c r="AH49" s="3">
        <v>13.345000000000001</v>
      </c>
      <c r="AI49" s="3" t="s">
        <v>81</v>
      </c>
      <c r="AJ49" s="3" t="s">
        <v>81</v>
      </c>
      <c r="AK49" s="3" t="s">
        <v>81</v>
      </c>
      <c r="AL49" s="3" t="s">
        <v>81</v>
      </c>
      <c r="AM49" s="3" t="s">
        <v>81</v>
      </c>
      <c r="AN49" s="3" t="s">
        <v>81</v>
      </c>
      <c r="AO49" s="3" t="s">
        <v>81</v>
      </c>
      <c r="AP49" s="3" t="s">
        <v>81</v>
      </c>
      <c r="AQ49" s="3" t="s">
        <v>81</v>
      </c>
      <c r="AR49" s="3" t="s">
        <v>81</v>
      </c>
      <c r="AS49" s="3" t="s">
        <v>81</v>
      </c>
      <c r="AT49" s="3" t="s">
        <v>81</v>
      </c>
      <c r="AU49" s="3" t="s">
        <v>81</v>
      </c>
      <c r="AV49" s="3" t="s">
        <v>81</v>
      </c>
      <c r="AW49" s="3" t="s">
        <v>81</v>
      </c>
      <c r="AX49" s="3" t="s">
        <v>81</v>
      </c>
      <c r="AY49" s="3" t="s">
        <v>81</v>
      </c>
      <c r="AZ49" s="3" t="s">
        <v>81</v>
      </c>
      <c r="BA49" s="3" t="s">
        <v>81</v>
      </c>
      <c r="BB49" s="3" t="s">
        <v>81</v>
      </c>
      <c r="BC49" s="3" t="s">
        <v>81</v>
      </c>
      <c r="BD49" s="3" t="s">
        <v>81</v>
      </c>
      <c r="BE49" s="3" t="s">
        <v>81</v>
      </c>
      <c r="BF49" s="3" t="s">
        <v>81</v>
      </c>
      <c r="BG49" s="3" t="s">
        <v>81</v>
      </c>
      <c r="BH49" s="3" t="s">
        <v>81</v>
      </c>
      <c r="BI49" s="3" t="s">
        <v>84</v>
      </c>
      <c r="BJ49" s="3" t="s">
        <v>82</v>
      </c>
      <c r="BK49" s="3" t="s">
        <v>83</v>
      </c>
      <c r="BL49" s="3" t="s">
        <v>84</v>
      </c>
      <c r="BM49" s="3" t="s">
        <v>84</v>
      </c>
      <c r="BN49" s="3" t="s">
        <v>82</v>
      </c>
      <c r="BO49" s="3" t="s">
        <v>84</v>
      </c>
      <c r="BP49" s="3" t="s">
        <v>81</v>
      </c>
      <c r="BQ49" s="3" t="s">
        <v>81</v>
      </c>
      <c r="BR49" s="3" t="s">
        <v>81</v>
      </c>
      <c r="BS49" s="3" t="s">
        <v>81</v>
      </c>
      <c r="BT49" s="3" t="s">
        <v>81</v>
      </c>
      <c r="BU49" s="3" t="s">
        <v>81</v>
      </c>
      <c r="BV49" s="3" t="s">
        <v>82</v>
      </c>
      <c r="BW49" s="3" t="s">
        <v>91</v>
      </c>
      <c r="BX49" s="3" t="s">
        <v>84</v>
      </c>
      <c r="BY49" s="3" t="s">
        <v>132</v>
      </c>
      <c r="BZ49" s="3" t="s">
        <v>86</v>
      </c>
      <c r="CB49" s="3" t="s">
        <v>84</v>
      </c>
      <c r="CD49" s="3" t="s">
        <v>83</v>
      </c>
    </row>
    <row r="50" spans="1:87" ht="15.75" customHeight="1" x14ac:dyDescent="0.15">
      <c r="A50" s="3">
        <v>2625900771</v>
      </c>
      <c r="B50" s="3" t="s">
        <v>131</v>
      </c>
      <c r="C50" s="3" t="s">
        <v>131</v>
      </c>
      <c r="D50" s="3">
        <v>2</v>
      </c>
      <c r="E50" s="3">
        <v>2</v>
      </c>
      <c r="F50" s="3">
        <v>31.805</v>
      </c>
      <c r="G50" s="3">
        <v>0</v>
      </c>
      <c r="H50" s="3" t="s">
        <v>81</v>
      </c>
      <c r="I50" s="3" t="s">
        <v>81</v>
      </c>
      <c r="J50" s="3" t="s">
        <v>81</v>
      </c>
      <c r="K50" s="3" t="s">
        <v>81</v>
      </c>
      <c r="L50" s="3" t="s">
        <v>81</v>
      </c>
      <c r="M50" s="3" t="s">
        <v>81</v>
      </c>
      <c r="N50" s="3" t="s">
        <v>81</v>
      </c>
      <c r="O50" s="3" t="s">
        <v>81</v>
      </c>
      <c r="P50" s="3" t="s">
        <v>81</v>
      </c>
      <c r="Q50" s="3">
        <v>31.324999999999999</v>
      </c>
      <c r="R50" s="3">
        <v>0</v>
      </c>
      <c r="S50" s="3" t="s">
        <v>81</v>
      </c>
      <c r="T50" s="3" t="s">
        <v>81</v>
      </c>
      <c r="U50" s="3" t="s">
        <v>81</v>
      </c>
      <c r="V50" s="3" t="s">
        <v>81</v>
      </c>
      <c r="W50" s="3" t="s">
        <v>81</v>
      </c>
      <c r="X50" s="3" t="s">
        <v>81</v>
      </c>
      <c r="Y50" s="3" t="s">
        <v>81</v>
      </c>
      <c r="Z50" s="3" t="s">
        <v>81</v>
      </c>
      <c r="AA50" s="3" t="s">
        <v>81</v>
      </c>
      <c r="AB50" s="3" t="s">
        <v>81</v>
      </c>
      <c r="AC50" s="3" t="s">
        <v>81</v>
      </c>
      <c r="AD50" s="3" t="s">
        <v>81</v>
      </c>
      <c r="AE50" s="3" t="s">
        <v>81</v>
      </c>
      <c r="AF50" s="3" t="s">
        <v>81</v>
      </c>
      <c r="AG50" s="3" t="s">
        <v>81</v>
      </c>
      <c r="AH50" s="3" t="s">
        <v>81</v>
      </c>
      <c r="AI50" s="3" t="s">
        <v>81</v>
      </c>
      <c r="AJ50" s="3" t="s">
        <v>81</v>
      </c>
      <c r="AK50" s="3" t="s">
        <v>81</v>
      </c>
      <c r="AL50" s="3" t="s">
        <v>81</v>
      </c>
      <c r="AM50" s="3" t="s">
        <v>81</v>
      </c>
      <c r="AN50" s="3" t="s">
        <v>81</v>
      </c>
      <c r="AO50" s="3" t="s">
        <v>81</v>
      </c>
      <c r="AP50" s="3" t="s">
        <v>81</v>
      </c>
      <c r="AQ50" s="3" t="s">
        <v>81</v>
      </c>
      <c r="AR50" s="3" t="s">
        <v>81</v>
      </c>
      <c r="AS50" s="3" t="s">
        <v>81</v>
      </c>
      <c r="AT50" s="3" t="s">
        <v>81</v>
      </c>
      <c r="AU50" s="3" t="s">
        <v>81</v>
      </c>
      <c r="AV50" s="3" t="s">
        <v>81</v>
      </c>
      <c r="AW50" s="3" t="s">
        <v>81</v>
      </c>
      <c r="AX50" s="3" t="s">
        <v>81</v>
      </c>
      <c r="AY50" s="3" t="s">
        <v>81</v>
      </c>
      <c r="AZ50" s="3" t="s">
        <v>81</v>
      </c>
      <c r="BA50" s="3" t="s">
        <v>81</v>
      </c>
      <c r="BB50" s="3" t="s">
        <v>81</v>
      </c>
      <c r="BC50" s="3" t="s">
        <v>81</v>
      </c>
      <c r="BD50" s="3" t="s">
        <v>81</v>
      </c>
      <c r="BE50" s="3" t="s">
        <v>81</v>
      </c>
      <c r="BF50" s="3" t="s">
        <v>81</v>
      </c>
      <c r="BG50" s="3" t="s">
        <v>81</v>
      </c>
      <c r="BH50" s="3" t="s">
        <v>81</v>
      </c>
      <c r="BI50" s="3" t="s">
        <v>84</v>
      </c>
      <c r="BJ50" s="3" t="s">
        <v>82</v>
      </c>
      <c r="BK50" s="3" t="s">
        <v>83</v>
      </c>
      <c r="BL50" s="3" t="s">
        <v>84</v>
      </c>
      <c r="BM50" s="3" t="s">
        <v>82</v>
      </c>
      <c r="BN50" s="3" t="s">
        <v>84</v>
      </c>
      <c r="BO50" s="3" t="s">
        <v>83</v>
      </c>
      <c r="BP50" s="3" t="s">
        <v>133</v>
      </c>
      <c r="BQ50" s="3" t="s">
        <v>133</v>
      </c>
      <c r="BR50" s="3" t="s">
        <v>133</v>
      </c>
      <c r="BS50" s="3" t="s">
        <v>133</v>
      </c>
      <c r="BT50" s="3" t="s">
        <v>87</v>
      </c>
      <c r="BU50" s="3" t="s">
        <v>129</v>
      </c>
      <c r="BV50" s="3" t="s">
        <v>83</v>
      </c>
      <c r="BW50" s="3" t="s">
        <v>83</v>
      </c>
      <c r="BX50" s="3" t="s">
        <v>83</v>
      </c>
      <c r="BY50" s="3" t="s">
        <v>134</v>
      </c>
      <c r="BZ50" s="3" t="s">
        <v>86</v>
      </c>
      <c r="CB50" s="3" t="s">
        <v>84</v>
      </c>
      <c r="CD50" s="3" t="s">
        <v>83</v>
      </c>
    </row>
    <row r="51" spans="1:87" ht="15.75" customHeight="1" x14ac:dyDescent="0.15">
      <c r="A51" s="3">
        <v>2625850943</v>
      </c>
      <c r="B51" s="3" t="s">
        <v>131</v>
      </c>
      <c r="C51" s="3" t="s">
        <v>131</v>
      </c>
      <c r="D51" s="3">
        <v>3</v>
      </c>
      <c r="E51" s="3">
        <v>3</v>
      </c>
      <c r="F51" s="3" t="s">
        <v>81</v>
      </c>
      <c r="G51" s="3">
        <v>3</v>
      </c>
      <c r="H51" s="3">
        <v>10.686</v>
      </c>
      <c r="I51" s="3">
        <v>16.593</v>
      </c>
      <c r="J51" s="3">
        <v>6.5</v>
      </c>
      <c r="K51" s="3">
        <v>15.807</v>
      </c>
      <c r="L51" s="3">
        <v>5.4180000000000001</v>
      </c>
      <c r="M51" s="3">
        <v>12.916</v>
      </c>
      <c r="N51" s="3" t="s">
        <v>81</v>
      </c>
      <c r="O51" s="3" t="s">
        <v>81</v>
      </c>
      <c r="P51" s="3" t="s">
        <v>81</v>
      </c>
      <c r="Q51" s="3" t="s">
        <v>81</v>
      </c>
      <c r="R51" s="3">
        <v>3</v>
      </c>
      <c r="S51" s="3">
        <v>10.286</v>
      </c>
      <c r="T51" s="3">
        <v>18.643000000000001</v>
      </c>
      <c r="U51" s="3">
        <v>6.6280000000000001</v>
      </c>
      <c r="V51" s="3">
        <v>20.922999999999998</v>
      </c>
      <c r="W51" s="3">
        <v>4.5140000000000002</v>
      </c>
      <c r="X51" s="3">
        <v>15.058</v>
      </c>
      <c r="Y51" s="3" t="s">
        <v>81</v>
      </c>
      <c r="Z51" s="3" t="s">
        <v>81</v>
      </c>
      <c r="AA51" s="3" t="s">
        <v>81</v>
      </c>
      <c r="AB51" s="3" t="s">
        <v>81</v>
      </c>
      <c r="AC51" s="3" t="s">
        <v>81</v>
      </c>
      <c r="AD51" s="3">
        <v>10.345000000000001</v>
      </c>
      <c r="AE51" s="3">
        <v>16.263999999999999</v>
      </c>
      <c r="AF51" s="3">
        <v>7.15</v>
      </c>
      <c r="AG51" s="3" t="s">
        <v>81</v>
      </c>
      <c r="AH51" s="3" t="s">
        <v>81</v>
      </c>
      <c r="AI51" s="3" t="s">
        <v>81</v>
      </c>
      <c r="AJ51" s="3" t="s">
        <v>81</v>
      </c>
      <c r="AK51" s="3" t="s">
        <v>81</v>
      </c>
      <c r="AL51" s="3" t="s">
        <v>81</v>
      </c>
      <c r="AM51" s="3" t="s">
        <v>81</v>
      </c>
      <c r="AN51" s="3" t="s">
        <v>81</v>
      </c>
      <c r="AO51" s="3" t="s">
        <v>81</v>
      </c>
      <c r="AP51" s="3" t="s">
        <v>81</v>
      </c>
      <c r="AQ51" s="3" t="s">
        <v>81</v>
      </c>
      <c r="AR51" s="3" t="s">
        <v>81</v>
      </c>
      <c r="AS51" s="3" t="s">
        <v>81</v>
      </c>
      <c r="AT51" s="3" t="s">
        <v>81</v>
      </c>
      <c r="AU51" s="3" t="s">
        <v>81</v>
      </c>
      <c r="AV51" s="3" t="s">
        <v>81</v>
      </c>
      <c r="AW51" s="3" t="s">
        <v>81</v>
      </c>
      <c r="AX51" s="3" t="s">
        <v>81</v>
      </c>
      <c r="AY51" s="3" t="s">
        <v>81</v>
      </c>
      <c r="AZ51" s="3" t="s">
        <v>81</v>
      </c>
      <c r="BA51" s="3" t="s">
        <v>81</v>
      </c>
      <c r="BB51" s="3" t="s">
        <v>81</v>
      </c>
      <c r="BC51" s="3" t="s">
        <v>81</v>
      </c>
      <c r="BD51" s="3" t="s">
        <v>81</v>
      </c>
      <c r="BE51" s="3" t="s">
        <v>81</v>
      </c>
      <c r="BF51" s="3" t="s">
        <v>81</v>
      </c>
      <c r="BG51" s="3" t="s">
        <v>81</v>
      </c>
      <c r="BH51" s="3" t="s">
        <v>81</v>
      </c>
      <c r="BI51" s="3" t="s">
        <v>84</v>
      </c>
      <c r="BJ51" s="3" t="s">
        <v>82</v>
      </c>
      <c r="BK51" s="3" t="s">
        <v>83</v>
      </c>
      <c r="BL51" s="3" t="s">
        <v>84</v>
      </c>
      <c r="BM51" s="3" t="s">
        <v>84</v>
      </c>
      <c r="BN51" s="3" t="s">
        <v>84</v>
      </c>
      <c r="BO51" s="3" t="s">
        <v>83</v>
      </c>
      <c r="BP51" s="3" t="s">
        <v>135</v>
      </c>
      <c r="BQ51" s="3" t="s">
        <v>135</v>
      </c>
      <c r="BR51" s="3" t="s">
        <v>135</v>
      </c>
      <c r="BS51" s="3" t="s">
        <v>135</v>
      </c>
      <c r="BT51" s="3" t="s">
        <v>129</v>
      </c>
      <c r="BU51" s="3" t="s">
        <v>81</v>
      </c>
      <c r="BV51" s="3" t="s">
        <v>82</v>
      </c>
      <c r="BW51" s="3" t="s">
        <v>111</v>
      </c>
      <c r="BX51" s="3" t="s">
        <v>82</v>
      </c>
      <c r="BY51" s="3" t="s">
        <v>136</v>
      </c>
      <c r="BZ51" s="3" t="s">
        <v>86</v>
      </c>
      <c r="CB51" s="3" t="s">
        <v>84</v>
      </c>
      <c r="CD51" s="3" t="s">
        <v>83</v>
      </c>
    </row>
    <row r="52" spans="1:87" ht="15.75" customHeight="1" x14ac:dyDescent="0.15">
      <c r="A52" s="3">
        <v>2625850722</v>
      </c>
      <c r="B52" s="3" t="s">
        <v>131</v>
      </c>
      <c r="C52" s="3" t="s">
        <v>131</v>
      </c>
      <c r="D52" s="3">
        <v>4</v>
      </c>
      <c r="E52" s="3">
        <v>3</v>
      </c>
      <c r="F52" s="3">
        <v>37.872999999999998</v>
      </c>
      <c r="G52" s="3">
        <v>1</v>
      </c>
      <c r="H52" s="3">
        <v>10.182</v>
      </c>
      <c r="I52" s="3">
        <v>27.387</v>
      </c>
      <c r="J52" s="3">
        <v>26.977</v>
      </c>
      <c r="K52" s="3" t="s">
        <v>81</v>
      </c>
      <c r="L52" s="3" t="s">
        <v>81</v>
      </c>
      <c r="M52" s="3" t="s">
        <v>81</v>
      </c>
      <c r="N52" s="3" t="s">
        <v>81</v>
      </c>
      <c r="O52" s="3" t="s">
        <v>81</v>
      </c>
      <c r="P52" s="3" t="s">
        <v>81</v>
      </c>
      <c r="Q52" s="3">
        <v>40</v>
      </c>
      <c r="R52" s="3">
        <v>1</v>
      </c>
      <c r="S52" s="3">
        <v>12.11</v>
      </c>
      <c r="T52" s="3">
        <v>29.257000000000001</v>
      </c>
      <c r="U52" s="3">
        <v>25.975999999999999</v>
      </c>
      <c r="V52" s="3" t="s">
        <v>81</v>
      </c>
      <c r="W52" s="3" t="s">
        <v>81</v>
      </c>
      <c r="X52" s="3" t="s">
        <v>81</v>
      </c>
      <c r="Y52" s="3" t="s">
        <v>81</v>
      </c>
      <c r="Z52" s="3" t="s">
        <v>81</v>
      </c>
      <c r="AA52" s="3" t="s">
        <v>81</v>
      </c>
      <c r="AB52" s="3">
        <v>39.573999999999998</v>
      </c>
      <c r="AC52" s="3">
        <v>1</v>
      </c>
      <c r="AD52" s="3">
        <v>9.8000000000000007</v>
      </c>
      <c r="AE52" s="3" t="s">
        <v>81</v>
      </c>
      <c r="AF52" s="3">
        <v>29.922000000000001</v>
      </c>
      <c r="AG52" s="3" t="s">
        <v>81</v>
      </c>
      <c r="AH52" s="3" t="s">
        <v>81</v>
      </c>
      <c r="AI52" s="3" t="s">
        <v>81</v>
      </c>
      <c r="AJ52" s="3" t="s">
        <v>81</v>
      </c>
      <c r="AK52" s="3" t="s">
        <v>81</v>
      </c>
      <c r="AL52" s="3" t="s">
        <v>81</v>
      </c>
      <c r="AM52" s="3" t="s">
        <v>81</v>
      </c>
      <c r="AN52" s="3" t="s">
        <v>81</v>
      </c>
      <c r="AO52" s="3" t="s">
        <v>81</v>
      </c>
      <c r="AP52" s="3" t="s">
        <v>81</v>
      </c>
      <c r="AQ52" s="3" t="s">
        <v>81</v>
      </c>
      <c r="AR52" s="3" t="s">
        <v>81</v>
      </c>
      <c r="AS52" s="3" t="s">
        <v>81</v>
      </c>
      <c r="AT52" s="3" t="s">
        <v>81</v>
      </c>
      <c r="AU52" s="3" t="s">
        <v>81</v>
      </c>
      <c r="AV52" s="3" t="s">
        <v>81</v>
      </c>
      <c r="AW52" s="3" t="s">
        <v>81</v>
      </c>
      <c r="AX52" s="3" t="s">
        <v>81</v>
      </c>
      <c r="AY52" s="3" t="s">
        <v>81</v>
      </c>
      <c r="AZ52" s="3" t="s">
        <v>81</v>
      </c>
      <c r="BA52" s="3" t="s">
        <v>81</v>
      </c>
      <c r="BB52" s="3" t="s">
        <v>81</v>
      </c>
      <c r="BC52" s="3" t="s">
        <v>81</v>
      </c>
      <c r="BD52" s="3" t="s">
        <v>81</v>
      </c>
      <c r="BE52" s="3" t="s">
        <v>81</v>
      </c>
      <c r="BF52" s="3" t="s">
        <v>81</v>
      </c>
      <c r="BG52" s="3" t="s">
        <v>81</v>
      </c>
      <c r="BH52" s="3" t="s">
        <v>81</v>
      </c>
      <c r="BI52" s="3" t="s">
        <v>84</v>
      </c>
      <c r="BJ52" s="3" t="s">
        <v>82</v>
      </c>
      <c r="BK52" s="3" t="s">
        <v>83</v>
      </c>
      <c r="BL52" s="3" t="s">
        <v>84</v>
      </c>
      <c r="BM52" s="3" t="s">
        <v>84</v>
      </c>
      <c r="BN52" s="3" t="s">
        <v>82</v>
      </c>
      <c r="BO52" s="3" t="s">
        <v>82</v>
      </c>
      <c r="BP52" s="3" t="s">
        <v>137</v>
      </c>
      <c r="BQ52" s="3" t="s">
        <v>137</v>
      </c>
      <c r="BR52" s="3" t="s">
        <v>138</v>
      </c>
      <c r="BS52" s="3" t="s">
        <v>138</v>
      </c>
      <c r="BT52" s="3" t="s">
        <v>106</v>
      </c>
      <c r="BU52" s="3" t="s">
        <v>98</v>
      </c>
      <c r="BV52" s="3" t="s">
        <v>84</v>
      </c>
      <c r="BW52" s="3" t="s">
        <v>83</v>
      </c>
      <c r="BX52" s="3" t="s">
        <v>84</v>
      </c>
      <c r="BY52" s="3" t="s">
        <v>139</v>
      </c>
      <c r="BZ52" s="3" t="s">
        <v>86</v>
      </c>
      <c r="CD52" s="3" t="s">
        <v>83</v>
      </c>
    </row>
    <row r="53" spans="1:87" x14ac:dyDescent="0.15">
      <c r="A53" s="3">
        <v>1228381036</v>
      </c>
      <c r="B53" s="3" t="s">
        <v>446</v>
      </c>
      <c r="C53" s="3" t="s">
        <v>446</v>
      </c>
      <c r="D53" s="3">
        <v>7</v>
      </c>
      <c r="E53" s="3">
        <v>8</v>
      </c>
      <c r="F53" s="3">
        <v>18.841000000000001</v>
      </c>
      <c r="G53" s="3">
        <v>0</v>
      </c>
      <c r="H53" s="3" t="s">
        <v>81</v>
      </c>
      <c r="I53" s="3" t="s">
        <v>81</v>
      </c>
      <c r="J53" s="3" t="s">
        <v>81</v>
      </c>
      <c r="K53" s="3" t="s">
        <v>81</v>
      </c>
      <c r="L53" s="3" t="s">
        <v>81</v>
      </c>
      <c r="M53" s="3" t="s">
        <v>81</v>
      </c>
      <c r="N53" s="3" t="s">
        <v>81</v>
      </c>
      <c r="O53" s="3" t="s">
        <v>81</v>
      </c>
      <c r="P53" s="3" t="s">
        <v>81</v>
      </c>
      <c r="Q53" s="3">
        <v>15.670999999999999</v>
      </c>
      <c r="R53" s="3">
        <v>0</v>
      </c>
      <c r="S53" s="3" t="s">
        <v>81</v>
      </c>
      <c r="T53" s="3" t="s">
        <v>81</v>
      </c>
      <c r="U53" s="3" t="s">
        <v>81</v>
      </c>
      <c r="V53" s="3" t="s">
        <v>81</v>
      </c>
      <c r="W53" s="3" t="s">
        <v>81</v>
      </c>
      <c r="X53" s="3" t="s">
        <v>81</v>
      </c>
      <c r="Y53" s="3" t="s">
        <v>81</v>
      </c>
      <c r="Z53" s="3" t="s">
        <v>81</v>
      </c>
      <c r="AA53" s="3" t="s">
        <v>81</v>
      </c>
      <c r="AB53" s="3">
        <v>14.722</v>
      </c>
      <c r="AC53" s="3">
        <v>0</v>
      </c>
      <c r="AD53" s="3" t="s">
        <v>81</v>
      </c>
      <c r="AE53" s="3" t="s">
        <v>81</v>
      </c>
      <c r="AF53" s="3" t="s">
        <v>81</v>
      </c>
      <c r="AG53" s="3" t="s">
        <v>81</v>
      </c>
      <c r="AH53" s="3" t="s">
        <v>81</v>
      </c>
      <c r="AI53" s="3" t="s">
        <v>81</v>
      </c>
      <c r="AJ53" s="3" t="s">
        <v>81</v>
      </c>
      <c r="AK53" s="3" t="s">
        <v>81</v>
      </c>
      <c r="AL53" s="3" t="s">
        <v>81</v>
      </c>
      <c r="AM53" s="3">
        <v>14.324999999999999</v>
      </c>
      <c r="AN53" s="3">
        <v>0</v>
      </c>
      <c r="AO53" s="3" t="s">
        <v>81</v>
      </c>
      <c r="AP53" s="3" t="s">
        <v>81</v>
      </c>
      <c r="AQ53" s="3" t="s">
        <v>81</v>
      </c>
      <c r="AR53" s="3" t="s">
        <v>81</v>
      </c>
      <c r="AS53" s="3" t="s">
        <v>81</v>
      </c>
      <c r="AT53" s="3" t="s">
        <v>81</v>
      </c>
      <c r="AU53" s="3" t="s">
        <v>81</v>
      </c>
      <c r="AV53" s="3" t="s">
        <v>81</v>
      </c>
      <c r="AW53" s="3" t="s">
        <v>81</v>
      </c>
      <c r="AX53" s="3">
        <v>14.922000000000001</v>
      </c>
      <c r="AY53" s="3">
        <v>0</v>
      </c>
      <c r="AZ53" s="3" t="s">
        <v>81</v>
      </c>
      <c r="BA53" s="3" t="s">
        <v>81</v>
      </c>
      <c r="BB53" s="3" t="s">
        <v>81</v>
      </c>
      <c r="BC53" s="3" t="s">
        <v>81</v>
      </c>
      <c r="BD53" s="3" t="s">
        <v>81</v>
      </c>
      <c r="BE53" s="3" t="s">
        <v>81</v>
      </c>
      <c r="BF53" s="3" t="s">
        <v>81</v>
      </c>
      <c r="BG53" s="3" t="s">
        <v>81</v>
      </c>
      <c r="BH53" s="3" t="s">
        <v>81</v>
      </c>
      <c r="BI53" s="3" t="s">
        <v>84</v>
      </c>
      <c r="BJ53" s="3" t="s">
        <v>84</v>
      </c>
      <c r="BK53" s="3" t="s">
        <v>82</v>
      </c>
      <c r="BL53" s="3" t="s">
        <v>84</v>
      </c>
      <c r="BM53" s="3" t="s">
        <v>84</v>
      </c>
      <c r="BN53" s="3" t="s">
        <v>82</v>
      </c>
      <c r="BO53" s="3" t="s">
        <v>84</v>
      </c>
      <c r="BP53" s="3" t="s">
        <v>447</v>
      </c>
      <c r="BQ53" s="3" t="s">
        <v>447</v>
      </c>
      <c r="BR53" s="3" t="s">
        <v>448</v>
      </c>
      <c r="BS53" s="3" t="s">
        <v>448</v>
      </c>
      <c r="BT53" s="3" t="s">
        <v>87</v>
      </c>
      <c r="BU53" s="3" t="s">
        <v>98</v>
      </c>
      <c r="BV53" s="3" t="s">
        <v>84</v>
      </c>
      <c r="BW53" s="3" t="s">
        <v>83</v>
      </c>
      <c r="BX53" s="3" t="s">
        <v>82</v>
      </c>
      <c r="BY53" s="3"/>
      <c r="BZ53" s="3" t="s">
        <v>93</v>
      </c>
      <c r="CA53" s="3"/>
      <c r="CB53" s="3" t="s">
        <v>84</v>
      </c>
      <c r="CC53" s="3"/>
      <c r="CD53" s="3"/>
      <c r="CE53" s="3"/>
      <c r="CF53" s="3"/>
      <c r="CG53" s="3"/>
      <c r="CH53" s="3"/>
      <c r="CI53" s="3"/>
    </row>
    <row r="54" spans="1:87" x14ac:dyDescent="0.15">
      <c r="A54" s="3">
        <v>1228606915</v>
      </c>
      <c r="B54" s="3" t="s">
        <v>446</v>
      </c>
      <c r="C54" s="3" t="s">
        <v>446</v>
      </c>
      <c r="D54" s="3">
        <v>4</v>
      </c>
      <c r="E54" s="3">
        <v>4</v>
      </c>
      <c r="F54" s="3">
        <v>18</v>
      </c>
      <c r="G54" s="3">
        <v>1</v>
      </c>
      <c r="H54" s="3">
        <v>8.5139999999999993</v>
      </c>
      <c r="I54" s="3">
        <v>7.2169999999999996</v>
      </c>
      <c r="J54" s="3">
        <v>8.7620000000000005</v>
      </c>
      <c r="K54" s="3" t="s">
        <v>81</v>
      </c>
      <c r="L54" s="3" t="s">
        <v>81</v>
      </c>
      <c r="M54" s="3" t="s">
        <v>81</v>
      </c>
      <c r="N54" s="3" t="s">
        <v>81</v>
      </c>
      <c r="O54" s="3" t="s">
        <v>81</v>
      </c>
      <c r="P54" s="3" t="s">
        <v>81</v>
      </c>
      <c r="Q54" s="3">
        <v>21.126999999999999</v>
      </c>
      <c r="R54" s="3">
        <v>1</v>
      </c>
      <c r="S54" s="3">
        <v>12.022</v>
      </c>
      <c r="T54" s="3">
        <v>8.6519999999999992</v>
      </c>
      <c r="U54" s="3">
        <v>7.976</v>
      </c>
      <c r="V54" s="3" t="s">
        <v>81</v>
      </c>
      <c r="W54" s="3" t="s">
        <v>81</v>
      </c>
      <c r="X54" s="3" t="s">
        <v>81</v>
      </c>
      <c r="Y54" s="3" t="s">
        <v>81</v>
      </c>
      <c r="Z54" s="3" t="s">
        <v>81</v>
      </c>
      <c r="AA54" s="3" t="s">
        <v>81</v>
      </c>
      <c r="AB54" s="3">
        <v>15.209</v>
      </c>
      <c r="AC54" s="3">
        <v>1</v>
      </c>
      <c r="AD54" s="3">
        <v>11.833</v>
      </c>
      <c r="AE54" s="3">
        <v>6.923</v>
      </c>
      <c r="AF54" s="3" t="s">
        <v>81</v>
      </c>
      <c r="AG54" s="3" t="s">
        <v>81</v>
      </c>
      <c r="AH54" s="3" t="s">
        <v>81</v>
      </c>
      <c r="AI54" s="3" t="s">
        <v>81</v>
      </c>
      <c r="AJ54" s="3" t="s">
        <v>81</v>
      </c>
      <c r="AK54" s="3" t="s">
        <v>81</v>
      </c>
      <c r="AL54" s="3" t="s">
        <v>81</v>
      </c>
      <c r="AM54" s="3">
        <v>19.748000000000001</v>
      </c>
      <c r="AN54" s="3">
        <v>1</v>
      </c>
      <c r="AO54" s="3">
        <v>10.724</v>
      </c>
      <c r="AP54" s="3">
        <v>7.9329999999999998</v>
      </c>
      <c r="AQ54" s="3">
        <v>9.6039999999999992</v>
      </c>
      <c r="AR54" s="3" t="s">
        <v>81</v>
      </c>
      <c r="AS54" s="3" t="s">
        <v>81</v>
      </c>
      <c r="AT54" s="3" t="s">
        <v>81</v>
      </c>
      <c r="AU54" s="3" t="s">
        <v>81</v>
      </c>
      <c r="AV54" s="3" t="s">
        <v>81</v>
      </c>
      <c r="AW54" s="3" t="s">
        <v>81</v>
      </c>
      <c r="AX54" s="3" t="s">
        <v>81</v>
      </c>
      <c r="AY54" s="3" t="s">
        <v>81</v>
      </c>
      <c r="AZ54" s="3" t="s">
        <v>81</v>
      </c>
      <c r="BA54" s="3" t="s">
        <v>81</v>
      </c>
      <c r="BB54" s="3" t="s">
        <v>81</v>
      </c>
      <c r="BC54" s="3" t="s">
        <v>81</v>
      </c>
      <c r="BD54" s="3" t="s">
        <v>81</v>
      </c>
      <c r="BE54" s="3" t="s">
        <v>81</v>
      </c>
      <c r="BF54" s="3" t="s">
        <v>81</v>
      </c>
      <c r="BG54" s="3" t="s">
        <v>81</v>
      </c>
      <c r="BH54" s="3" t="s">
        <v>81</v>
      </c>
      <c r="BI54" s="3" t="s">
        <v>84</v>
      </c>
      <c r="BJ54" s="3" t="s">
        <v>82</v>
      </c>
      <c r="BK54" s="3" t="s">
        <v>83</v>
      </c>
      <c r="BL54" s="3" t="s">
        <v>84</v>
      </c>
      <c r="BM54" s="3" t="s">
        <v>84</v>
      </c>
      <c r="BN54" s="3" t="s">
        <v>82</v>
      </c>
      <c r="BO54" s="3" t="s">
        <v>82</v>
      </c>
      <c r="BP54" s="3" t="s">
        <v>87</v>
      </c>
      <c r="BQ54" s="3" t="s">
        <v>87</v>
      </c>
      <c r="BR54" s="3" t="s">
        <v>87</v>
      </c>
      <c r="BS54" s="3" t="s">
        <v>87</v>
      </c>
      <c r="BT54" s="3" t="s">
        <v>87</v>
      </c>
      <c r="BU54" s="3" t="s">
        <v>81</v>
      </c>
      <c r="BV54" s="3" t="s">
        <v>84</v>
      </c>
      <c r="BW54" s="3" t="s">
        <v>83</v>
      </c>
      <c r="BX54" s="3" t="s">
        <v>82</v>
      </c>
      <c r="BY54" s="3" t="s">
        <v>449</v>
      </c>
      <c r="BZ54" s="3" t="s">
        <v>93</v>
      </c>
      <c r="CB54" s="3" t="s">
        <v>84</v>
      </c>
    </row>
    <row r="55" spans="1:87" x14ac:dyDescent="0.15">
      <c r="A55" s="3">
        <v>1318214206</v>
      </c>
      <c r="B55" s="3" t="s">
        <v>446</v>
      </c>
      <c r="C55" s="3" t="s">
        <v>446</v>
      </c>
      <c r="D55" s="3" t="s">
        <v>81</v>
      </c>
      <c r="E55" s="3">
        <v>3</v>
      </c>
      <c r="F55" s="3">
        <v>6.5369999999999999</v>
      </c>
      <c r="G55" s="3">
        <v>2</v>
      </c>
      <c r="H55" s="3">
        <v>1.589</v>
      </c>
      <c r="I55" s="3">
        <v>12.375999999999999</v>
      </c>
      <c r="J55" s="3">
        <v>4.3140000000000001</v>
      </c>
      <c r="K55" s="3">
        <v>7.4950000000000001</v>
      </c>
      <c r="L55" s="3">
        <v>0.48799999999999999</v>
      </c>
      <c r="M55" s="3" t="s">
        <v>81</v>
      </c>
      <c r="N55" s="3" t="s">
        <v>81</v>
      </c>
      <c r="O55" s="3" t="s">
        <v>81</v>
      </c>
      <c r="P55" s="3" t="s">
        <v>81</v>
      </c>
      <c r="Q55" s="3">
        <v>6.7370000000000001</v>
      </c>
      <c r="R55" s="3">
        <v>2</v>
      </c>
      <c r="S55" s="3">
        <v>2.0139999999999998</v>
      </c>
      <c r="T55" s="3">
        <v>12.792</v>
      </c>
      <c r="U55" s="3">
        <v>3.375</v>
      </c>
      <c r="V55" s="3">
        <v>9.2379999999999995</v>
      </c>
      <c r="W55" s="3">
        <v>0.85</v>
      </c>
      <c r="X55" s="3" t="s">
        <v>81</v>
      </c>
      <c r="Y55" s="3" t="s">
        <v>81</v>
      </c>
      <c r="Z55" s="3" t="s">
        <v>81</v>
      </c>
      <c r="AA55" s="3" t="s">
        <v>81</v>
      </c>
      <c r="AB55" s="3" t="s">
        <v>81</v>
      </c>
      <c r="AC55" s="3" t="s">
        <v>81</v>
      </c>
      <c r="AD55" s="3" t="s">
        <v>81</v>
      </c>
      <c r="AE55" s="3" t="s">
        <v>81</v>
      </c>
      <c r="AF55" s="3" t="s">
        <v>81</v>
      </c>
      <c r="AG55" s="3" t="s">
        <v>81</v>
      </c>
      <c r="AH55" s="3" t="s">
        <v>81</v>
      </c>
      <c r="AI55" s="3" t="s">
        <v>81</v>
      </c>
      <c r="AJ55" s="3" t="s">
        <v>81</v>
      </c>
      <c r="AK55" s="3" t="s">
        <v>81</v>
      </c>
      <c r="AL55" s="3" t="s">
        <v>81</v>
      </c>
      <c r="AM55" s="3" t="s">
        <v>81</v>
      </c>
      <c r="AN55" s="3" t="s">
        <v>81</v>
      </c>
      <c r="AO55" s="3" t="s">
        <v>81</v>
      </c>
      <c r="AP55" s="3" t="s">
        <v>81</v>
      </c>
      <c r="AQ55" s="3" t="s">
        <v>81</v>
      </c>
      <c r="AR55" s="3" t="s">
        <v>81</v>
      </c>
      <c r="AS55" s="3" t="s">
        <v>81</v>
      </c>
      <c r="AT55" s="3" t="s">
        <v>81</v>
      </c>
      <c r="AU55" s="3" t="s">
        <v>81</v>
      </c>
      <c r="AV55" s="3" t="s">
        <v>81</v>
      </c>
      <c r="AW55" s="3" t="s">
        <v>81</v>
      </c>
      <c r="AX55" s="3" t="s">
        <v>81</v>
      </c>
      <c r="AY55" s="3" t="s">
        <v>81</v>
      </c>
      <c r="AZ55" s="3" t="s">
        <v>81</v>
      </c>
      <c r="BA55" s="3" t="s">
        <v>81</v>
      </c>
      <c r="BB55" s="3" t="s">
        <v>81</v>
      </c>
      <c r="BC55" s="3" t="s">
        <v>81</v>
      </c>
      <c r="BD55" s="3" t="s">
        <v>81</v>
      </c>
      <c r="BE55" s="3" t="s">
        <v>81</v>
      </c>
      <c r="BF55" s="3" t="s">
        <v>81</v>
      </c>
      <c r="BG55" s="3" t="s">
        <v>81</v>
      </c>
      <c r="BH55" s="3" t="s">
        <v>81</v>
      </c>
      <c r="BI55" s="3" t="s">
        <v>84</v>
      </c>
      <c r="BJ55" s="3" t="s">
        <v>84</v>
      </c>
      <c r="BK55" s="3" t="s">
        <v>82</v>
      </c>
      <c r="BL55" s="3" t="s">
        <v>84</v>
      </c>
      <c r="BM55" s="3" t="s">
        <v>84</v>
      </c>
      <c r="BN55" s="3" t="s">
        <v>82</v>
      </c>
      <c r="BO55" s="3" t="s">
        <v>84</v>
      </c>
      <c r="BP55" s="3" t="s">
        <v>447</v>
      </c>
      <c r="BQ55" s="3" t="s">
        <v>447</v>
      </c>
      <c r="BR55" s="3" t="s">
        <v>450</v>
      </c>
      <c r="BS55" s="3" t="s">
        <v>451</v>
      </c>
      <c r="BT55" s="3" t="s">
        <v>106</v>
      </c>
      <c r="BU55" s="3" t="s">
        <v>98</v>
      </c>
      <c r="BV55" s="3" t="s">
        <v>84</v>
      </c>
      <c r="BW55" s="3" t="s">
        <v>83</v>
      </c>
      <c r="BX55" s="3" t="s">
        <v>82</v>
      </c>
      <c r="BY55" s="3" t="s">
        <v>452</v>
      </c>
      <c r="BZ55" s="3" t="s">
        <v>86</v>
      </c>
      <c r="CB55" s="3" t="s">
        <v>84</v>
      </c>
    </row>
    <row r="56" spans="1:87" x14ac:dyDescent="0.15">
      <c r="A56" s="3">
        <v>1847938673</v>
      </c>
      <c r="B56" s="3" t="s">
        <v>323</v>
      </c>
      <c r="C56" s="3" t="s">
        <v>323</v>
      </c>
      <c r="D56" s="3">
        <v>10</v>
      </c>
      <c r="E56" s="3">
        <v>12</v>
      </c>
      <c r="F56" s="3">
        <v>20.149000000000001</v>
      </c>
      <c r="G56" s="3">
        <v>0</v>
      </c>
      <c r="H56" s="3" t="s">
        <v>81</v>
      </c>
      <c r="I56" s="3" t="s">
        <v>81</v>
      </c>
      <c r="J56" s="3" t="s">
        <v>81</v>
      </c>
      <c r="K56" s="3" t="s">
        <v>81</v>
      </c>
      <c r="L56" s="3" t="s">
        <v>81</v>
      </c>
      <c r="M56" s="3" t="s">
        <v>81</v>
      </c>
      <c r="N56" s="3" t="s">
        <v>81</v>
      </c>
      <c r="O56" s="3" t="s">
        <v>81</v>
      </c>
      <c r="P56" s="3" t="s">
        <v>81</v>
      </c>
      <c r="Q56" s="3">
        <v>22.823</v>
      </c>
      <c r="R56" s="3">
        <v>0</v>
      </c>
      <c r="S56" s="3" t="s">
        <v>81</v>
      </c>
      <c r="T56" s="3" t="s">
        <v>81</v>
      </c>
      <c r="U56" s="3" t="s">
        <v>81</v>
      </c>
      <c r="V56" s="3" t="s">
        <v>81</v>
      </c>
      <c r="W56" s="3" t="s">
        <v>81</v>
      </c>
      <c r="X56" s="3" t="s">
        <v>81</v>
      </c>
      <c r="Y56" s="3" t="s">
        <v>81</v>
      </c>
      <c r="Z56" s="3" t="s">
        <v>81</v>
      </c>
      <c r="AA56" s="3" t="s">
        <v>81</v>
      </c>
      <c r="AB56" s="3">
        <v>21.58</v>
      </c>
      <c r="AC56" s="3">
        <v>0</v>
      </c>
      <c r="AD56" s="3" t="s">
        <v>81</v>
      </c>
      <c r="AE56" s="3" t="s">
        <v>81</v>
      </c>
      <c r="AF56" s="3" t="s">
        <v>81</v>
      </c>
      <c r="AG56" s="3" t="s">
        <v>81</v>
      </c>
      <c r="AH56" s="3" t="s">
        <v>81</v>
      </c>
      <c r="AI56" s="3" t="s">
        <v>81</v>
      </c>
      <c r="AJ56" s="3" t="s">
        <v>81</v>
      </c>
      <c r="AK56" s="3" t="s">
        <v>81</v>
      </c>
      <c r="AL56" s="3" t="s">
        <v>81</v>
      </c>
      <c r="AM56" s="3">
        <v>21.742999999999999</v>
      </c>
      <c r="AN56" s="3">
        <v>0</v>
      </c>
      <c r="AO56" s="3" t="s">
        <v>81</v>
      </c>
      <c r="AP56" s="3" t="s">
        <v>81</v>
      </c>
      <c r="AQ56" s="3" t="s">
        <v>81</v>
      </c>
      <c r="AR56" s="3" t="s">
        <v>81</v>
      </c>
      <c r="AS56" s="3" t="s">
        <v>81</v>
      </c>
      <c r="AT56" s="3" t="s">
        <v>81</v>
      </c>
      <c r="AU56" s="3" t="s">
        <v>81</v>
      </c>
      <c r="AV56" s="3" t="s">
        <v>81</v>
      </c>
      <c r="AW56" s="3" t="s">
        <v>81</v>
      </c>
      <c r="AX56" s="3" t="s">
        <v>81</v>
      </c>
      <c r="AY56" s="3">
        <v>0</v>
      </c>
      <c r="AZ56" s="3" t="s">
        <v>81</v>
      </c>
      <c r="BA56" s="3" t="s">
        <v>81</v>
      </c>
      <c r="BB56" s="3" t="s">
        <v>81</v>
      </c>
      <c r="BC56" s="3" t="s">
        <v>81</v>
      </c>
      <c r="BD56" s="3" t="s">
        <v>81</v>
      </c>
      <c r="BE56" s="3" t="s">
        <v>81</v>
      </c>
      <c r="BF56" s="3" t="s">
        <v>81</v>
      </c>
      <c r="BG56" s="3" t="s">
        <v>81</v>
      </c>
      <c r="BH56" s="3" t="s">
        <v>81</v>
      </c>
      <c r="BI56" s="3" t="s">
        <v>84</v>
      </c>
      <c r="BJ56" s="3" t="s">
        <v>82</v>
      </c>
      <c r="BK56" s="3" t="s">
        <v>83</v>
      </c>
      <c r="BL56" s="3" t="s">
        <v>84</v>
      </c>
      <c r="BM56" s="3" t="s">
        <v>84</v>
      </c>
      <c r="BN56" s="3" t="s">
        <v>84</v>
      </c>
      <c r="BO56" s="3" t="s">
        <v>84</v>
      </c>
      <c r="BP56" s="3" t="s">
        <v>87</v>
      </c>
      <c r="BQ56" s="3" t="s">
        <v>87</v>
      </c>
      <c r="BR56" s="3" t="s">
        <v>87</v>
      </c>
      <c r="BS56" s="3" t="s">
        <v>87</v>
      </c>
      <c r="BT56" s="3" t="s">
        <v>87</v>
      </c>
      <c r="BU56" s="3" t="s">
        <v>81</v>
      </c>
      <c r="BV56" s="3" t="s">
        <v>82</v>
      </c>
      <c r="BW56" s="3" t="s">
        <v>111</v>
      </c>
      <c r="BX56" s="3" t="s">
        <v>82</v>
      </c>
      <c r="BY56" s="3" t="s">
        <v>324</v>
      </c>
      <c r="BZ56" s="3" t="s">
        <v>93</v>
      </c>
      <c r="CA56" s="3" t="s">
        <v>103</v>
      </c>
      <c r="CB56" s="3" t="s">
        <v>84</v>
      </c>
      <c r="CC56" s="3"/>
      <c r="CD56" s="3"/>
      <c r="CE56" s="3"/>
      <c r="CF56" s="3"/>
      <c r="CG56" s="3"/>
      <c r="CH56" s="3"/>
      <c r="CI56" s="3"/>
    </row>
    <row r="57" spans="1:87" ht="15.75" customHeight="1" x14ac:dyDescent="0.15">
      <c r="A57" s="3">
        <v>1228384138</v>
      </c>
      <c r="B57" s="3" t="s">
        <v>101</v>
      </c>
      <c r="C57" s="3" t="s">
        <v>101</v>
      </c>
      <c r="D57" s="3" t="s">
        <v>81</v>
      </c>
      <c r="E57" s="3">
        <v>8</v>
      </c>
      <c r="F57" s="3">
        <v>8.2949999999999999</v>
      </c>
      <c r="G57" s="3">
        <v>0</v>
      </c>
      <c r="H57" s="3" t="s">
        <v>81</v>
      </c>
      <c r="I57" s="3" t="s">
        <v>81</v>
      </c>
      <c r="J57" s="3" t="s">
        <v>81</v>
      </c>
      <c r="K57" s="3" t="s">
        <v>81</v>
      </c>
      <c r="L57" s="3" t="s">
        <v>81</v>
      </c>
      <c r="M57" s="3" t="s">
        <v>81</v>
      </c>
      <c r="N57" s="3" t="s">
        <v>81</v>
      </c>
      <c r="O57" s="3" t="s">
        <v>81</v>
      </c>
      <c r="P57" s="3" t="s">
        <v>81</v>
      </c>
      <c r="Q57" s="3">
        <v>8.9830000000000005</v>
      </c>
      <c r="R57" s="3">
        <v>0</v>
      </c>
      <c r="S57" s="3" t="s">
        <v>81</v>
      </c>
      <c r="T57" s="3" t="s">
        <v>81</v>
      </c>
      <c r="U57" s="3" t="s">
        <v>81</v>
      </c>
      <c r="V57" s="3" t="s">
        <v>81</v>
      </c>
      <c r="W57" s="3" t="s">
        <v>81</v>
      </c>
      <c r="X57" s="3" t="s">
        <v>81</v>
      </c>
      <c r="Y57" s="3" t="s">
        <v>81</v>
      </c>
      <c r="Z57" s="3" t="s">
        <v>81</v>
      </c>
      <c r="AA57" s="3" t="s">
        <v>81</v>
      </c>
      <c r="AB57" s="3">
        <v>7.0430000000000001</v>
      </c>
      <c r="AC57" s="3">
        <v>0</v>
      </c>
      <c r="AD57" s="3" t="s">
        <v>81</v>
      </c>
      <c r="AE57" s="3" t="s">
        <v>81</v>
      </c>
      <c r="AF57" s="3" t="s">
        <v>81</v>
      </c>
      <c r="AG57" s="3" t="s">
        <v>81</v>
      </c>
      <c r="AH57" s="3" t="s">
        <v>81</v>
      </c>
      <c r="AI57" s="3" t="s">
        <v>81</v>
      </c>
      <c r="AJ57" s="3" t="s">
        <v>81</v>
      </c>
      <c r="AK57" s="3" t="s">
        <v>81</v>
      </c>
      <c r="AL57" s="3" t="s">
        <v>81</v>
      </c>
      <c r="AM57" s="3" t="s">
        <v>81</v>
      </c>
      <c r="AN57" s="3" t="s">
        <v>81</v>
      </c>
      <c r="AO57" s="3" t="s">
        <v>81</v>
      </c>
      <c r="AP57" s="3" t="s">
        <v>81</v>
      </c>
      <c r="AQ57" s="3" t="s">
        <v>81</v>
      </c>
      <c r="AR57" s="3" t="s">
        <v>81</v>
      </c>
      <c r="AS57" s="3" t="s">
        <v>81</v>
      </c>
      <c r="AT57" s="3" t="s">
        <v>81</v>
      </c>
      <c r="AU57" s="3" t="s">
        <v>81</v>
      </c>
      <c r="AV57" s="3" t="s">
        <v>81</v>
      </c>
      <c r="AW57" s="3" t="s">
        <v>81</v>
      </c>
      <c r="AX57" s="3" t="s">
        <v>81</v>
      </c>
      <c r="AY57" s="3" t="s">
        <v>81</v>
      </c>
      <c r="AZ57" s="3" t="s">
        <v>81</v>
      </c>
      <c r="BA57" s="3" t="s">
        <v>81</v>
      </c>
      <c r="BB57" s="3" t="s">
        <v>81</v>
      </c>
      <c r="BC57" s="3" t="s">
        <v>81</v>
      </c>
      <c r="BD57" s="3" t="s">
        <v>81</v>
      </c>
      <c r="BE57" s="3" t="s">
        <v>81</v>
      </c>
      <c r="BF57" s="3" t="s">
        <v>81</v>
      </c>
      <c r="BG57" s="3" t="s">
        <v>81</v>
      </c>
      <c r="BH57" s="3" t="s">
        <v>81</v>
      </c>
      <c r="BI57" s="3" t="s">
        <v>82</v>
      </c>
      <c r="BJ57" s="3" t="s">
        <v>82</v>
      </c>
      <c r="BK57" s="3" t="s">
        <v>83</v>
      </c>
      <c r="BL57" s="3" t="s">
        <v>84</v>
      </c>
      <c r="BM57" s="3" t="s">
        <v>84</v>
      </c>
      <c r="BN57" s="3" t="s">
        <v>84</v>
      </c>
      <c r="BO57" s="3" t="s">
        <v>82</v>
      </c>
      <c r="BP57" s="3" t="s">
        <v>87</v>
      </c>
      <c r="BQ57" s="3" t="s">
        <v>87</v>
      </c>
      <c r="BR57" s="3" t="s">
        <v>87</v>
      </c>
      <c r="BS57" s="3" t="s">
        <v>87</v>
      </c>
      <c r="BT57" s="3" t="s">
        <v>87</v>
      </c>
      <c r="BU57" s="3" t="s">
        <v>81</v>
      </c>
      <c r="BV57" s="3" t="s">
        <v>84</v>
      </c>
      <c r="BW57" s="3" t="s">
        <v>83</v>
      </c>
      <c r="BX57" s="3" t="s">
        <v>82</v>
      </c>
      <c r="BY57" s="3" t="s">
        <v>102</v>
      </c>
      <c r="BZ57" s="3" t="s">
        <v>93</v>
      </c>
      <c r="CA57" s="3" t="s">
        <v>103</v>
      </c>
      <c r="CB57" s="3" t="s">
        <v>84</v>
      </c>
      <c r="CC57" s="3"/>
      <c r="CD57" s="3" t="s">
        <v>83</v>
      </c>
      <c r="CE57" s="3" t="s">
        <v>531</v>
      </c>
      <c r="CF57" s="3"/>
      <c r="CG57" s="3"/>
      <c r="CH57" s="3"/>
      <c r="CI57" s="3"/>
    </row>
    <row r="58" spans="1:87" x14ac:dyDescent="0.15">
      <c r="A58" s="3">
        <v>1847938312</v>
      </c>
      <c r="B58" s="3" t="s">
        <v>235</v>
      </c>
      <c r="C58" s="3" t="s">
        <v>235</v>
      </c>
      <c r="D58" s="3" t="s">
        <v>81</v>
      </c>
      <c r="E58" s="3">
        <v>7</v>
      </c>
      <c r="F58" s="3" t="s">
        <v>81</v>
      </c>
      <c r="G58" s="3">
        <v>3</v>
      </c>
      <c r="H58" s="3">
        <v>182.535</v>
      </c>
      <c r="I58" s="3">
        <v>59.835999999999999</v>
      </c>
      <c r="J58" s="3">
        <v>87.554000000000002</v>
      </c>
      <c r="K58" s="3">
        <v>46.447000000000003</v>
      </c>
      <c r="L58" s="3">
        <v>39.197000000000003</v>
      </c>
      <c r="M58" s="3">
        <v>31.788</v>
      </c>
      <c r="N58" s="3" t="s">
        <v>81</v>
      </c>
      <c r="O58" s="3" t="s">
        <v>81</v>
      </c>
      <c r="P58" s="3" t="s">
        <v>81</v>
      </c>
      <c r="Q58" s="3">
        <v>268.20699999999999</v>
      </c>
      <c r="R58" s="3">
        <v>2</v>
      </c>
      <c r="S58" s="3">
        <v>178.05600000000001</v>
      </c>
      <c r="T58" s="3">
        <v>59.067</v>
      </c>
      <c r="U58" s="3">
        <v>85.135999999999996</v>
      </c>
      <c r="V58" s="3">
        <v>52.247</v>
      </c>
      <c r="W58" s="3">
        <v>2.1419999999999999</v>
      </c>
      <c r="X58" s="3" t="s">
        <v>81</v>
      </c>
      <c r="Y58" s="3" t="s">
        <v>81</v>
      </c>
      <c r="Z58" s="3" t="s">
        <v>81</v>
      </c>
      <c r="AA58" s="3" t="s">
        <v>81</v>
      </c>
      <c r="AB58" s="3">
        <v>314.45800000000003</v>
      </c>
      <c r="AC58" s="3">
        <v>3</v>
      </c>
      <c r="AD58" s="3">
        <v>181.06399999999999</v>
      </c>
      <c r="AE58" s="3" t="s">
        <v>81</v>
      </c>
      <c r="AF58" s="3">
        <v>86.688000000000002</v>
      </c>
      <c r="AG58" s="3">
        <v>62.91</v>
      </c>
      <c r="AH58" s="3">
        <v>44.975999999999999</v>
      </c>
      <c r="AI58" s="3">
        <v>29.766999999999999</v>
      </c>
      <c r="AJ58" s="3">
        <v>5.4850000000000003</v>
      </c>
      <c r="AK58" s="3" t="s">
        <v>81</v>
      </c>
      <c r="AL58" s="3" t="s">
        <v>81</v>
      </c>
      <c r="AM58" s="3">
        <v>352.48399999999998</v>
      </c>
      <c r="AN58" s="3">
        <v>3</v>
      </c>
      <c r="AO58" s="3">
        <v>190.57300000000001</v>
      </c>
      <c r="AP58" s="3" t="s">
        <v>81</v>
      </c>
      <c r="AQ58" s="3">
        <v>88.938999999999993</v>
      </c>
      <c r="AR58" s="3" t="s">
        <v>81</v>
      </c>
      <c r="AS58" s="3">
        <v>46.761000000000003</v>
      </c>
      <c r="AT58" s="3">
        <v>41.697000000000003</v>
      </c>
      <c r="AU58" s="3">
        <v>21.122</v>
      </c>
      <c r="AV58" s="3" t="s">
        <v>81</v>
      </c>
      <c r="AW58" s="3" t="s">
        <v>81</v>
      </c>
      <c r="AX58" s="3" t="s">
        <v>81</v>
      </c>
      <c r="AY58" s="3" t="s">
        <v>81</v>
      </c>
      <c r="AZ58" s="3" t="s">
        <v>81</v>
      </c>
      <c r="BA58" s="3" t="s">
        <v>81</v>
      </c>
      <c r="BB58" s="3" t="s">
        <v>81</v>
      </c>
      <c r="BC58" s="3" t="s">
        <v>81</v>
      </c>
      <c r="BD58" s="3" t="s">
        <v>81</v>
      </c>
      <c r="BE58" s="3" t="s">
        <v>81</v>
      </c>
      <c r="BF58" s="3" t="s">
        <v>81</v>
      </c>
      <c r="BG58" s="3" t="s">
        <v>81</v>
      </c>
      <c r="BH58" s="3" t="s">
        <v>81</v>
      </c>
      <c r="BI58" s="3" t="s">
        <v>84</v>
      </c>
      <c r="BJ58" s="3" t="s">
        <v>84</v>
      </c>
      <c r="BK58" s="3" t="s">
        <v>82</v>
      </c>
      <c r="BL58" s="3" t="s">
        <v>84</v>
      </c>
      <c r="BM58" s="3" t="s">
        <v>84</v>
      </c>
      <c r="BN58" s="3" t="s">
        <v>82</v>
      </c>
      <c r="BO58" s="3" t="s">
        <v>84</v>
      </c>
      <c r="BP58" s="3" t="s">
        <v>133</v>
      </c>
      <c r="BQ58" s="3" t="s">
        <v>133</v>
      </c>
      <c r="BR58" s="3" t="s">
        <v>133</v>
      </c>
      <c r="BS58" s="3" t="s">
        <v>236</v>
      </c>
      <c r="BT58" s="3" t="s">
        <v>87</v>
      </c>
      <c r="BU58" s="3" t="s">
        <v>129</v>
      </c>
      <c r="BV58" s="3" t="s">
        <v>82</v>
      </c>
      <c r="BW58" s="3" t="s">
        <v>111</v>
      </c>
      <c r="BX58" s="3" t="s">
        <v>82</v>
      </c>
      <c r="BY58" s="3" t="s">
        <v>237</v>
      </c>
      <c r="BZ58" s="3" t="s">
        <v>93</v>
      </c>
      <c r="CA58" s="3"/>
      <c r="CB58" s="3" t="s">
        <v>84</v>
      </c>
      <c r="CC58" s="3"/>
      <c r="CD58" s="3"/>
      <c r="CE58" s="3"/>
      <c r="CF58" s="3"/>
      <c r="CG58" s="3"/>
      <c r="CH58" s="3"/>
      <c r="CI58" s="3"/>
    </row>
    <row r="59" spans="1:87" x14ac:dyDescent="0.15">
      <c r="A59" s="3">
        <v>2625839930</v>
      </c>
      <c r="B59" s="3" t="s">
        <v>235</v>
      </c>
      <c r="C59" s="3" t="s">
        <v>235</v>
      </c>
      <c r="D59" s="3">
        <v>7</v>
      </c>
      <c r="E59" s="3">
        <v>12</v>
      </c>
      <c r="F59" s="3">
        <v>68.935000000000002</v>
      </c>
      <c r="G59" s="3">
        <v>2</v>
      </c>
      <c r="H59" s="3">
        <v>59.875999999999998</v>
      </c>
      <c r="I59" s="3">
        <v>31.952000000000002</v>
      </c>
      <c r="J59" s="3">
        <v>7.891</v>
      </c>
      <c r="K59" s="3">
        <v>12.821999999999999</v>
      </c>
      <c r="L59" s="3">
        <v>0.17699999999999999</v>
      </c>
      <c r="M59" s="3" t="s">
        <v>81</v>
      </c>
      <c r="N59" s="3" t="s">
        <v>81</v>
      </c>
      <c r="O59" s="3" t="s">
        <v>81</v>
      </c>
      <c r="P59" s="3" t="s">
        <v>81</v>
      </c>
      <c r="Q59" s="3">
        <v>65.468000000000004</v>
      </c>
      <c r="R59" s="3">
        <v>2</v>
      </c>
      <c r="S59" s="3">
        <v>51.585000000000001</v>
      </c>
      <c r="T59" s="3">
        <v>40.512</v>
      </c>
      <c r="U59" s="3">
        <v>13.124000000000001</v>
      </c>
      <c r="V59" s="3">
        <v>17.462</v>
      </c>
      <c r="W59" s="3">
        <v>0.314</v>
      </c>
      <c r="X59" s="3" t="s">
        <v>81</v>
      </c>
      <c r="Y59" s="3" t="s">
        <v>81</v>
      </c>
      <c r="Z59" s="3" t="s">
        <v>81</v>
      </c>
      <c r="AA59" s="3" t="s">
        <v>81</v>
      </c>
      <c r="AB59" s="3">
        <v>61.447000000000003</v>
      </c>
      <c r="AC59" s="3">
        <v>2</v>
      </c>
      <c r="AD59" s="3">
        <v>48.073</v>
      </c>
      <c r="AE59" s="3">
        <v>35.609000000000002</v>
      </c>
      <c r="AF59" s="3">
        <v>9.5549999999999997</v>
      </c>
      <c r="AG59" s="3">
        <v>15.38</v>
      </c>
      <c r="AH59" s="3">
        <v>0.81299999999999994</v>
      </c>
      <c r="AI59" s="3" t="s">
        <v>81</v>
      </c>
      <c r="AJ59" s="3" t="s">
        <v>81</v>
      </c>
      <c r="AK59" s="3" t="s">
        <v>81</v>
      </c>
      <c r="AL59" s="3" t="s">
        <v>81</v>
      </c>
      <c r="AM59" s="3">
        <v>63.39</v>
      </c>
      <c r="AN59" s="3">
        <v>2</v>
      </c>
      <c r="AO59" s="3">
        <v>54.01</v>
      </c>
      <c r="AP59" s="3">
        <v>34.911000000000001</v>
      </c>
      <c r="AQ59" s="3">
        <v>8.09</v>
      </c>
      <c r="AR59" s="3">
        <v>17.215</v>
      </c>
      <c r="AS59" s="3">
        <v>0.246</v>
      </c>
      <c r="AT59" s="3" t="s">
        <v>81</v>
      </c>
      <c r="AU59" s="3" t="s">
        <v>81</v>
      </c>
      <c r="AV59" s="3" t="s">
        <v>81</v>
      </c>
      <c r="AW59" s="3" t="s">
        <v>81</v>
      </c>
      <c r="AX59" s="3">
        <v>58.787999999999997</v>
      </c>
      <c r="AY59" s="3">
        <v>2</v>
      </c>
      <c r="AZ59" s="3">
        <v>49.255000000000003</v>
      </c>
      <c r="BA59" s="3">
        <v>32.470999999999997</v>
      </c>
      <c r="BB59" s="3">
        <v>7.9089999999999998</v>
      </c>
      <c r="BC59" s="3">
        <v>11.076000000000001</v>
      </c>
      <c r="BD59" s="3">
        <v>0.19700000000000001</v>
      </c>
      <c r="BE59" s="3" t="s">
        <v>81</v>
      </c>
      <c r="BF59" s="3" t="s">
        <v>81</v>
      </c>
      <c r="BG59" s="3" t="s">
        <v>81</v>
      </c>
      <c r="BH59" s="3" t="s">
        <v>81</v>
      </c>
      <c r="BI59" s="3" t="s">
        <v>84</v>
      </c>
      <c r="BJ59" s="3" t="s">
        <v>82</v>
      </c>
      <c r="BK59" s="3" t="s">
        <v>83</v>
      </c>
      <c r="BL59" s="3" t="s">
        <v>84</v>
      </c>
      <c r="BM59" s="3" t="s">
        <v>82</v>
      </c>
      <c r="BN59" s="3" t="s">
        <v>82</v>
      </c>
      <c r="BO59" s="3" t="s">
        <v>83</v>
      </c>
      <c r="BP59" s="3" t="s">
        <v>238</v>
      </c>
      <c r="BQ59" s="3" t="s">
        <v>238</v>
      </c>
      <c r="BR59" s="3" t="s">
        <v>238</v>
      </c>
      <c r="BS59" s="3" t="s">
        <v>238</v>
      </c>
      <c r="BT59" s="3" t="s">
        <v>87</v>
      </c>
      <c r="BU59" s="3" t="s">
        <v>129</v>
      </c>
      <c r="BV59" s="3" t="s">
        <v>83</v>
      </c>
      <c r="BW59" s="3" t="s">
        <v>83</v>
      </c>
      <c r="BX59" s="3" t="s">
        <v>83</v>
      </c>
      <c r="BZ59" s="3" t="s">
        <v>86</v>
      </c>
      <c r="CB59" s="3" t="s">
        <v>84</v>
      </c>
    </row>
    <row r="60" spans="1:87" x14ac:dyDescent="0.15">
      <c r="A60" s="3">
        <v>2643333808</v>
      </c>
      <c r="B60" s="3" t="s">
        <v>235</v>
      </c>
      <c r="C60" s="3" t="s">
        <v>235</v>
      </c>
      <c r="D60" s="3">
        <v>7</v>
      </c>
      <c r="E60" s="3">
        <v>10</v>
      </c>
      <c r="F60" s="3">
        <v>89.534000000000006</v>
      </c>
      <c r="G60" s="3">
        <v>2</v>
      </c>
      <c r="H60" s="3">
        <v>48.908000000000001</v>
      </c>
      <c r="I60" s="3">
        <v>19.497</v>
      </c>
      <c r="J60" s="3">
        <v>30.303000000000001</v>
      </c>
      <c r="K60" s="3">
        <v>10.632</v>
      </c>
      <c r="L60" s="3">
        <v>8.9160000000000004</v>
      </c>
      <c r="M60" s="3" t="s">
        <v>81</v>
      </c>
      <c r="N60" s="3" t="s">
        <v>81</v>
      </c>
      <c r="O60" s="3" t="s">
        <v>81</v>
      </c>
      <c r="P60" s="3" t="s">
        <v>81</v>
      </c>
      <c r="Q60" s="3">
        <v>97.421000000000006</v>
      </c>
      <c r="R60" s="3">
        <v>3</v>
      </c>
      <c r="S60" s="3">
        <v>49.704000000000001</v>
      </c>
      <c r="T60" s="3">
        <v>21.184000000000001</v>
      </c>
      <c r="U60" s="3">
        <v>40.606999999999999</v>
      </c>
      <c r="V60" s="3">
        <v>13.035</v>
      </c>
      <c r="W60" s="3">
        <v>5.5629999999999997</v>
      </c>
      <c r="X60" s="3">
        <v>5.32</v>
      </c>
      <c r="Y60" s="3">
        <v>0.309</v>
      </c>
      <c r="Z60" s="3" t="s">
        <v>81</v>
      </c>
      <c r="AA60" s="3" t="s">
        <v>81</v>
      </c>
      <c r="AB60" s="3">
        <v>96.688000000000002</v>
      </c>
      <c r="AC60" s="3">
        <v>2</v>
      </c>
      <c r="AD60" s="3">
        <v>47.305</v>
      </c>
      <c r="AE60" s="3">
        <v>22.04</v>
      </c>
      <c r="AF60" s="3">
        <v>36.226999999999997</v>
      </c>
      <c r="AG60" s="3">
        <v>11.602</v>
      </c>
      <c r="AH60" s="3">
        <v>11.635</v>
      </c>
      <c r="AI60" s="3" t="s">
        <v>81</v>
      </c>
      <c r="AJ60" s="3" t="s">
        <v>81</v>
      </c>
      <c r="AK60" s="3" t="s">
        <v>81</v>
      </c>
      <c r="AL60" s="3" t="s">
        <v>81</v>
      </c>
      <c r="AM60" s="3">
        <v>91.984999999999999</v>
      </c>
      <c r="AN60" s="3">
        <v>2</v>
      </c>
      <c r="AO60" s="3">
        <v>47.552999999999997</v>
      </c>
      <c r="AP60" s="3">
        <v>18.437000000000001</v>
      </c>
      <c r="AQ60" s="3">
        <v>34.249000000000002</v>
      </c>
      <c r="AR60" s="3">
        <v>15.215</v>
      </c>
      <c r="AS60" s="3">
        <v>8.3620000000000001</v>
      </c>
      <c r="AT60" s="3" t="s">
        <v>81</v>
      </c>
      <c r="AU60" s="3" t="s">
        <v>81</v>
      </c>
      <c r="AV60" s="3" t="s">
        <v>81</v>
      </c>
      <c r="AW60" s="3" t="s">
        <v>81</v>
      </c>
      <c r="AX60" s="3">
        <v>97.033000000000001</v>
      </c>
      <c r="AY60" s="3">
        <v>2</v>
      </c>
      <c r="AZ60" s="3">
        <v>49.036000000000001</v>
      </c>
      <c r="BA60" s="3">
        <v>21.582999999999998</v>
      </c>
      <c r="BB60" s="3">
        <v>35.994999999999997</v>
      </c>
      <c r="BC60" s="3">
        <v>14.699</v>
      </c>
      <c r="BD60" s="3">
        <v>10.039</v>
      </c>
      <c r="BE60" s="3" t="s">
        <v>81</v>
      </c>
      <c r="BF60" s="3" t="s">
        <v>81</v>
      </c>
      <c r="BG60" s="3" t="s">
        <v>81</v>
      </c>
      <c r="BH60" s="3" t="s">
        <v>81</v>
      </c>
      <c r="BI60" s="3" t="s">
        <v>84</v>
      </c>
      <c r="BJ60" s="3" t="s">
        <v>84</v>
      </c>
      <c r="BK60" s="3" t="s">
        <v>82</v>
      </c>
      <c r="BL60" s="3" t="s">
        <v>84</v>
      </c>
      <c r="BM60" s="3" t="s">
        <v>84</v>
      </c>
      <c r="BN60" s="3" t="s">
        <v>82</v>
      </c>
      <c r="BO60" s="3" t="s">
        <v>82</v>
      </c>
      <c r="BP60" s="3" t="s">
        <v>239</v>
      </c>
      <c r="BQ60" s="3" t="s">
        <v>239</v>
      </c>
      <c r="BR60" s="3" t="s">
        <v>239</v>
      </c>
      <c r="BS60" s="3" t="s">
        <v>240</v>
      </c>
      <c r="BT60" s="3" t="s">
        <v>87</v>
      </c>
      <c r="BU60" s="3" t="s">
        <v>81</v>
      </c>
      <c r="BV60" s="3" t="s">
        <v>82</v>
      </c>
      <c r="BW60" s="3" t="s">
        <v>111</v>
      </c>
      <c r="BX60" s="3" t="s">
        <v>82</v>
      </c>
      <c r="BZ60" s="3" t="s">
        <v>86</v>
      </c>
      <c r="CB60" s="3" t="s">
        <v>84</v>
      </c>
    </row>
    <row r="61" spans="1:87" ht="15.75" customHeight="1" x14ac:dyDescent="0.15">
      <c r="A61" s="3">
        <v>1228173457</v>
      </c>
      <c r="B61" s="3" t="s">
        <v>158</v>
      </c>
      <c r="C61" s="3" t="s">
        <v>158</v>
      </c>
      <c r="D61" s="3" t="s">
        <v>81</v>
      </c>
      <c r="E61" s="3">
        <v>23</v>
      </c>
      <c r="F61" s="3">
        <v>51.508000000000003</v>
      </c>
      <c r="G61" s="3">
        <v>0</v>
      </c>
      <c r="H61" s="3" t="s">
        <v>81</v>
      </c>
      <c r="I61" s="3" t="s">
        <v>81</v>
      </c>
      <c r="J61" s="3" t="s">
        <v>81</v>
      </c>
      <c r="K61" s="3" t="s">
        <v>81</v>
      </c>
      <c r="L61" s="3" t="s">
        <v>81</v>
      </c>
      <c r="M61" s="3" t="s">
        <v>81</v>
      </c>
      <c r="N61" s="3" t="s">
        <v>81</v>
      </c>
      <c r="O61" s="3" t="s">
        <v>81</v>
      </c>
      <c r="P61" s="3" t="s">
        <v>81</v>
      </c>
      <c r="Q61" s="3">
        <v>43.024000000000001</v>
      </c>
      <c r="R61" s="3">
        <v>0</v>
      </c>
      <c r="S61" s="3" t="s">
        <v>81</v>
      </c>
      <c r="T61" s="3" t="s">
        <v>81</v>
      </c>
      <c r="U61" s="3" t="s">
        <v>81</v>
      </c>
      <c r="V61" s="3" t="s">
        <v>81</v>
      </c>
      <c r="W61" s="3" t="s">
        <v>81</v>
      </c>
      <c r="X61" s="3" t="s">
        <v>81</v>
      </c>
      <c r="Y61" s="3" t="s">
        <v>81</v>
      </c>
      <c r="Z61" s="3" t="s">
        <v>81</v>
      </c>
      <c r="AA61" s="3" t="s">
        <v>81</v>
      </c>
      <c r="AB61" s="3">
        <v>56.927999999999997</v>
      </c>
      <c r="AC61" s="3">
        <v>0</v>
      </c>
      <c r="AD61" s="3" t="s">
        <v>81</v>
      </c>
      <c r="AE61" s="3" t="s">
        <v>81</v>
      </c>
      <c r="AF61" s="3" t="s">
        <v>81</v>
      </c>
      <c r="AG61" s="3" t="s">
        <v>81</v>
      </c>
      <c r="AH61" s="3" t="s">
        <v>81</v>
      </c>
      <c r="AI61" s="3" t="s">
        <v>81</v>
      </c>
      <c r="AJ61" s="3" t="s">
        <v>81</v>
      </c>
      <c r="AK61" s="3" t="s">
        <v>81</v>
      </c>
      <c r="AL61" s="3" t="s">
        <v>81</v>
      </c>
      <c r="AM61" s="3">
        <v>40.305</v>
      </c>
      <c r="AN61" s="3">
        <v>0</v>
      </c>
      <c r="AO61" s="3" t="s">
        <v>81</v>
      </c>
      <c r="AP61" s="3" t="s">
        <v>81</v>
      </c>
      <c r="AQ61" s="3" t="s">
        <v>81</v>
      </c>
      <c r="AR61" s="3" t="s">
        <v>81</v>
      </c>
      <c r="AS61" s="3" t="s">
        <v>81</v>
      </c>
      <c r="AT61" s="3" t="s">
        <v>81</v>
      </c>
      <c r="AU61" s="3" t="s">
        <v>81</v>
      </c>
      <c r="AV61" s="3" t="s">
        <v>81</v>
      </c>
      <c r="AW61" s="3" t="s">
        <v>81</v>
      </c>
      <c r="AX61" s="3">
        <v>58.731000000000002</v>
      </c>
      <c r="AY61" s="3">
        <v>0</v>
      </c>
      <c r="AZ61" s="3" t="s">
        <v>81</v>
      </c>
      <c r="BA61" s="3" t="s">
        <v>81</v>
      </c>
      <c r="BB61" s="3" t="s">
        <v>81</v>
      </c>
      <c r="BC61" s="3" t="s">
        <v>81</v>
      </c>
      <c r="BD61" s="3" t="s">
        <v>81</v>
      </c>
      <c r="BE61" s="3" t="s">
        <v>81</v>
      </c>
      <c r="BF61" s="3" t="s">
        <v>81</v>
      </c>
      <c r="BG61" s="3" t="s">
        <v>81</v>
      </c>
      <c r="BH61" s="3" t="s">
        <v>81</v>
      </c>
      <c r="BI61" s="3" t="s">
        <v>82</v>
      </c>
      <c r="BJ61" s="3" t="s">
        <v>84</v>
      </c>
      <c r="BK61" s="3" t="s">
        <v>84</v>
      </c>
      <c r="BL61" s="3" t="s">
        <v>82</v>
      </c>
      <c r="BM61" s="3" t="s">
        <v>83</v>
      </c>
      <c r="BN61" s="3" t="s">
        <v>83</v>
      </c>
      <c r="BO61" s="3" t="s">
        <v>83</v>
      </c>
      <c r="BP61" s="3" t="s">
        <v>81</v>
      </c>
      <c r="BQ61" s="3" t="s">
        <v>81</v>
      </c>
      <c r="BR61" s="3" t="s">
        <v>81</v>
      </c>
      <c r="BS61" s="3" t="s">
        <v>81</v>
      </c>
      <c r="BT61" s="3" t="s">
        <v>81</v>
      </c>
      <c r="BU61" s="3" t="s">
        <v>81</v>
      </c>
      <c r="BV61" s="3" t="s">
        <v>83</v>
      </c>
      <c r="BW61" s="3" t="s">
        <v>83</v>
      </c>
      <c r="BX61" s="3" t="s">
        <v>83</v>
      </c>
      <c r="BY61" s="3" t="s">
        <v>159</v>
      </c>
      <c r="BZ61" s="3" t="s">
        <v>93</v>
      </c>
      <c r="CB61" s="3" t="s">
        <v>84</v>
      </c>
    </row>
    <row r="62" spans="1:87" ht="15.75" customHeight="1" x14ac:dyDescent="0.15">
      <c r="A62" s="3">
        <v>1847921889</v>
      </c>
      <c r="B62" s="3" t="s">
        <v>158</v>
      </c>
      <c r="C62" s="3" t="s">
        <v>158</v>
      </c>
      <c r="D62" s="3" t="s">
        <v>81</v>
      </c>
      <c r="E62" s="3">
        <v>13</v>
      </c>
      <c r="F62" s="3">
        <v>50.822000000000003</v>
      </c>
      <c r="G62" s="3">
        <v>0</v>
      </c>
      <c r="H62" s="3" t="s">
        <v>81</v>
      </c>
      <c r="I62" s="3" t="s">
        <v>81</v>
      </c>
      <c r="J62" s="3" t="s">
        <v>81</v>
      </c>
      <c r="K62" s="3" t="s">
        <v>81</v>
      </c>
      <c r="L62" s="3" t="s">
        <v>81</v>
      </c>
      <c r="M62" s="3" t="s">
        <v>81</v>
      </c>
      <c r="N62" s="3" t="s">
        <v>81</v>
      </c>
      <c r="O62" s="3" t="s">
        <v>81</v>
      </c>
      <c r="P62" s="3" t="s">
        <v>81</v>
      </c>
      <c r="Q62" s="3">
        <v>51.991999999999997</v>
      </c>
      <c r="R62" s="3">
        <v>0</v>
      </c>
      <c r="S62" s="3" t="s">
        <v>81</v>
      </c>
      <c r="T62" s="3" t="s">
        <v>81</v>
      </c>
      <c r="U62" s="3" t="s">
        <v>81</v>
      </c>
      <c r="V62" s="3" t="s">
        <v>81</v>
      </c>
      <c r="W62" s="3" t="s">
        <v>81</v>
      </c>
      <c r="X62" s="3" t="s">
        <v>81</v>
      </c>
      <c r="Y62" s="3" t="s">
        <v>81</v>
      </c>
      <c r="Z62" s="3" t="s">
        <v>81</v>
      </c>
      <c r="AA62" s="3" t="s">
        <v>81</v>
      </c>
      <c r="AB62" s="3">
        <v>47.665999999999997</v>
      </c>
      <c r="AC62" s="3">
        <v>0</v>
      </c>
      <c r="AD62" s="3" t="s">
        <v>81</v>
      </c>
      <c r="AE62" s="3" t="s">
        <v>81</v>
      </c>
      <c r="AF62" s="3" t="s">
        <v>81</v>
      </c>
      <c r="AG62" s="3" t="s">
        <v>81</v>
      </c>
      <c r="AH62" s="3" t="s">
        <v>81</v>
      </c>
      <c r="AI62" s="3" t="s">
        <v>81</v>
      </c>
      <c r="AJ62" s="3" t="s">
        <v>81</v>
      </c>
      <c r="AK62" s="3" t="s">
        <v>81</v>
      </c>
      <c r="AL62" s="3" t="s">
        <v>81</v>
      </c>
      <c r="AM62" s="3">
        <v>50.189</v>
      </c>
      <c r="AN62" s="3">
        <v>0</v>
      </c>
      <c r="AO62" s="3" t="s">
        <v>81</v>
      </c>
      <c r="AP62" s="3" t="s">
        <v>81</v>
      </c>
      <c r="AQ62" s="3" t="s">
        <v>81</v>
      </c>
      <c r="AR62" s="3" t="s">
        <v>81</v>
      </c>
      <c r="AS62" s="3" t="s">
        <v>81</v>
      </c>
      <c r="AT62" s="3" t="s">
        <v>81</v>
      </c>
      <c r="AU62" s="3" t="s">
        <v>81</v>
      </c>
      <c r="AV62" s="3" t="s">
        <v>81</v>
      </c>
      <c r="AW62" s="3" t="s">
        <v>81</v>
      </c>
      <c r="AX62" s="3">
        <v>41.301000000000002</v>
      </c>
      <c r="AY62" s="3">
        <v>0</v>
      </c>
      <c r="AZ62" s="3" t="s">
        <v>81</v>
      </c>
      <c r="BA62" s="3" t="s">
        <v>81</v>
      </c>
      <c r="BB62" s="3" t="s">
        <v>81</v>
      </c>
      <c r="BC62" s="3" t="s">
        <v>81</v>
      </c>
      <c r="BD62" s="3" t="s">
        <v>81</v>
      </c>
      <c r="BE62" s="3" t="s">
        <v>81</v>
      </c>
      <c r="BF62" s="3" t="s">
        <v>81</v>
      </c>
      <c r="BG62" s="3" t="s">
        <v>81</v>
      </c>
      <c r="BH62" s="3" t="s">
        <v>81</v>
      </c>
      <c r="BI62" s="3" t="s">
        <v>82</v>
      </c>
      <c r="BJ62" s="3" t="s">
        <v>82</v>
      </c>
      <c r="BK62" s="3" t="s">
        <v>83</v>
      </c>
      <c r="BL62" s="3" t="s">
        <v>84</v>
      </c>
      <c r="BM62" s="3" t="s">
        <v>82</v>
      </c>
      <c r="BN62" s="3" t="s">
        <v>84</v>
      </c>
      <c r="BO62" s="3" t="s">
        <v>82</v>
      </c>
      <c r="BP62" s="3" t="s">
        <v>85</v>
      </c>
      <c r="BQ62" s="3" t="s">
        <v>85</v>
      </c>
      <c r="BR62" s="3" t="s">
        <v>85</v>
      </c>
      <c r="BS62" s="3" t="s">
        <v>85</v>
      </c>
      <c r="BT62" s="3" t="s">
        <v>85</v>
      </c>
      <c r="BU62" s="3" t="s">
        <v>81</v>
      </c>
      <c r="BV62" s="3" t="s">
        <v>84</v>
      </c>
      <c r="BW62" s="3" t="s">
        <v>83</v>
      </c>
      <c r="BX62" s="3" t="s">
        <v>82</v>
      </c>
      <c r="BY62" s="3" t="s">
        <v>160</v>
      </c>
      <c r="BZ62" s="3" t="s">
        <v>93</v>
      </c>
      <c r="CB62" s="3" t="s">
        <v>84</v>
      </c>
    </row>
    <row r="63" spans="1:87" ht="15.75" customHeight="1" x14ac:dyDescent="0.15">
      <c r="A63" s="3">
        <v>2235781910</v>
      </c>
      <c r="B63" s="3" t="s">
        <v>158</v>
      </c>
      <c r="C63" s="3" t="s">
        <v>158</v>
      </c>
      <c r="D63" s="3">
        <v>5</v>
      </c>
      <c r="E63" s="3">
        <v>5</v>
      </c>
      <c r="F63" s="3">
        <v>44.055999999999997</v>
      </c>
      <c r="G63" s="3">
        <v>0</v>
      </c>
      <c r="H63" s="3" t="s">
        <v>81</v>
      </c>
      <c r="I63" s="3" t="s">
        <v>81</v>
      </c>
      <c r="J63" s="3" t="s">
        <v>81</v>
      </c>
      <c r="K63" s="3" t="s">
        <v>81</v>
      </c>
      <c r="L63" s="3" t="s">
        <v>81</v>
      </c>
      <c r="M63" s="3" t="s">
        <v>81</v>
      </c>
      <c r="N63" s="3" t="s">
        <v>81</v>
      </c>
      <c r="O63" s="3" t="s">
        <v>81</v>
      </c>
      <c r="P63" s="3" t="s">
        <v>81</v>
      </c>
      <c r="Q63" s="3">
        <v>39.683999999999997</v>
      </c>
      <c r="R63" s="3">
        <v>0</v>
      </c>
      <c r="S63" s="3" t="s">
        <v>81</v>
      </c>
      <c r="T63" s="3" t="s">
        <v>81</v>
      </c>
      <c r="U63" s="3" t="s">
        <v>81</v>
      </c>
      <c r="V63" s="3" t="s">
        <v>81</v>
      </c>
      <c r="W63" s="3" t="s">
        <v>81</v>
      </c>
      <c r="X63" s="3" t="s">
        <v>81</v>
      </c>
      <c r="Y63" s="3" t="s">
        <v>81</v>
      </c>
      <c r="Z63" s="3" t="s">
        <v>81</v>
      </c>
      <c r="AA63" s="3" t="s">
        <v>81</v>
      </c>
      <c r="AB63" s="3">
        <v>39.052999999999997</v>
      </c>
      <c r="AC63" s="3">
        <v>0</v>
      </c>
      <c r="AD63" s="3" t="s">
        <v>81</v>
      </c>
      <c r="AE63" s="3" t="s">
        <v>81</v>
      </c>
      <c r="AF63" s="3" t="s">
        <v>81</v>
      </c>
      <c r="AG63" s="3" t="s">
        <v>81</v>
      </c>
      <c r="AH63" s="3" t="s">
        <v>81</v>
      </c>
      <c r="AI63" s="3" t="s">
        <v>81</v>
      </c>
      <c r="AJ63" s="3" t="s">
        <v>81</v>
      </c>
      <c r="AK63" s="3" t="s">
        <v>81</v>
      </c>
      <c r="AL63" s="3" t="s">
        <v>81</v>
      </c>
      <c r="AM63" s="3">
        <v>39.692</v>
      </c>
      <c r="AN63" s="3">
        <v>0</v>
      </c>
      <c r="AO63" s="3" t="s">
        <v>81</v>
      </c>
      <c r="AP63" s="3" t="s">
        <v>81</v>
      </c>
      <c r="AQ63" s="3" t="s">
        <v>81</v>
      </c>
      <c r="AR63" s="3" t="s">
        <v>81</v>
      </c>
      <c r="AS63" s="3" t="s">
        <v>81</v>
      </c>
      <c r="AT63" s="3" t="s">
        <v>81</v>
      </c>
      <c r="AU63" s="3" t="s">
        <v>81</v>
      </c>
      <c r="AV63" s="3" t="s">
        <v>81</v>
      </c>
      <c r="AW63" s="3" t="s">
        <v>81</v>
      </c>
      <c r="AX63" s="3" t="s">
        <v>81</v>
      </c>
      <c r="AY63" s="3">
        <v>0</v>
      </c>
      <c r="AZ63" s="3" t="s">
        <v>81</v>
      </c>
      <c r="BA63" s="3" t="s">
        <v>81</v>
      </c>
      <c r="BB63" s="3" t="s">
        <v>81</v>
      </c>
      <c r="BC63" s="3" t="s">
        <v>81</v>
      </c>
      <c r="BD63" s="3" t="s">
        <v>81</v>
      </c>
      <c r="BE63" s="3" t="s">
        <v>81</v>
      </c>
      <c r="BF63" s="3" t="s">
        <v>81</v>
      </c>
      <c r="BG63" s="3" t="s">
        <v>81</v>
      </c>
      <c r="BH63" s="3" t="s">
        <v>81</v>
      </c>
      <c r="BI63" s="3" t="s">
        <v>84</v>
      </c>
      <c r="BJ63" s="3" t="s">
        <v>84</v>
      </c>
      <c r="BK63" s="3" t="s">
        <v>82</v>
      </c>
      <c r="BL63" s="3" t="s">
        <v>84</v>
      </c>
      <c r="BM63" s="3" t="s">
        <v>84</v>
      </c>
      <c r="BN63" s="3" t="s">
        <v>84</v>
      </c>
      <c r="BO63" s="3" t="s">
        <v>82</v>
      </c>
      <c r="BP63" s="3" t="s">
        <v>87</v>
      </c>
      <c r="BQ63" s="3" t="s">
        <v>87</v>
      </c>
      <c r="BR63" s="3" t="s">
        <v>85</v>
      </c>
      <c r="BS63" s="3" t="s">
        <v>85</v>
      </c>
      <c r="BT63" s="3" t="s">
        <v>87</v>
      </c>
      <c r="BU63" s="3" t="s">
        <v>85</v>
      </c>
      <c r="BV63" s="3" t="s">
        <v>84</v>
      </c>
      <c r="BW63" s="3" t="s">
        <v>83</v>
      </c>
      <c r="BX63" s="3" t="s">
        <v>82</v>
      </c>
      <c r="BY63" s="3" t="s">
        <v>161</v>
      </c>
      <c r="BZ63" s="3" t="s">
        <v>86</v>
      </c>
      <c r="CB63" s="3" t="s">
        <v>84</v>
      </c>
    </row>
    <row r="64" spans="1:87" ht="15.75" customHeight="1" x14ac:dyDescent="0.15">
      <c r="A64" s="3">
        <v>2235957891</v>
      </c>
      <c r="B64" s="3" t="s">
        <v>158</v>
      </c>
      <c r="C64" s="3" t="s">
        <v>158</v>
      </c>
      <c r="D64" s="3">
        <v>6</v>
      </c>
      <c r="E64" s="3">
        <v>8</v>
      </c>
      <c r="F64" s="3">
        <v>37.027999999999999</v>
      </c>
      <c r="G64" s="3">
        <v>0</v>
      </c>
      <c r="H64" s="3" t="s">
        <v>81</v>
      </c>
      <c r="I64" s="3" t="s">
        <v>81</v>
      </c>
      <c r="J64" s="3" t="s">
        <v>81</v>
      </c>
      <c r="K64" s="3" t="s">
        <v>81</v>
      </c>
      <c r="L64" s="3" t="s">
        <v>81</v>
      </c>
      <c r="M64" s="3" t="s">
        <v>81</v>
      </c>
      <c r="N64" s="3" t="s">
        <v>81</v>
      </c>
      <c r="O64" s="3" t="s">
        <v>81</v>
      </c>
      <c r="P64" s="3" t="s">
        <v>81</v>
      </c>
      <c r="Q64" s="3">
        <v>44.152999999999999</v>
      </c>
      <c r="R64" s="3">
        <v>0</v>
      </c>
      <c r="S64" s="3" t="s">
        <v>81</v>
      </c>
      <c r="T64" s="3" t="s">
        <v>81</v>
      </c>
      <c r="U64" s="3" t="s">
        <v>81</v>
      </c>
      <c r="V64" s="3" t="s">
        <v>81</v>
      </c>
      <c r="W64" s="3" t="s">
        <v>81</v>
      </c>
      <c r="X64" s="3" t="s">
        <v>81</v>
      </c>
      <c r="Y64" s="3" t="s">
        <v>81</v>
      </c>
      <c r="Z64" s="3" t="s">
        <v>81</v>
      </c>
      <c r="AA64" s="3" t="s">
        <v>81</v>
      </c>
      <c r="AB64" s="3">
        <v>35.209000000000003</v>
      </c>
      <c r="AC64" s="3">
        <v>0</v>
      </c>
      <c r="AD64" s="3" t="s">
        <v>81</v>
      </c>
      <c r="AE64" s="3" t="s">
        <v>81</v>
      </c>
      <c r="AF64" s="3" t="s">
        <v>81</v>
      </c>
      <c r="AG64" s="3" t="s">
        <v>81</v>
      </c>
      <c r="AH64" s="3" t="s">
        <v>81</v>
      </c>
      <c r="AI64" s="3" t="s">
        <v>81</v>
      </c>
      <c r="AJ64" s="3" t="s">
        <v>81</v>
      </c>
      <c r="AK64" s="3" t="s">
        <v>81</v>
      </c>
      <c r="AL64" s="3" t="s">
        <v>81</v>
      </c>
      <c r="AM64" s="3">
        <v>32.383000000000003</v>
      </c>
      <c r="AN64" s="3">
        <v>0</v>
      </c>
      <c r="AO64" s="3" t="s">
        <v>81</v>
      </c>
      <c r="AP64" s="3" t="s">
        <v>81</v>
      </c>
      <c r="AQ64" s="3" t="s">
        <v>81</v>
      </c>
      <c r="AR64" s="3" t="s">
        <v>81</v>
      </c>
      <c r="AS64" s="3" t="s">
        <v>81</v>
      </c>
      <c r="AT64" s="3" t="s">
        <v>81</v>
      </c>
      <c r="AU64" s="3" t="s">
        <v>81</v>
      </c>
      <c r="AV64" s="3" t="s">
        <v>81</v>
      </c>
      <c r="AW64" s="3" t="s">
        <v>81</v>
      </c>
      <c r="AX64" s="3">
        <v>47.293999999999997</v>
      </c>
      <c r="AY64" s="3">
        <v>0</v>
      </c>
      <c r="AZ64" s="3" t="s">
        <v>81</v>
      </c>
      <c r="BA64" s="3" t="s">
        <v>81</v>
      </c>
      <c r="BB64" s="3" t="s">
        <v>81</v>
      </c>
      <c r="BC64" s="3" t="s">
        <v>81</v>
      </c>
      <c r="BD64" s="3" t="s">
        <v>81</v>
      </c>
      <c r="BE64" s="3" t="s">
        <v>81</v>
      </c>
      <c r="BF64" s="3" t="s">
        <v>81</v>
      </c>
      <c r="BG64" s="3" t="s">
        <v>81</v>
      </c>
      <c r="BH64" s="3" t="s">
        <v>81</v>
      </c>
      <c r="BI64" s="3" t="s">
        <v>84</v>
      </c>
      <c r="BJ64" s="3" t="s">
        <v>82</v>
      </c>
      <c r="BK64" s="3" t="s">
        <v>83</v>
      </c>
      <c r="BL64" s="3" t="s">
        <v>84</v>
      </c>
      <c r="BM64" s="3" t="s">
        <v>84</v>
      </c>
      <c r="BN64" s="3" t="s">
        <v>84</v>
      </c>
      <c r="BO64" s="3" t="s">
        <v>82</v>
      </c>
      <c r="BP64" s="3" t="s">
        <v>85</v>
      </c>
      <c r="BQ64" s="3" t="s">
        <v>85</v>
      </c>
      <c r="BR64" s="3" t="s">
        <v>85</v>
      </c>
      <c r="BS64" s="3" t="s">
        <v>85</v>
      </c>
      <c r="BT64" s="3" t="s">
        <v>85</v>
      </c>
      <c r="BU64" s="3" t="s">
        <v>81</v>
      </c>
      <c r="BV64" s="3" t="s">
        <v>84</v>
      </c>
      <c r="BW64" s="3" t="s">
        <v>83</v>
      </c>
      <c r="BX64" s="3" t="s">
        <v>82</v>
      </c>
      <c r="BZ64" s="3" t="s">
        <v>86</v>
      </c>
      <c r="CB64" s="3" t="s">
        <v>84</v>
      </c>
    </row>
    <row r="65" spans="1:87" ht="15.75" customHeight="1" x14ac:dyDescent="0.15">
      <c r="A65" s="3">
        <v>2625896904</v>
      </c>
      <c r="B65" s="3" t="s">
        <v>158</v>
      </c>
      <c r="C65" s="3" t="s">
        <v>158</v>
      </c>
      <c r="D65" s="3">
        <v>6</v>
      </c>
      <c r="E65" s="3">
        <v>7</v>
      </c>
      <c r="F65" s="3">
        <v>25.962</v>
      </c>
      <c r="G65" s="3">
        <v>0</v>
      </c>
      <c r="H65" s="3" t="s">
        <v>81</v>
      </c>
      <c r="I65" s="3" t="s">
        <v>81</v>
      </c>
      <c r="J65" s="3" t="s">
        <v>81</v>
      </c>
      <c r="K65" s="3" t="s">
        <v>81</v>
      </c>
      <c r="L65" s="3" t="s">
        <v>81</v>
      </c>
      <c r="M65" s="3" t="s">
        <v>81</v>
      </c>
      <c r="N65" s="3" t="s">
        <v>81</v>
      </c>
      <c r="O65" s="3" t="s">
        <v>81</v>
      </c>
      <c r="P65" s="3" t="s">
        <v>81</v>
      </c>
      <c r="Q65" s="3">
        <v>23.928000000000001</v>
      </c>
      <c r="R65" s="3">
        <v>0</v>
      </c>
      <c r="S65" s="3" t="s">
        <v>81</v>
      </c>
      <c r="T65" s="3" t="s">
        <v>81</v>
      </c>
      <c r="U65" s="3" t="s">
        <v>81</v>
      </c>
      <c r="V65" s="3" t="s">
        <v>81</v>
      </c>
      <c r="W65" s="3" t="s">
        <v>81</v>
      </c>
      <c r="X65" s="3" t="s">
        <v>81</v>
      </c>
      <c r="Y65" s="3" t="s">
        <v>81</v>
      </c>
      <c r="Z65" s="3" t="s">
        <v>81</v>
      </c>
      <c r="AA65" s="3" t="s">
        <v>81</v>
      </c>
      <c r="AB65" s="3">
        <v>23.033999999999999</v>
      </c>
      <c r="AC65" s="3">
        <v>0</v>
      </c>
      <c r="AD65" s="3" t="s">
        <v>81</v>
      </c>
      <c r="AE65" s="3" t="s">
        <v>81</v>
      </c>
      <c r="AF65" s="3" t="s">
        <v>81</v>
      </c>
      <c r="AG65" s="3" t="s">
        <v>81</v>
      </c>
      <c r="AH65" s="3" t="s">
        <v>81</v>
      </c>
      <c r="AI65" s="3" t="s">
        <v>81</v>
      </c>
      <c r="AJ65" s="3" t="s">
        <v>81</v>
      </c>
      <c r="AK65" s="3" t="s">
        <v>81</v>
      </c>
      <c r="AL65" s="3" t="s">
        <v>81</v>
      </c>
      <c r="AM65" s="3">
        <v>22.204999999999998</v>
      </c>
      <c r="AN65" s="3">
        <v>0</v>
      </c>
      <c r="AO65" s="3" t="s">
        <v>81</v>
      </c>
      <c r="AP65" s="3" t="s">
        <v>81</v>
      </c>
      <c r="AQ65" s="3" t="s">
        <v>81</v>
      </c>
      <c r="AR65" s="3" t="s">
        <v>81</v>
      </c>
      <c r="AS65" s="3" t="s">
        <v>81</v>
      </c>
      <c r="AT65" s="3" t="s">
        <v>81</v>
      </c>
      <c r="AU65" s="3" t="s">
        <v>81</v>
      </c>
      <c r="AV65" s="3" t="s">
        <v>81</v>
      </c>
      <c r="AW65" s="3" t="s">
        <v>81</v>
      </c>
      <c r="AX65" s="3">
        <v>21.494</v>
      </c>
      <c r="AY65" s="3">
        <v>0</v>
      </c>
      <c r="AZ65" s="3" t="s">
        <v>81</v>
      </c>
      <c r="BA65" s="3" t="s">
        <v>81</v>
      </c>
      <c r="BB65" s="3" t="s">
        <v>81</v>
      </c>
      <c r="BC65" s="3" t="s">
        <v>81</v>
      </c>
      <c r="BD65" s="3" t="s">
        <v>81</v>
      </c>
      <c r="BE65" s="3" t="s">
        <v>81</v>
      </c>
      <c r="BF65" s="3" t="s">
        <v>81</v>
      </c>
      <c r="BG65" s="3" t="s">
        <v>81</v>
      </c>
      <c r="BH65" s="3" t="s">
        <v>81</v>
      </c>
      <c r="BI65" s="3" t="s">
        <v>84</v>
      </c>
      <c r="BJ65" s="3" t="s">
        <v>82</v>
      </c>
      <c r="BK65" s="3" t="s">
        <v>83</v>
      </c>
      <c r="BL65" s="3" t="s">
        <v>84</v>
      </c>
      <c r="BM65" s="3" t="s">
        <v>84</v>
      </c>
      <c r="BN65" s="3" t="s">
        <v>84</v>
      </c>
      <c r="BO65" s="3" t="s">
        <v>82</v>
      </c>
      <c r="BP65" s="3" t="s">
        <v>162</v>
      </c>
      <c r="BQ65" s="3" t="s">
        <v>162</v>
      </c>
      <c r="BR65" s="3" t="s">
        <v>98</v>
      </c>
      <c r="BS65" s="3" t="s">
        <v>98</v>
      </c>
      <c r="BT65" s="3" t="s">
        <v>85</v>
      </c>
      <c r="BU65" s="3" t="s">
        <v>98</v>
      </c>
      <c r="BV65" s="3" t="s">
        <v>84</v>
      </c>
      <c r="BW65" s="3" t="s">
        <v>83</v>
      </c>
      <c r="BX65" s="3" t="s">
        <v>82</v>
      </c>
      <c r="BZ65" s="3" t="s">
        <v>86</v>
      </c>
      <c r="CB65" s="3" t="s">
        <v>84</v>
      </c>
    </row>
    <row r="66" spans="1:87" ht="15.75" customHeight="1" x14ac:dyDescent="0.15">
      <c r="A66" s="3">
        <v>1228227846</v>
      </c>
      <c r="B66" s="3" t="s">
        <v>192</v>
      </c>
      <c r="C66" s="3" t="s">
        <v>192</v>
      </c>
      <c r="D66" s="3" t="s">
        <v>81</v>
      </c>
      <c r="E66" s="3">
        <v>3</v>
      </c>
      <c r="F66" s="3">
        <v>946.50800000000004</v>
      </c>
      <c r="G66" s="3">
        <v>3</v>
      </c>
      <c r="H66" s="3">
        <v>417.38</v>
      </c>
      <c r="I66" s="3">
        <v>123.366</v>
      </c>
      <c r="J66" s="3">
        <v>320.10199999999998</v>
      </c>
      <c r="K66" s="3">
        <v>138.572</v>
      </c>
      <c r="L66" s="3">
        <v>87.736000000000004</v>
      </c>
      <c r="M66" s="3">
        <v>17.771999999999998</v>
      </c>
      <c r="N66" s="3">
        <v>89.144999999999996</v>
      </c>
      <c r="O66" s="3" t="s">
        <v>81</v>
      </c>
      <c r="P66" s="3" t="s">
        <v>81</v>
      </c>
      <c r="Q66" s="3" t="s">
        <v>81</v>
      </c>
      <c r="R66" s="3">
        <v>2</v>
      </c>
      <c r="S66" s="3">
        <v>425.65300000000002</v>
      </c>
      <c r="T66" s="3">
        <v>97.9</v>
      </c>
      <c r="U66" s="3">
        <v>40.259</v>
      </c>
      <c r="V66" s="3">
        <v>17.434999999999999</v>
      </c>
      <c r="W66" s="3" t="s">
        <v>81</v>
      </c>
      <c r="X66" s="3" t="s">
        <v>81</v>
      </c>
      <c r="Y66" s="3" t="s">
        <v>81</v>
      </c>
      <c r="Z66" s="3" t="s">
        <v>81</v>
      </c>
      <c r="AA66" s="3" t="s">
        <v>81</v>
      </c>
      <c r="AB66" s="3" t="s">
        <v>81</v>
      </c>
      <c r="AC66" s="3">
        <v>0</v>
      </c>
      <c r="AD66" s="3" t="s">
        <v>81</v>
      </c>
      <c r="AE66" s="3" t="s">
        <v>81</v>
      </c>
      <c r="AF66" s="3" t="s">
        <v>81</v>
      </c>
      <c r="AG66" s="3" t="s">
        <v>81</v>
      </c>
      <c r="AH66" s="3" t="s">
        <v>81</v>
      </c>
      <c r="AI66" s="3" t="s">
        <v>81</v>
      </c>
      <c r="AJ66" s="3" t="s">
        <v>81</v>
      </c>
      <c r="AK66" s="3" t="s">
        <v>81</v>
      </c>
      <c r="AL66" s="3" t="s">
        <v>81</v>
      </c>
      <c r="AM66" s="3" t="s">
        <v>81</v>
      </c>
      <c r="AN66" s="3" t="s">
        <v>81</v>
      </c>
      <c r="AO66" s="3" t="s">
        <v>81</v>
      </c>
      <c r="AP66" s="3" t="s">
        <v>81</v>
      </c>
      <c r="AQ66" s="3" t="s">
        <v>81</v>
      </c>
      <c r="AR66" s="3" t="s">
        <v>81</v>
      </c>
      <c r="AS66" s="3" t="s">
        <v>81</v>
      </c>
      <c r="AT66" s="3" t="s">
        <v>81</v>
      </c>
      <c r="AU66" s="3" t="s">
        <v>81</v>
      </c>
      <c r="AV66" s="3" t="s">
        <v>81</v>
      </c>
      <c r="AW66" s="3" t="s">
        <v>81</v>
      </c>
      <c r="AX66" s="3" t="s">
        <v>81</v>
      </c>
      <c r="AY66" s="3" t="s">
        <v>81</v>
      </c>
      <c r="AZ66" s="3" t="s">
        <v>81</v>
      </c>
      <c r="BA66" s="3" t="s">
        <v>81</v>
      </c>
      <c r="BB66" s="3" t="s">
        <v>81</v>
      </c>
      <c r="BC66" s="3" t="s">
        <v>81</v>
      </c>
      <c r="BD66" s="3" t="s">
        <v>81</v>
      </c>
      <c r="BE66" s="3" t="s">
        <v>81</v>
      </c>
      <c r="BF66" s="3" t="s">
        <v>81</v>
      </c>
      <c r="BG66" s="3" t="s">
        <v>81</v>
      </c>
      <c r="BH66" s="3" t="s">
        <v>81</v>
      </c>
      <c r="BI66" s="3" t="s">
        <v>84</v>
      </c>
      <c r="BJ66" s="3" t="s">
        <v>82</v>
      </c>
      <c r="BK66" s="3" t="s">
        <v>83</v>
      </c>
      <c r="BL66" s="3" t="s">
        <v>84</v>
      </c>
      <c r="BM66" s="3" t="s">
        <v>84</v>
      </c>
      <c r="BN66" s="3" t="s">
        <v>82</v>
      </c>
      <c r="BO66" s="3" t="s">
        <v>84</v>
      </c>
      <c r="BP66" s="3" t="s">
        <v>85</v>
      </c>
      <c r="BQ66" s="3" t="s">
        <v>193</v>
      </c>
      <c r="BR66" s="3" t="s">
        <v>194</v>
      </c>
      <c r="BS66" s="3" t="s">
        <v>195</v>
      </c>
      <c r="BT66" s="3" t="s">
        <v>85</v>
      </c>
      <c r="BU66" s="3" t="s">
        <v>129</v>
      </c>
      <c r="BV66" s="3" t="s">
        <v>84</v>
      </c>
      <c r="BW66" s="3" t="s">
        <v>83</v>
      </c>
      <c r="BX66" s="3" t="s">
        <v>82</v>
      </c>
      <c r="BY66" s="3" t="s">
        <v>196</v>
      </c>
      <c r="BZ66" s="3" t="s">
        <v>93</v>
      </c>
      <c r="CA66" s="3"/>
      <c r="CB66" s="3" t="s">
        <v>84</v>
      </c>
      <c r="CC66" s="3"/>
      <c r="CD66" s="3"/>
      <c r="CE66" s="3"/>
      <c r="CF66" s="3"/>
      <c r="CG66" s="3"/>
      <c r="CH66" s="3"/>
      <c r="CI66" s="3"/>
    </row>
    <row r="67" spans="1:87" ht="15.75" customHeight="1" x14ac:dyDescent="0.15">
      <c r="A67" s="3">
        <v>1228244323</v>
      </c>
      <c r="B67" s="3" t="s">
        <v>192</v>
      </c>
      <c r="C67" s="3" t="s">
        <v>192</v>
      </c>
      <c r="D67" s="3">
        <v>7</v>
      </c>
      <c r="E67" s="3">
        <v>6</v>
      </c>
      <c r="F67" s="3">
        <v>96.95</v>
      </c>
      <c r="G67" s="3">
        <v>1</v>
      </c>
      <c r="H67" s="3" t="s">
        <v>81</v>
      </c>
      <c r="I67" s="3" t="s">
        <v>81</v>
      </c>
      <c r="J67" s="3" t="s">
        <v>81</v>
      </c>
      <c r="K67" s="3" t="s">
        <v>81</v>
      </c>
      <c r="L67" s="3" t="s">
        <v>81</v>
      </c>
      <c r="M67" s="3" t="s">
        <v>81</v>
      </c>
      <c r="N67" s="3" t="s">
        <v>81</v>
      </c>
      <c r="O67" s="3" t="s">
        <v>81</v>
      </c>
      <c r="P67" s="3" t="s">
        <v>81</v>
      </c>
      <c r="Q67" s="3">
        <v>86.350999999999999</v>
      </c>
      <c r="R67" s="3">
        <v>1</v>
      </c>
      <c r="S67" s="3" t="s">
        <v>81</v>
      </c>
      <c r="T67" s="3" t="s">
        <v>81</v>
      </c>
      <c r="U67" s="3" t="s">
        <v>81</v>
      </c>
      <c r="V67" s="3" t="s">
        <v>81</v>
      </c>
      <c r="W67" s="3" t="s">
        <v>81</v>
      </c>
      <c r="X67" s="3" t="s">
        <v>81</v>
      </c>
      <c r="Y67" s="3" t="s">
        <v>81</v>
      </c>
      <c r="Z67" s="3" t="s">
        <v>81</v>
      </c>
      <c r="AA67" s="3" t="s">
        <v>81</v>
      </c>
      <c r="AB67" s="3">
        <v>98.149000000000001</v>
      </c>
      <c r="AC67" s="3">
        <v>1</v>
      </c>
      <c r="AD67" s="3" t="s">
        <v>81</v>
      </c>
      <c r="AE67" s="3" t="s">
        <v>81</v>
      </c>
      <c r="AF67" s="3" t="s">
        <v>81</v>
      </c>
      <c r="AG67" s="3" t="s">
        <v>81</v>
      </c>
      <c r="AH67" s="3" t="s">
        <v>81</v>
      </c>
      <c r="AI67" s="3" t="s">
        <v>81</v>
      </c>
      <c r="AJ67" s="3" t="s">
        <v>81</v>
      </c>
      <c r="AK67" s="3" t="s">
        <v>81</v>
      </c>
      <c r="AL67" s="3" t="s">
        <v>81</v>
      </c>
      <c r="AM67" s="3" t="s">
        <v>81</v>
      </c>
      <c r="AN67" s="3" t="s">
        <v>81</v>
      </c>
      <c r="AO67" s="3" t="s">
        <v>81</v>
      </c>
      <c r="AP67" s="3" t="s">
        <v>81</v>
      </c>
      <c r="AQ67" s="3" t="s">
        <v>81</v>
      </c>
      <c r="AR67" s="3" t="s">
        <v>81</v>
      </c>
      <c r="AS67" s="3" t="s">
        <v>81</v>
      </c>
      <c r="AT67" s="3" t="s">
        <v>81</v>
      </c>
      <c r="AU67" s="3" t="s">
        <v>81</v>
      </c>
      <c r="AV67" s="3" t="s">
        <v>81</v>
      </c>
      <c r="AW67" s="3" t="s">
        <v>81</v>
      </c>
      <c r="AX67" s="3" t="s">
        <v>81</v>
      </c>
      <c r="AY67" s="3" t="s">
        <v>81</v>
      </c>
      <c r="AZ67" s="3" t="s">
        <v>81</v>
      </c>
      <c r="BA67" s="3" t="s">
        <v>81</v>
      </c>
      <c r="BB67" s="3" t="s">
        <v>81</v>
      </c>
      <c r="BC67" s="3" t="s">
        <v>81</v>
      </c>
      <c r="BD67" s="3" t="s">
        <v>81</v>
      </c>
      <c r="BE67" s="3" t="s">
        <v>81</v>
      </c>
      <c r="BF67" s="3" t="s">
        <v>81</v>
      </c>
      <c r="BG67" s="3" t="s">
        <v>81</v>
      </c>
      <c r="BH67" s="3" t="s">
        <v>81</v>
      </c>
      <c r="BI67" s="3" t="s">
        <v>84</v>
      </c>
      <c r="BJ67" s="3" t="s">
        <v>82</v>
      </c>
      <c r="BK67" s="3" t="s">
        <v>83</v>
      </c>
      <c r="BL67" s="3" t="s">
        <v>84</v>
      </c>
      <c r="BM67" s="3" t="s">
        <v>82</v>
      </c>
      <c r="BN67" s="3" t="s">
        <v>84</v>
      </c>
      <c r="BO67" s="3" t="s">
        <v>84</v>
      </c>
      <c r="BP67" s="3" t="s">
        <v>87</v>
      </c>
      <c r="BQ67" s="3" t="s">
        <v>197</v>
      </c>
      <c r="BR67" s="3" t="s">
        <v>198</v>
      </c>
      <c r="BS67" s="3" t="s">
        <v>199</v>
      </c>
      <c r="BT67" s="3" t="s">
        <v>98</v>
      </c>
      <c r="BU67" s="3" t="s">
        <v>129</v>
      </c>
      <c r="BV67" s="3" t="s">
        <v>84</v>
      </c>
      <c r="BW67" s="3" t="s">
        <v>83</v>
      </c>
      <c r="BX67" s="3" t="s">
        <v>82</v>
      </c>
      <c r="BY67" s="3" t="s">
        <v>200</v>
      </c>
      <c r="BZ67" s="3" t="s">
        <v>93</v>
      </c>
      <c r="CB67" s="3" t="s">
        <v>84</v>
      </c>
    </row>
    <row r="68" spans="1:87" ht="15.75" customHeight="1" x14ac:dyDescent="0.15">
      <c r="A68" s="3">
        <v>1322471582</v>
      </c>
      <c r="B68" s="3" t="s">
        <v>192</v>
      </c>
      <c r="C68" s="3" t="s">
        <v>192</v>
      </c>
      <c r="D68" s="3">
        <v>5</v>
      </c>
      <c r="E68" s="3">
        <v>5</v>
      </c>
      <c r="F68" s="3">
        <v>135.54400000000001</v>
      </c>
      <c r="G68" s="3">
        <v>2</v>
      </c>
      <c r="H68" s="3">
        <v>92.724999999999994</v>
      </c>
      <c r="I68" s="3" t="s">
        <v>81</v>
      </c>
      <c r="J68" s="3">
        <v>41.35</v>
      </c>
      <c r="K68" s="3">
        <v>7.6150000000000002</v>
      </c>
      <c r="L68" s="3">
        <v>1.121</v>
      </c>
      <c r="M68" s="3" t="s">
        <v>81</v>
      </c>
      <c r="N68" s="3" t="s">
        <v>81</v>
      </c>
      <c r="O68" s="3" t="s">
        <v>81</v>
      </c>
      <c r="P68" s="3" t="s">
        <v>81</v>
      </c>
      <c r="Q68" s="3">
        <v>120.24</v>
      </c>
      <c r="R68" s="3">
        <v>2</v>
      </c>
      <c r="S68" s="3">
        <v>89.350999999999999</v>
      </c>
      <c r="T68" s="3">
        <v>21.882000000000001</v>
      </c>
      <c r="U68" s="3">
        <v>27.742999999999999</v>
      </c>
      <c r="V68" s="3">
        <v>2.113</v>
      </c>
      <c r="W68" s="3">
        <v>1.002</v>
      </c>
      <c r="X68" s="3" t="s">
        <v>81</v>
      </c>
      <c r="Y68" s="3" t="s">
        <v>81</v>
      </c>
      <c r="Z68" s="3" t="s">
        <v>81</v>
      </c>
      <c r="AA68" s="3" t="s">
        <v>81</v>
      </c>
      <c r="AB68" s="3">
        <v>116.548</v>
      </c>
      <c r="AC68" s="3">
        <v>2</v>
      </c>
      <c r="AD68" s="3">
        <v>92.064999999999998</v>
      </c>
      <c r="AE68" s="3">
        <v>26.128</v>
      </c>
      <c r="AF68" s="3">
        <v>24.096</v>
      </c>
      <c r="AG68" s="3" t="s">
        <v>81</v>
      </c>
      <c r="AH68" s="3">
        <v>0.77200000000000002</v>
      </c>
      <c r="AI68" s="3" t="s">
        <v>81</v>
      </c>
      <c r="AJ68" s="3" t="s">
        <v>81</v>
      </c>
      <c r="AK68" s="3" t="s">
        <v>81</v>
      </c>
      <c r="AL68" s="3" t="s">
        <v>81</v>
      </c>
      <c r="AM68" s="3">
        <v>132.136</v>
      </c>
      <c r="AN68" s="3">
        <v>2</v>
      </c>
      <c r="AO68" s="3">
        <v>82.738</v>
      </c>
      <c r="AP68" s="3">
        <v>21.786000000000001</v>
      </c>
      <c r="AQ68" s="3">
        <v>46.322000000000003</v>
      </c>
      <c r="AR68" s="3" t="s">
        <v>81</v>
      </c>
      <c r="AS68" s="3">
        <v>1.22</v>
      </c>
      <c r="AT68" s="3" t="s">
        <v>81</v>
      </c>
      <c r="AU68" s="3" t="s">
        <v>81</v>
      </c>
      <c r="AV68" s="3" t="s">
        <v>81</v>
      </c>
      <c r="AW68" s="3" t="s">
        <v>81</v>
      </c>
      <c r="AX68" s="3">
        <v>127.884</v>
      </c>
      <c r="AY68" s="3">
        <v>1</v>
      </c>
      <c r="AZ68" s="3">
        <v>82.617999999999995</v>
      </c>
      <c r="BA68" s="3">
        <v>17.038</v>
      </c>
      <c r="BB68" s="3">
        <v>47.201000000000001</v>
      </c>
      <c r="BC68" s="3" t="s">
        <v>81</v>
      </c>
      <c r="BD68" s="3" t="s">
        <v>81</v>
      </c>
      <c r="BE68" s="3" t="s">
        <v>81</v>
      </c>
      <c r="BF68" s="3" t="s">
        <v>81</v>
      </c>
      <c r="BG68" s="3" t="s">
        <v>81</v>
      </c>
      <c r="BH68" s="3" t="s">
        <v>81</v>
      </c>
      <c r="BI68" s="3" t="s">
        <v>84</v>
      </c>
      <c r="BJ68" s="3" t="s">
        <v>84</v>
      </c>
      <c r="BK68" s="3" t="s">
        <v>84</v>
      </c>
      <c r="BL68" s="3" t="s">
        <v>84</v>
      </c>
      <c r="BM68" s="3" t="s">
        <v>84</v>
      </c>
      <c r="BN68" s="3" t="s">
        <v>82</v>
      </c>
      <c r="BO68" s="3" t="s">
        <v>82</v>
      </c>
      <c r="BP68" s="3" t="s">
        <v>87</v>
      </c>
      <c r="BQ68" s="3" t="s">
        <v>87</v>
      </c>
      <c r="BR68" s="3" t="s">
        <v>98</v>
      </c>
      <c r="BS68" s="3" t="s">
        <v>98</v>
      </c>
      <c r="BT68" s="3" t="s">
        <v>87</v>
      </c>
      <c r="BU68" s="3" t="s">
        <v>98</v>
      </c>
      <c r="BV68" s="3" t="s">
        <v>84</v>
      </c>
      <c r="BW68" s="3" t="s">
        <v>83</v>
      </c>
      <c r="BX68" s="3" t="s">
        <v>82</v>
      </c>
      <c r="BY68" s="3" t="s">
        <v>201</v>
      </c>
      <c r="BZ68" s="3" t="s">
        <v>86</v>
      </c>
      <c r="CB68" s="3" t="s">
        <v>84</v>
      </c>
    </row>
    <row r="69" spans="1:87" x14ac:dyDescent="0.15">
      <c r="A69" s="3">
        <v>1847941347</v>
      </c>
      <c r="B69" s="3" t="s">
        <v>385</v>
      </c>
      <c r="C69" s="3" t="s">
        <v>386</v>
      </c>
      <c r="D69" s="3">
        <v>10</v>
      </c>
      <c r="E69" s="3">
        <v>10</v>
      </c>
      <c r="F69" s="3">
        <v>22.265999999999998</v>
      </c>
      <c r="G69" s="3">
        <v>0</v>
      </c>
      <c r="H69" s="3" t="s">
        <v>81</v>
      </c>
      <c r="I69" s="3" t="s">
        <v>81</v>
      </c>
      <c r="J69" s="3" t="s">
        <v>81</v>
      </c>
      <c r="K69" s="3" t="s">
        <v>81</v>
      </c>
      <c r="L69" s="3" t="s">
        <v>81</v>
      </c>
      <c r="M69" s="3" t="s">
        <v>81</v>
      </c>
      <c r="N69" s="3" t="s">
        <v>81</v>
      </c>
      <c r="O69" s="3" t="s">
        <v>81</v>
      </c>
      <c r="P69" s="3" t="s">
        <v>81</v>
      </c>
      <c r="Q69" s="3">
        <v>24.835000000000001</v>
      </c>
      <c r="R69" s="3">
        <v>0</v>
      </c>
      <c r="S69" s="3" t="s">
        <v>81</v>
      </c>
      <c r="T69" s="3" t="s">
        <v>81</v>
      </c>
      <c r="U69" s="3" t="s">
        <v>81</v>
      </c>
      <c r="V69" s="3" t="s">
        <v>81</v>
      </c>
      <c r="W69" s="3" t="s">
        <v>81</v>
      </c>
      <c r="X69" s="3" t="s">
        <v>81</v>
      </c>
      <c r="Y69" s="3" t="s">
        <v>81</v>
      </c>
      <c r="Z69" s="3" t="s">
        <v>81</v>
      </c>
      <c r="AA69" s="3" t="s">
        <v>81</v>
      </c>
      <c r="AB69" s="3">
        <v>24.170999999999999</v>
      </c>
      <c r="AC69" s="3">
        <v>0</v>
      </c>
      <c r="AD69" s="3" t="s">
        <v>81</v>
      </c>
      <c r="AE69" s="3" t="s">
        <v>81</v>
      </c>
      <c r="AF69" s="3" t="s">
        <v>81</v>
      </c>
      <c r="AG69" s="3" t="s">
        <v>81</v>
      </c>
      <c r="AH69" s="3" t="s">
        <v>81</v>
      </c>
      <c r="AI69" s="3" t="s">
        <v>81</v>
      </c>
      <c r="AJ69" s="3" t="s">
        <v>81</v>
      </c>
      <c r="AK69" s="3" t="s">
        <v>81</v>
      </c>
      <c r="AL69" s="3" t="s">
        <v>81</v>
      </c>
      <c r="AM69" s="3">
        <v>23.300999999999998</v>
      </c>
      <c r="AN69" s="3">
        <v>1</v>
      </c>
      <c r="AO69" s="3" t="s">
        <v>81</v>
      </c>
      <c r="AP69" s="3" t="s">
        <v>81</v>
      </c>
      <c r="AQ69" s="3" t="s">
        <v>81</v>
      </c>
      <c r="AR69" s="3" t="s">
        <v>81</v>
      </c>
      <c r="AS69" s="3" t="s">
        <v>81</v>
      </c>
      <c r="AT69" s="3" t="s">
        <v>81</v>
      </c>
      <c r="AU69" s="3" t="s">
        <v>81</v>
      </c>
      <c r="AV69" s="3" t="s">
        <v>81</v>
      </c>
      <c r="AW69" s="3" t="s">
        <v>81</v>
      </c>
      <c r="AX69" s="3">
        <v>22.187000000000001</v>
      </c>
      <c r="AY69" s="3">
        <v>0</v>
      </c>
      <c r="AZ69" s="3" t="s">
        <v>81</v>
      </c>
      <c r="BA69" s="3" t="s">
        <v>81</v>
      </c>
      <c r="BB69" s="3" t="s">
        <v>81</v>
      </c>
      <c r="BC69" s="3" t="s">
        <v>81</v>
      </c>
      <c r="BD69" s="3" t="s">
        <v>81</v>
      </c>
      <c r="BE69" s="3" t="s">
        <v>81</v>
      </c>
      <c r="BF69" s="3" t="s">
        <v>81</v>
      </c>
      <c r="BG69" s="3" t="s">
        <v>81</v>
      </c>
      <c r="BH69" s="3" t="s">
        <v>81</v>
      </c>
      <c r="BI69" s="3" t="s">
        <v>84</v>
      </c>
      <c r="BJ69" s="3" t="s">
        <v>82</v>
      </c>
      <c r="BK69" s="3" t="s">
        <v>83</v>
      </c>
      <c r="BL69" s="3" t="s">
        <v>84</v>
      </c>
      <c r="BM69" s="3" t="s">
        <v>84</v>
      </c>
      <c r="BN69" s="3" t="s">
        <v>84</v>
      </c>
      <c r="BO69" s="3" t="s">
        <v>84</v>
      </c>
      <c r="BP69" s="3" t="s">
        <v>106</v>
      </c>
      <c r="BQ69" s="3" t="s">
        <v>106</v>
      </c>
      <c r="BR69" s="3" t="s">
        <v>387</v>
      </c>
      <c r="BS69" s="3" t="s">
        <v>387</v>
      </c>
      <c r="BT69" s="3" t="s">
        <v>106</v>
      </c>
      <c r="BU69" s="3" t="s">
        <v>129</v>
      </c>
      <c r="BV69" s="3" t="s">
        <v>84</v>
      </c>
      <c r="BW69" s="3" t="s">
        <v>83</v>
      </c>
      <c r="BX69" s="3" t="s">
        <v>82</v>
      </c>
      <c r="BZ69" s="3" t="s">
        <v>93</v>
      </c>
      <c r="CB69" s="3" t="s">
        <v>84</v>
      </c>
    </row>
    <row r="70" spans="1:87" x14ac:dyDescent="0.15">
      <c r="A70" s="3">
        <v>2643362945</v>
      </c>
      <c r="B70" s="3" t="s">
        <v>385</v>
      </c>
      <c r="C70" s="3" t="s">
        <v>386</v>
      </c>
      <c r="D70" s="3" t="s">
        <v>81</v>
      </c>
      <c r="E70" s="3">
        <v>20</v>
      </c>
      <c r="F70" s="3">
        <v>48.052999999999997</v>
      </c>
      <c r="G70" s="3">
        <v>2</v>
      </c>
      <c r="H70" s="3">
        <v>31.259</v>
      </c>
      <c r="I70" s="3">
        <v>19.503</v>
      </c>
      <c r="J70" s="3">
        <v>16.739999999999998</v>
      </c>
      <c r="K70" s="3">
        <v>5.8890000000000002</v>
      </c>
      <c r="L70" s="3">
        <v>0.49</v>
      </c>
      <c r="M70" s="3" t="s">
        <v>81</v>
      </c>
      <c r="N70" s="3" t="s">
        <v>81</v>
      </c>
      <c r="O70" s="3" t="s">
        <v>81</v>
      </c>
      <c r="P70" s="3" t="s">
        <v>81</v>
      </c>
      <c r="Q70" s="3">
        <v>49.237000000000002</v>
      </c>
      <c r="R70" s="3">
        <v>2</v>
      </c>
      <c r="S70" s="3">
        <v>31.262</v>
      </c>
      <c r="T70" s="3">
        <v>20.094999999999999</v>
      </c>
      <c r="U70" s="3">
        <v>17.818999999999999</v>
      </c>
      <c r="V70" s="3">
        <v>7.84</v>
      </c>
      <c r="W70" s="3">
        <v>0.20599999999999999</v>
      </c>
      <c r="X70" s="3" t="s">
        <v>81</v>
      </c>
      <c r="Y70" s="3" t="s">
        <v>81</v>
      </c>
      <c r="Z70" s="3" t="s">
        <v>81</v>
      </c>
      <c r="AA70" s="3" t="s">
        <v>81</v>
      </c>
      <c r="AB70" s="3">
        <v>32.058</v>
      </c>
      <c r="AC70" s="3">
        <v>2</v>
      </c>
      <c r="AD70" s="3">
        <v>23.567</v>
      </c>
      <c r="AE70" s="3">
        <v>20.472000000000001</v>
      </c>
      <c r="AF70" s="3">
        <v>6.8310000000000004</v>
      </c>
      <c r="AG70" s="3">
        <v>2.5590000000000002</v>
      </c>
      <c r="AH70" s="3">
        <v>1.444</v>
      </c>
      <c r="AI70" s="3" t="s">
        <v>81</v>
      </c>
      <c r="AJ70" s="3" t="s">
        <v>81</v>
      </c>
      <c r="AK70" s="3" t="s">
        <v>81</v>
      </c>
      <c r="AL70" s="3" t="s">
        <v>81</v>
      </c>
      <c r="AM70" s="3">
        <v>51.19</v>
      </c>
      <c r="AN70" s="3">
        <v>2</v>
      </c>
      <c r="AO70" s="3">
        <v>37.07</v>
      </c>
      <c r="AP70" s="3">
        <v>15.124000000000001</v>
      </c>
      <c r="AQ70" s="3">
        <v>12.939</v>
      </c>
      <c r="AR70" s="3">
        <v>6.0549999999999997</v>
      </c>
      <c r="AS70" s="3">
        <v>0.35099999999999998</v>
      </c>
      <c r="AT70" s="3" t="s">
        <v>81</v>
      </c>
      <c r="AU70" s="3" t="s">
        <v>81</v>
      </c>
      <c r="AV70" s="3" t="s">
        <v>81</v>
      </c>
      <c r="AW70" s="3" t="s">
        <v>81</v>
      </c>
      <c r="AX70" s="3">
        <v>51.506999999999998</v>
      </c>
      <c r="AY70" s="3">
        <v>2</v>
      </c>
      <c r="AZ70" s="3">
        <v>33.341999999999999</v>
      </c>
      <c r="BA70" s="3">
        <v>22.507999999999999</v>
      </c>
      <c r="BB70" s="3">
        <v>16.86</v>
      </c>
      <c r="BC70" s="3">
        <v>7.55</v>
      </c>
      <c r="BD70" s="3">
        <v>0.59299999999999997</v>
      </c>
      <c r="BE70" s="3" t="s">
        <v>81</v>
      </c>
      <c r="BF70" s="3" t="s">
        <v>81</v>
      </c>
      <c r="BG70" s="3" t="s">
        <v>81</v>
      </c>
      <c r="BH70" s="3" t="s">
        <v>81</v>
      </c>
      <c r="BI70" s="3" t="s">
        <v>84</v>
      </c>
      <c r="BJ70" s="3" t="s">
        <v>84</v>
      </c>
      <c r="BK70" s="3" t="s">
        <v>82</v>
      </c>
      <c r="BL70" s="3" t="s">
        <v>84</v>
      </c>
      <c r="BM70" s="3" t="s">
        <v>84</v>
      </c>
      <c r="BN70" s="3" t="s">
        <v>82</v>
      </c>
      <c r="BO70" s="3" t="s">
        <v>84</v>
      </c>
      <c r="BP70" s="3" t="s">
        <v>81</v>
      </c>
      <c r="BQ70" s="3" t="s">
        <v>81</v>
      </c>
      <c r="BR70" s="3" t="s">
        <v>81</v>
      </c>
      <c r="BS70" s="3" t="s">
        <v>81</v>
      </c>
      <c r="BT70" s="3" t="s">
        <v>81</v>
      </c>
      <c r="BU70" s="3" t="s">
        <v>81</v>
      </c>
      <c r="BV70" s="3" t="s">
        <v>84</v>
      </c>
      <c r="BW70" s="3" t="s">
        <v>83</v>
      </c>
      <c r="BX70" s="3" t="s">
        <v>82</v>
      </c>
      <c r="BY70" s="3" t="s">
        <v>388</v>
      </c>
      <c r="BZ70" s="3" t="s">
        <v>86</v>
      </c>
      <c r="CB70" s="3" t="s">
        <v>84</v>
      </c>
    </row>
    <row r="71" spans="1:87" x14ac:dyDescent="0.15">
      <c r="A71" s="3">
        <v>1228255879</v>
      </c>
      <c r="B71" s="3" t="s">
        <v>386</v>
      </c>
      <c r="C71" s="3" t="s">
        <v>386</v>
      </c>
      <c r="D71" s="3">
        <v>10</v>
      </c>
      <c r="E71" s="3">
        <v>13</v>
      </c>
      <c r="F71" s="3">
        <v>44.156999999999996</v>
      </c>
      <c r="G71" s="3">
        <v>0</v>
      </c>
      <c r="H71" s="3" t="s">
        <v>81</v>
      </c>
      <c r="I71" s="3" t="s">
        <v>81</v>
      </c>
      <c r="J71" s="3" t="s">
        <v>81</v>
      </c>
      <c r="K71" s="3" t="s">
        <v>81</v>
      </c>
      <c r="L71" s="3" t="s">
        <v>81</v>
      </c>
      <c r="M71" s="3" t="s">
        <v>81</v>
      </c>
      <c r="N71" s="3" t="s">
        <v>81</v>
      </c>
      <c r="O71" s="3" t="s">
        <v>81</v>
      </c>
      <c r="P71" s="3" t="s">
        <v>81</v>
      </c>
      <c r="Q71" s="3">
        <v>47.814999999999998</v>
      </c>
      <c r="R71" s="3">
        <v>0</v>
      </c>
      <c r="S71" s="3" t="s">
        <v>81</v>
      </c>
      <c r="T71" s="3" t="s">
        <v>81</v>
      </c>
      <c r="U71" s="3" t="s">
        <v>81</v>
      </c>
      <c r="V71" s="3" t="s">
        <v>81</v>
      </c>
      <c r="W71" s="3" t="s">
        <v>81</v>
      </c>
      <c r="X71" s="3" t="s">
        <v>81</v>
      </c>
      <c r="Y71" s="3" t="s">
        <v>81</v>
      </c>
      <c r="Z71" s="3" t="s">
        <v>81</v>
      </c>
      <c r="AA71" s="3" t="s">
        <v>81</v>
      </c>
      <c r="AB71" s="3">
        <v>49.817999999999998</v>
      </c>
      <c r="AC71" s="3">
        <v>0</v>
      </c>
      <c r="AD71" s="3" t="s">
        <v>81</v>
      </c>
      <c r="AE71" s="3" t="s">
        <v>81</v>
      </c>
      <c r="AF71" s="3" t="s">
        <v>81</v>
      </c>
      <c r="AG71" s="3" t="s">
        <v>81</v>
      </c>
      <c r="AH71" s="3" t="s">
        <v>81</v>
      </c>
      <c r="AI71" s="3" t="s">
        <v>81</v>
      </c>
      <c r="AJ71" s="3" t="s">
        <v>81</v>
      </c>
      <c r="AK71" s="3" t="s">
        <v>81</v>
      </c>
      <c r="AL71" s="3" t="s">
        <v>81</v>
      </c>
      <c r="AM71" s="3">
        <v>39.97</v>
      </c>
      <c r="AN71" s="3">
        <v>0</v>
      </c>
      <c r="AO71" s="3" t="s">
        <v>81</v>
      </c>
      <c r="AP71" s="3" t="s">
        <v>81</v>
      </c>
      <c r="AQ71" s="3" t="s">
        <v>81</v>
      </c>
      <c r="AR71" s="3" t="s">
        <v>81</v>
      </c>
      <c r="AS71" s="3" t="s">
        <v>81</v>
      </c>
      <c r="AT71" s="3" t="s">
        <v>81</v>
      </c>
      <c r="AU71" s="3" t="s">
        <v>81</v>
      </c>
      <c r="AV71" s="3" t="s">
        <v>81</v>
      </c>
      <c r="AW71" s="3" t="s">
        <v>81</v>
      </c>
      <c r="AX71" s="3">
        <v>49.622999999999998</v>
      </c>
      <c r="AY71" s="3">
        <v>0</v>
      </c>
      <c r="AZ71" s="3" t="s">
        <v>81</v>
      </c>
      <c r="BA71" s="3" t="s">
        <v>81</v>
      </c>
      <c r="BB71" s="3" t="s">
        <v>81</v>
      </c>
      <c r="BC71" s="3" t="s">
        <v>81</v>
      </c>
      <c r="BD71" s="3" t="s">
        <v>81</v>
      </c>
      <c r="BE71" s="3" t="s">
        <v>81</v>
      </c>
      <c r="BF71" s="3" t="s">
        <v>81</v>
      </c>
      <c r="BG71" s="3" t="s">
        <v>81</v>
      </c>
      <c r="BH71" s="3" t="s">
        <v>81</v>
      </c>
      <c r="BI71" s="3" t="s">
        <v>84</v>
      </c>
      <c r="BJ71" s="3" t="s">
        <v>84</v>
      </c>
      <c r="BK71" s="3" t="s">
        <v>84</v>
      </c>
      <c r="BL71" s="3" t="s">
        <v>84</v>
      </c>
      <c r="BM71" s="3" t="s">
        <v>84</v>
      </c>
      <c r="BN71" s="3" t="s">
        <v>82</v>
      </c>
      <c r="BO71" s="3" t="s">
        <v>84</v>
      </c>
      <c r="BP71" s="3" t="s">
        <v>106</v>
      </c>
      <c r="BQ71" s="3" t="s">
        <v>106</v>
      </c>
      <c r="BR71" s="3" t="s">
        <v>389</v>
      </c>
      <c r="BS71" s="3" t="s">
        <v>390</v>
      </c>
      <c r="BT71" s="3" t="s">
        <v>106</v>
      </c>
      <c r="BU71" s="3" t="s">
        <v>129</v>
      </c>
      <c r="BV71" s="3" t="s">
        <v>84</v>
      </c>
      <c r="BW71" s="3" t="s">
        <v>83</v>
      </c>
      <c r="BX71" s="3" t="s">
        <v>82</v>
      </c>
      <c r="BZ71" s="3" t="s">
        <v>93</v>
      </c>
      <c r="CB71" s="3" t="s">
        <v>84</v>
      </c>
    </row>
    <row r="72" spans="1:87" x14ac:dyDescent="0.15">
      <c r="A72" s="3">
        <v>1228385648</v>
      </c>
      <c r="B72" s="3" t="s">
        <v>386</v>
      </c>
      <c r="C72" s="3" t="s">
        <v>386</v>
      </c>
      <c r="D72" s="3">
        <v>6</v>
      </c>
      <c r="E72" s="3">
        <v>9</v>
      </c>
      <c r="F72" s="3">
        <v>85.856999999999999</v>
      </c>
      <c r="G72" s="3">
        <v>2</v>
      </c>
      <c r="H72" s="3">
        <v>49.332999999999998</v>
      </c>
      <c r="I72" s="3">
        <v>29.588000000000001</v>
      </c>
      <c r="J72" s="3">
        <v>17.34</v>
      </c>
      <c r="K72" s="3">
        <v>25.556999999999999</v>
      </c>
      <c r="L72" s="3">
        <v>16.277999999999999</v>
      </c>
      <c r="M72" s="3" t="s">
        <v>81</v>
      </c>
      <c r="N72" s="3" t="s">
        <v>81</v>
      </c>
      <c r="O72" s="3" t="s">
        <v>81</v>
      </c>
      <c r="P72" s="3" t="s">
        <v>81</v>
      </c>
      <c r="Q72" s="3">
        <v>84.391000000000005</v>
      </c>
      <c r="R72" s="3">
        <v>2</v>
      </c>
      <c r="S72" s="3">
        <v>38.972000000000001</v>
      </c>
      <c r="T72" s="3">
        <v>34.951000000000001</v>
      </c>
      <c r="U72" s="3">
        <v>24.739000000000001</v>
      </c>
      <c r="V72" s="3">
        <v>23.765000000000001</v>
      </c>
      <c r="W72" s="3">
        <v>17.039000000000001</v>
      </c>
      <c r="X72" s="3" t="s">
        <v>81</v>
      </c>
      <c r="Y72" s="3" t="s">
        <v>81</v>
      </c>
      <c r="Z72" s="3" t="s">
        <v>81</v>
      </c>
      <c r="AA72" s="3" t="s">
        <v>81</v>
      </c>
      <c r="AB72" s="3">
        <v>75.471999999999994</v>
      </c>
      <c r="AC72" s="3">
        <v>2</v>
      </c>
      <c r="AD72" s="3">
        <v>32.012999999999998</v>
      </c>
      <c r="AE72" s="3">
        <v>40.39</v>
      </c>
      <c r="AF72" s="3">
        <v>24.346</v>
      </c>
      <c r="AG72" s="3">
        <v>26.978999999999999</v>
      </c>
      <c r="AH72" s="3">
        <v>16.13</v>
      </c>
      <c r="AI72" s="3" t="s">
        <v>81</v>
      </c>
      <c r="AJ72" s="3" t="s">
        <v>81</v>
      </c>
      <c r="AK72" s="3" t="s">
        <v>81</v>
      </c>
      <c r="AL72" s="3" t="s">
        <v>81</v>
      </c>
      <c r="AM72" s="3">
        <v>77.915000000000006</v>
      </c>
      <c r="AN72" s="3">
        <v>2</v>
      </c>
      <c r="AO72" s="3">
        <v>38.484000000000002</v>
      </c>
      <c r="AP72" s="3">
        <v>34.078000000000003</v>
      </c>
      <c r="AQ72" s="3">
        <v>18.388999999999999</v>
      </c>
      <c r="AR72" s="3">
        <v>29.315000000000001</v>
      </c>
      <c r="AS72" s="3">
        <v>18.777999999999999</v>
      </c>
      <c r="AT72" s="3" t="s">
        <v>81</v>
      </c>
      <c r="AU72" s="3" t="s">
        <v>81</v>
      </c>
      <c r="AV72" s="3" t="s">
        <v>81</v>
      </c>
      <c r="AW72" s="3" t="s">
        <v>81</v>
      </c>
      <c r="AX72" s="3">
        <v>77.466999999999999</v>
      </c>
      <c r="AY72" s="3">
        <v>2</v>
      </c>
      <c r="AZ72" s="3">
        <v>48.743000000000002</v>
      </c>
      <c r="BA72" s="3">
        <v>26.119</v>
      </c>
      <c r="BB72" s="3">
        <v>9.9740000000000002</v>
      </c>
      <c r="BC72" s="3">
        <v>27.725000000000001</v>
      </c>
      <c r="BD72" s="3">
        <v>17.277000000000001</v>
      </c>
      <c r="BE72" s="3" t="s">
        <v>81</v>
      </c>
      <c r="BF72" s="3" t="s">
        <v>81</v>
      </c>
      <c r="BG72" s="3" t="s">
        <v>81</v>
      </c>
      <c r="BH72" s="3" t="s">
        <v>81</v>
      </c>
      <c r="BI72" s="3" t="s">
        <v>84</v>
      </c>
      <c r="BJ72" s="3" t="s">
        <v>82</v>
      </c>
      <c r="BK72" s="3" t="s">
        <v>83</v>
      </c>
      <c r="BL72" s="3" t="s">
        <v>84</v>
      </c>
      <c r="BM72" s="3" t="s">
        <v>84</v>
      </c>
      <c r="BN72" s="3" t="s">
        <v>82</v>
      </c>
      <c r="BO72" s="3" t="s">
        <v>84</v>
      </c>
      <c r="BP72" s="3" t="s">
        <v>391</v>
      </c>
      <c r="BQ72" s="3" t="s">
        <v>391</v>
      </c>
      <c r="BR72" s="3" t="s">
        <v>392</v>
      </c>
      <c r="BS72" s="3" t="s">
        <v>393</v>
      </c>
      <c r="BT72" s="3" t="s">
        <v>87</v>
      </c>
      <c r="BU72" s="3" t="s">
        <v>106</v>
      </c>
      <c r="BV72" s="3" t="s">
        <v>84</v>
      </c>
      <c r="BW72" s="3" t="s">
        <v>83</v>
      </c>
      <c r="BX72" s="3" t="s">
        <v>82</v>
      </c>
      <c r="BZ72" s="3" t="s">
        <v>93</v>
      </c>
      <c r="CB72" s="3" t="s">
        <v>84</v>
      </c>
    </row>
    <row r="73" spans="1:87" x14ac:dyDescent="0.15">
      <c r="A73" s="3">
        <v>1228544806</v>
      </c>
      <c r="B73" s="3" t="s">
        <v>386</v>
      </c>
      <c r="C73" s="3" t="s">
        <v>386</v>
      </c>
      <c r="D73" s="3">
        <v>2</v>
      </c>
      <c r="E73" s="3">
        <v>2</v>
      </c>
      <c r="F73" s="3">
        <v>49.103999999999999</v>
      </c>
      <c r="G73" s="3">
        <v>0</v>
      </c>
      <c r="H73" s="3" t="s">
        <v>81</v>
      </c>
      <c r="I73" s="3" t="s">
        <v>81</v>
      </c>
      <c r="J73" s="3" t="s">
        <v>81</v>
      </c>
      <c r="K73" s="3" t="s">
        <v>81</v>
      </c>
      <c r="L73" s="3" t="s">
        <v>81</v>
      </c>
      <c r="M73" s="3" t="s">
        <v>81</v>
      </c>
      <c r="N73" s="3" t="s">
        <v>81</v>
      </c>
      <c r="O73" s="3" t="s">
        <v>81</v>
      </c>
      <c r="P73" s="3" t="s">
        <v>81</v>
      </c>
      <c r="Q73" s="3">
        <v>55.561</v>
      </c>
      <c r="R73" s="3">
        <v>0</v>
      </c>
      <c r="S73" s="3" t="s">
        <v>81</v>
      </c>
      <c r="T73" s="3" t="s">
        <v>81</v>
      </c>
      <c r="U73" s="3" t="s">
        <v>81</v>
      </c>
      <c r="V73" s="3" t="s">
        <v>81</v>
      </c>
      <c r="W73" s="3" t="s">
        <v>81</v>
      </c>
      <c r="X73" s="3" t="s">
        <v>81</v>
      </c>
      <c r="Y73" s="3" t="s">
        <v>81</v>
      </c>
      <c r="Z73" s="3" t="s">
        <v>81</v>
      </c>
      <c r="AA73" s="3" t="s">
        <v>81</v>
      </c>
      <c r="AB73" s="3" t="s">
        <v>81</v>
      </c>
      <c r="AC73" s="3" t="s">
        <v>81</v>
      </c>
      <c r="AD73" s="3" t="s">
        <v>81</v>
      </c>
      <c r="AE73" s="3" t="s">
        <v>81</v>
      </c>
      <c r="AF73" s="3" t="s">
        <v>81</v>
      </c>
      <c r="AG73" s="3" t="s">
        <v>81</v>
      </c>
      <c r="AH73" s="3" t="s">
        <v>81</v>
      </c>
      <c r="AI73" s="3" t="s">
        <v>81</v>
      </c>
      <c r="AJ73" s="3" t="s">
        <v>81</v>
      </c>
      <c r="AK73" s="3" t="s">
        <v>81</v>
      </c>
      <c r="AL73" s="3" t="s">
        <v>81</v>
      </c>
      <c r="AM73" s="3" t="s">
        <v>81</v>
      </c>
      <c r="AN73" s="3" t="s">
        <v>81</v>
      </c>
      <c r="AO73" s="3" t="s">
        <v>81</v>
      </c>
      <c r="AP73" s="3" t="s">
        <v>81</v>
      </c>
      <c r="AQ73" s="3" t="s">
        <v>81</v>
      </c>
      <c r="AR73" s="3" t="s">
        <v>81</v>
      </c>
      <c r="AS73" s="3" t="s">
        <v>81</v>
      </c>
      <c r="AT73" s="3" t="s">
        <v>81</v>
      </c>
      <c r="AU73" s="3" t="s">
        <v>81</v>
      </c>
      <c r="AV73" s="3" t="s">
        <v>81</v>
      </c>
      <c r="AW73" s="3" t="s">
        <v>81</v>
      </c>
      <c r="AX73" s="3" t="s">
        <v>81</v>
      </c>
      <c r="AY73" s="3" t="s">
        <v>81</v>
      </c>
      <c r="AZ73" s="3" t="s">
        <v>81</v>
      </c>
      <c r="BA73" s="3" t="s">
        <v>81</v>
      </c>
      <c r="BB73" s="3" t="s">
        <v>81</v>
      </c>
      <c r="BC73" s="3" t="s">
        <v>81</v>
      </c>
      <c r="BD73" s="3" t="s">
        <v>81</v>
      </c>
      <c r="BE73" s="3" t="s">
        <v>81</v>
      </c>
      <c r="BF73" s="3" t="s">
        <v>81</v>
      </c>
      <c r="BG73" s="3" t="s">
        <v>81</v>
      </c>
      <c r="BH73" s="3" t="s">
        <v>81</v>
      </c>
      <c r="BI73" s="3" t="s">
        <v>84</v>
      </c>
      <c r="BJ73" s="3" t="s">
        <v>82</v>
      </c>
      <c r="BK73" s="3" t="s">
        <v>83</v>
      </c>
      <c r="BL73" s="3" t="s">
        <v>84</v>
      </c>
      <c r="BM73" s="3" t="s">
        <v>82</v>
      </c>
      <c r="BN73" s="3" t="s">
        <v>84</v>
      </c>
      <c r="BO73" s="3" t="s">
        <v>84</v>
      </c>
      <c r="BP73" s="3" t="s">
        <v>87</v>
      </c>
      <c r="BQ73" s="3" t="s">
        <v>87</v>
      </c>
      <c r="BR73" s="3" t="s">
        <v>87</v>
      </c>
      <c r="BS73" s="3" t="s">
        <v>394</v>
      </c>
      <c r="BT73" s="3" t="s">
        <v>87</v>
      </c>
      <c r="BU73" s="3" t="s">
        <v>81</v>
      </c>
      <c r="BV73" s="3" t="s">
        <v>82</v>
      </c>
      <c r="BW73" s="3" t="s">
        <v>111</v>
      </c>
      <c r="BX73" s="3" t="s">
        <v>82</v>
      </c>
      <c r="BZ73" s="3" t="s">
        <v>93</v>
      </c>
      <c r="CB73" s="3" t="s">
        <v>84</v>
      </c>
    </row>
    <row r="74" spans="1:87" x14ac:dyDescent="0.15">
      <c r="A74" s="3">
        <v>1847932608</v>
      </c>
      <c r="B74" s="3" t="s">
        <v>386</v>
      </c>
      <c r="C74" s="3" t="s">
        <v>386</v>
      </c>
      <c r="D74" s="3">
        <v>4</v>
      </c>
      <c r="E74" s="3">
        <v>4</v>
      </c>
      <c r="F74" s="3">
        <v>38.787999999999997</v>
      </c>
      <c r="G74" s="3">
        <v>0</v>
      </c>
      <c r="H74" s="3" t="s">
        <v>81</v>
      </c>
      <c r="I74" s="3" t="s">
        <v>81</v>
      </c>
      <c r="J74" s="3" t="s">
        <v>81</v>
      </c>
      <c r="K74" s="3" t="s">
        <v>81</v>
      </c>
      <c r="L74" s="3" t="s">
        <v>81</v>
      </c>
      <c r="M74" s="3" t="s">
        <v>81</v>
      </c>
      <c r="N74" s="3" t="s">
        <v>81</v>
      </c>
      <c r="O74" s="3" t="s">
        <v>81</v>
      </c>
      <c r="P74" s="3" t="s">
        <v>81</v>
      </c>
      <c r="Q74" s="3">
        <v>40.895000000000003</v>
      </c>
      <c r="R74" s="3">
        <v>0</v>
      </c>
      <c r="S74" s="3" t="s">
        <v>81</v>
      </c>
      <c r="T74" s="3" t="s">
        <v>81</v>
      </c>
      <c r="U74" s="3" t="s">
        <v>81</v>
      </c>
      <c r="V74" s="3" t="s">
        <v>81</v>
      </c>
      <c r="W74" s="3" t="s">
        <v>81</v>
      </c>
      <c r="X74" s="3" t="s">
        <v>81</v>
      </c>
      <c r="Y74" s="3" t="s">
        <v>81</v>
      </c>
      <c r="Z74" s="3" t="s">
        <v>81</v>
      </c>
      <c r="AA74" s="3" t="s">
        <v>81</v>
      </c>
      <c r="AB74" s="3">
        <v>39.377000000000002</v>
      </c>
      <c r="AC74" s="3">
        <v>0</v>
      </c>
      <c r="AD74" s="3" t="s">
        <v>81</v>
      </c>
      <c r="AE74" s="3" t="s">
        <v>81</v>
      </c>
      <c r="AF74" s="3" t="s">
        <v>81</v>
      </c>
      <c r="AG74" s="3" t="s">
        <v>81</v>
      </c>
      <c r="AH74" s="3" t="s">
        <v>81</v>
      </c>
      <c r="AI74" s="3" t="s">
        <v>81</v>
      </c>
      <c r="AJ74" s="3" t="s">
        <v>81</v>
      </c>
      <c r="AK74" s="3" t="s">
        <v>81</v>
      </c>
      <c r="AL74" s="3" t="s">
        <v>81</v>
      </c>
      <c r="AM74" s="3" t="s">
        <v>81</v>
      </c>
      <c r="AN74" s="3" t="s">
        <v>81</v>
      </c>
      <c r="AO74" s="3" t="s">
        <v>81</v>
      </c>
      <c r="AP74" s="3" t="s">
        <v>81</v>
      </c>
      <c r="AQ74" s="3" t="s">
        <v>81</v>
      </c>
      <c r="AR74" s="3" t="s">
        <v>81</v>
      </c>
      <c r="AS74" s="3" t="s">
        <v>81</v>
      </c>
      <c r="AT74" s="3" t="s">
        <v>81</v>
      </c>
      <c r="AU74" s="3" t="s">
        <v>81</v>
      </c>
      <c r="AV74" s="3" t="s">
        <v>81</v>
      </c>
      <c r="AW74" s="3" t="s">
        <v>81</v>
      </c>
      <c r="AX74" s="3" t="s">
        <v>81</v>
      </c>
      <c r="AY74" s="3" t="s">
        <v>81</v>
      </c>
      <c r="AZ74" s="3" t="s">
        <v>81</v>
      </c>
      <c r="BA74" s="3" t="s">
        <v>81</v>
      </c>
      <c r="BB74" s="3" t="s">
        <v>81</v>
      </c>
      <c r="BC74" s="3" t="s">
        <v>81</v>
      </c>
      <c r="BD74" s="3" t="s">
        <v>81</v>
      </c>
      <c r="BE74" s="3" t="s">
        <v>81</v>
      </c>
      <c r="BF74" s="3" t="s">
        <v>81</v>
      </c>
      <c r="BG74" s="3" t="s">
        <v>81</v>
      </c>
      <c r="BH74" s="3" t="s">
        <v>81</v>
      </c>
      <c r="BI74" s="3" t="s">
        <v>84</v>
      </c>
      <c r="BJ74" s="3" t="s">
        <v>82</v>
      </c>
      <c r="BK74" s="3" t="s">
        <v>83</v>
      </c>
      <c r="BL74" s="3" t="s">
        <v>84</v>
      </c>
      <c r="BM74" s="3" t="s">
        <v>84</v>
      </c>
      <c r="BN74" s="3" t="s">
        <v>84</v>
      </c>
      <c r="BO74" s="3" t="s">
        <v>84</v>
      </c>
      <c r="BP74" s="3" t="s">
        <v>87</v>
      </c>
      <c r="BQ74" s="3" t="s">
        <v>87</v>
      </c>
      <c r="BR74" s="3" t="s">
        <v>395</v>
      </c>
      <c r="BS74" s="3" t="s">
        <v>396</v>
      </c>
      <c r="BT74" s="3" t="s">
        <v>87</v>
      </c>
      <c r="BU74" s="3" t="s">
        <v>129</v>
      </c>
      <c r="BV74" s="3" t="s">
        <v>84</v>
      </c>
      <c r="BW74" s="3" t="s">
        <v>83</v>
      </c>
      <c r="BX74" s="3" t="s">
        <v>82</v>
      </c>
      <c r="BY74" s="3" t="s">
        <v>397</v>
      </c>
      <c r="BZ74" s="3" t="s">
        <v>93</v>
      </c>
      <c r="CB74" s="3" t="s">
        <v>84</v>
      </c>
    </row>
    <row r="75" spans="1:87" x14ac:dyDescent="0.15">
      <c r="A75" s="3">
        <v>1847923189</v>
      </c>
      <c r="B75" s="3" t="s">
        <v>398</v>
      </c>
      <c r="C75" s="3" t="s">
        <v>386</v>
      </c>
      <c r="D75" s="3">
        <v>2</v>
      </c>
      <c r="E75" s="3">
        <v>2</v>
      </c>
      <c r="F75" s="3">
        <v>61.259</v>
      </c>
      <c r="G75" s="3">
        <v>2</v>
      </c>
      <c r="H75" s="3">
        <v>32.098999999999997</v>
      </c>
      <c r="I75" s="3">
        <v>13.944000000000001</v>
      </c>
      <c r="J75" s="3">
        <v>26.364999999999998</v>
      </c>
      <c r="K75" s="3">
        <v>7.0620000000000003</v>
      </c>
      <c r="L75" s="3">
        <v>2.1459999999999999</v>
      </c>
      <c r="M75" s="3" t="s">
        <v>81</v>
      </c>
      <c r="N75" s="3" t="s">
        <v>81</v>
      </c>
      <c r="O75" s="3" t="s">
        <v>81</v>
      </c>
      <c r="P75" s="3" t="s">
        <v>81</v>
      </c>
      <c r="Q75" s="3">
        <v>31.672000000000001</v>
      </c>
      <c r="R75" s="3">
        <v>1</v>
      </c>
      <c r="S75" s="3">
        <v>29.21</v>
      </c>
      <c r="T75" s="3">
        <v>4.9130000000000003</v>
      </c>
      <c r="U75" s="3">
        <v>1.8089999999999999</v>
      </c>
      <c r="V75" s="3" t="s">
        <v>81</v>
      </c>
      <c r="W75" s="3" t="s">
        <v>81</v>
      </c>
      <c r="X75" s="3" t="s">
        <v>81</v>
      </c>
      <c r="Y75" s="3" t="s">
        <v>81</v>
      </c>
      <c r="Z75" s="3" t="s">
        <v>81</v>
      </c>
      <c r="AA75" s="3" t="s">
        <v>81</v>
      </c>
      <c r="AB75" s="3" t="s">
        <v>81</v>
      </c>
      <c r="AC75" s="3" t="s">
        <v>81</v>
      </c>
      <c r="AD75" s="3" t="s">
        <v>81</v>
      </c>
      <c r="AE75" s="3" t="s">
        <v>81</v>
      </c>
      <c r="AF75" s="3" t="s">
        <v>81</v>
      </c>
      <c r="AG75" s="3" t="s">
        <v>81</v>
      </c>
      <c r="AH75" s="3" t="s">
        <v>81</v>
      </c>
      <c r="AI75" s="3" t="s">
        <v>81</v>
      </c>
      <c r="AJ75" s="3" t="s">
        <v>81</v>
      </c>
      <c r="AK75" s="3" t="s">
        <v>81</v>
      </c>
      <c r="AL75" s="3" t="s">
        <v>81</v>
      </c>
      <c r="AM75" s="3" t="s">
        <v>81</v>
      </c>
      <c r="AN75" s="3" t="s">
        <v>81</v>
      </c>
      <c r="AO75" s="3" t="s">
        <v>81</v>
      </c>
      <c r="AP75" s="3" t="s">
        <v>81</v>
      </c>
      <c r="AQ75" s="3" t="s">
        <v>81</v>
      </c>
      <c r="AR75" s="3" t="s">
        <v>81</v>
      </c>
      <c r="AS75" s="3" t="s">
        <v>81</v>
      </c>
      <c r="AT75" s="3" t="s">
        <v>81</v>
      </c>
      <c r="AU75" s="3" t="s">
        <v>81</v>
      </c>
      <c r="AV75" s="3" t="s">
        <v>81</v>
      </c>
      <c r="AW75" s="3" t="s">
        <v>81</v>
      </c>
      <c r="AX75" s="3" t="s">
        <v>81</v>
      </c>
      <c r="AY75" s="3" t="s">
        <v>81</v>
      </c>
      <c r="AZ75" s="3" t="s">
        <v>81</v>
      </c>
      <c r="BA75" s="3" t="s">
        <v>81</v>
      </c>
      <c r="BB75" s="3" t="s">
        <v>81</v>
      </c>
      <c r="BC75" s="3" t="s">
        <v>81</v>
      </c>
      <c r="BD75" s="3" t="s">
        <v>81</v>
      </c>
      <c r="BE75" s="3" t="s">
        <v>81</v>
      </c>
      <c r="BF75" s="3" t="s">
        <v>81</v>
      </c>
      <c r="BG75" s="3" t="s">
        <v>81</v>
      </c>
      <c r="BH75" s="3" t="s">
        <v>81</v>
      </c>
      <c r="BI75" s="3" t="s">
        <v>84</v>
      </c>
      <c r="BJ75" s="3" t="s">
        <v>82</v>
      </c>
      <c r="BK75" s="3" t="s">
        <v>83</v>
      </c>
      <c r="BL75" s="3" t="s">
        <v>84</v>
      </c>
      <c r="BM75" s="3" t="s">
        <v>84</v>
      </c>
      <c r="BN75" s="3" t="s">
        <v>82</v>
      </c>
      <c r="BO75" s="3" t="s">
        <v>84</v>
      </c>
      <c r="BP75" s="3" t="s">
        <v>399</v>
      </c>
      <c r="BQ75" s="3" t="s">
        <v>399</v>
      </c>
      <c r="BR75" s="3" t="s">
        <v>400</v>
      </c>
      <c r="BS75" s="3" t="s">
        <v>401</v>
      </c>
      <c r="BT75" s="3" t="s">
        <v>106</v>
      </c>
      <c r="BU75" s="3" t="s">
        <v>98</v>
      </c>
      <c r="BV75" s="3" t="s">
        <v>84</v>
      </c>
      <c r="BW75" s="3" t="s">
        <v>83</v>
      </c>
      <c r="BX75" s="3" t="s">
        <v>82</v>
      </c>
      <c r="BZ75" s="3" t="s">
        <v>93</v>
      </c>
      <c r="CB75" s="3" t="s">
        <v>84</v>
      </c>
    </row>
    <row r="76" spans="1:87" x14ac:dyDescent="0.15">
      <c r="A76" s="3">
        <v>1847922301</v>
      </c>
      <c r="B76" s="3" t="s">
        <v>402</v>
      </c>
      <c r="C76" s="3" t="s">
        <v>386</v>
      </c>
      <c r="D76" s="3">
        <v>18</v>
      </c>
      <c r="E76" s="3">
        <v>19</v>
      </c>
      <c r="F76" s="3">
        <v>11.561999999999999</v>
      </c>
      <c r="G76" s="3">
        <v>0</v>
      </c>
      <c r="H76" s="3" t="s">
        <v>81</v>
      </c>
      <c r="I76" s="3" t="s">
        <v>81</v>
      </c>
      <c r="J76" s="3" t="s">
        <v>81</v>
      </c>
      <c r="K76" s="3" t="s">
        <v>81</v>
      </c>
      <c r="L76" s="3" t="s">
        <v>81</v>
      </c>
      <c r="M76" s="3" t="s">
        <v>81</v>
      </c>
      <c r="N76" s="3" t="s">
        <v>81</v>
      </c>
      <c r="O76" s="3" t="s">
        <v>81</v>
      </c>
      <c r="P76" s="3" t="s">
        <v>81</v>
      </c>
      <c r="Q76" s="3">
        <v>15.224</v>
      </c>
      <c r="R76" s="3">
        <v>0</v>
      </c>
      <c r="S76" s="3" t="s">
        <v>81</v>
      </c>
      <c r="T76" s="3" t="s">
        <v>81</v>
      </c>
      <c r="U76" s="3" t="s">
        <v>81</v>
      </c>
      <c r="V76" s="3" t="s">
        <v>81</v>
      </c>
      <c r="W76" s="3" t="s">
        <v>81</v>
      </c>
      <c r="X76" s="3" t="s">
        <v>81</v>
      </c>
      <c r="Y76" s="3" t="s">
        <v>81</v>
      </c>
      <c r="Z76" s="3" t="s">
        <v>81</v>
      </c>
      <c r="AA76" s="3" t="s">
        <v>81</v>
      </c>
      <c r="AB76" s="3">
        <v>10.066000000000001</v>
      </c>
      <c r="AC76" s="3">
        <v>0</v>
      </c>
      <c r="AD76" s="3" t="s">
        <v>81</v>
      </c>
      <c r="AE76" s="3" t="s">
        <v>81</v>
      </c>
      <c r="AF76" s="3" t="s">
        <v>81</v>
      </c>
      <c r="AG76" s="3" t="s">
        <v>81</v>
      </c>
      <c r="AH76" s="3" t="s">
        <v>81</v>
      </c>
      <c r="AI76" s="3" t="s">
        <v>81</v>
      </c>
      <c r="AJ76" s="3" t="s">
        <v>81</v>
      </c>
      <c r="AK76" s="3" t="s">
        <v>81</v>
      </c>
      <c r="AL76" s="3" t="s">
        <v>81</v>
      </c>
      <c r="AM76" s="3">
        <v>13.773</v>
      </c>
      <c r="AN76" s="3">
        <v>0</v>
      </c>
      <c r="AO76" s="3" t="s">
        <v>81</v>
      </c>
      <c r="AP76" s="3" t="s">
        <v>81</v>
      </c>
      <c r="AQ76" s="3" t="s">
        <v>81</v>
      </c>
      <c r="AR76" s="3" t="s">
        <v>81</v>
      </c>
      <c r="AS76" s="3" t="s">
        <v>81</v>
      </c>
      <c r="AT76" s="3" t="s">
        <v>81</v>
      </c>
      <c r="AU76" s="3" t="s">
        <v>81</v>
      </c>
      <c r="AV76" s="3" t="s">
        <v>81</v>
      </c>
      <c r="AW76" s="3" t="s">
        <v>81</v>
      </c>
      <c r="AX76" s="3">
        <v>12.478</v>
      </c>
      <c r="AY76" s="3">
        <v>0</v>
      </c>
      <c r="AZ76" s="3" t="s">
        <v>81</v>
      </c>
      <c r="BA76" s="3" t="s">
        <v>81</v>
      </c>
      <c r="BB76" s="3" t="s">
        <v>81</v>
      </c>
      <c r="BC76" s="3" t="s">
        <v>81</v>
      </c>
      <c r="BD76" s="3" t="s">
        <v>81</v>
      </c>
      <c r="BE76" s="3" t="s">
        <v>81</v>
      </c>
      <c r="BF76" s="3" t="s">
        <v>81</v>
      </c>
      <c r="BG76" s="3" t="s">
        <v>81</v>
      </c>
      <c r="BH76" s="3" t="s">
        <v>81</v>
      </c>
      <c r="BI76" s="3" t="s">
        <v>84</v>
      </c>
      <c r="BJ76" s="3" t="s">
        <v>82</v>
      </c>
      <c r="BK76" s="3" t="s">
        <v>83</v>
      </c>
      <c r="BL76" s="3" t="s">
        <v>84</v>
      </c>
      <c r="BM76" s="3" t="s">
        <v>84</v>
      </c>
      <c r="BN76" s="3" t="s">
        <v>84</v>
      </c>
      <c r="BO76" s="3" t="s">
        <v>82</v>
      </c>
      <c r="BP76" s="3" t="s">
        <v>403</v>
      </c>
      <c r="BQ76" s="3" t="s">
        <v>403</v>
      </c>
      <c r="BR76" s="3" t="s">
        <v>404</v>
      </c>
      <c r="BS76" s="3" t="s">
        <v>405</v>
      </c>
      <c r="BT76" s="3" t="s">
        <v>87</v>
      </c>
      <c r="BU76" s="3" t="s">
        <v>85</v>
      </c>
      <c r="BV76" s="3" t="s">
        <v>84</v>
      </c>
      <c r="BW76" s="3" t="s">
        <v>83</v>
      </c>
      <c r="BX76" s="3" t="s">
        <v>82</v>
      </c>
      <c r="BZ76" s="3" t="s">
        <v>93</v>
      </c>
      <c r="CB76" s="3" t="s">
        <v>84</v>
      </c>
    </row>
    <row r="77" spans="1:87" x14ac:dyDescent="0.15">
      <c r="A77" s="3">
        <v>1228244905</v>
      </c>
      <c r="B77" s="3" t="s">
        <v>505</v>
      </c>
      <c r="C77" s="3" t="s">
        <v>505</v>
      </c>
      <c r="D77" s="3">
        <v>3</v>
      </c>
      <c r="E77" s="3">
        <v>2</v>
      </c>
      <c r="F77" s="3">
        <v>142.38300000000001</v>
      </c>
      <c r="G77" s="3">
        <v>1</v>
      </c>
      <c r="H77" s="3">
        <v>76.106999999999999</v>
      </c>
      <c r="I77" s="3" t="s">
        <v>81</v>
      </c>
      <c r="J77" s="3">
        <v>40.301000000000002</v>
      </c>
      <c r="K77" s="3">
        <v>23.591000000000001</v>
      </c>
      <c r="L77" s="3" t="s">
        <v>81</v>
      </c>
      <c r="M77" s="3" t="s">
        <v>81</v>
      </c>
      <c r="N77" s="3" t="s">
        <v>81</v>
      </c>
      <c r="O77" s="3" t="s">
        <v>81</v>
      </c>
      <c r="P77" s="3" t="s">
        <v>81</v>
      </c>
      <c r="Q77" s="3" t="s">
        <v>81</v>
      </c>
      <c r="R77" s="3">
        <v>1</v>
      </c>
      <c r="S77" s="3">
        <v>85.141000000000005</v>
      </c>
      <c r="T77" s="3">
        <v>28.085000000000001</v>
      </c>
      <c r="U77" s="3">
        <v>44.287999999999997</v>
      </c>
      <c r="V77" s="3" t="s">
        <v>81</v>
      </c>
      <c r="W77" s="3" t="s">
        <v>81</v>
      </c>
      <c r="X77" s="3" t="s">
        <v>81</v>
      </c>
      <c r="Y77" s="3" t="s">
        <v>81</v>
      </c>
      <c r="Z77" s="3" t="s">
        <v>81</v>
      </c>
      <c r="AA77" s="3" t="s">
        <v>81</v>
      </c>
      <c r="AB77" s="3" t="s">
        <v>81</v>
      </c>
      <c r="AC77" s="3" t="s">
        <v>81</v>
      </c>
      <c r="AD77" s="3" t="s">
        <v>81</v>
      </c>
      <c r="AE77" s="3" t="s">
        <v>81</v>
      </c>
      <c r="AF77" s="3" t="s">
        <v>81</v>
      </c>
      <c r="AG77" s="3" t="s">
        <v>81</v>
      </c>
      <c r="AH77" s="3" t="s">
        <v>81</v>
      </c>
      <c r="AI77" s="3" t="s">
        <v>81</v>
      </c>
      <c r="AJ77" s="3" t="s">
        <v>81</v>
      </c>
      <c r="AK77" s="3" t="s">
        <v>81</v>
      </c>
      <c r="AL77" s="3" t="s">
        <v>81</v>
      </c>
      <c r="AM77" s="3" t="s">
        <v>81</v>
      </c>
      <c r="AN77" s="3" t="s">
        <v>81</v>
      </c>
      <c r="AO77" s="3" t="s">
        <v>81</v>
      </c>
      <c r="AP77" s="3" t="s">
        <v>81</v>
      </c>
      <c r="AQ77" s="3" t="s">
        <v>81</v>
      </c>
      <c r="AR77" s="3" t="s">
        <v>81</v>
      </c>
      <c r="AS77" s="3" t="s">
        <v>81</v>
      </c>
      <c r="AT77" s="3" t="s">
        <v>81</v>
      </c>
      <c r="AU77" s="3" t="s">
        <v>81</v>
      </c>
      <c r="AV77" s="3" t="s">
        <v>81</v>
      </c>
      <c r="AW77" s="3" t="s">
        <v>81</v>
      </c>
      <c r="AX77" s="3" t="s">
        <v>81</v>
      </c>
      <c r="AY77" s="3" t="s">
        <v>81</v>
      </c>
      <c r="AZ77" s="3" t="s">
        <v>81</v>
      </c>
      <c r="BA77" s="3" t="s">
        <v>81</v>
      </c>
      <c r="BB77" s="3" t="s">
        <v>81</v>
      </c>
      <c r="BC77" s="3" t="s">
        <v>81</v>
      </c>
      <c r="BD77" s="3" t="s">
        <v>81</v>
      </c>
      <c r="BE77" s="3" t="s">
        <v>81</v>
      </c>
      <c r="BF77" s="3" t="s">
        <v>81</v>
      </c>
      <c r="BG77" s="3" t="s">
        <v>81</v>
      </c>
      <c r="BH77" s="3" t="s">
        <v>81</v>
      </c>
      <c r="BI77" s="3" t="s">
        <v>84</v>
      </c>
      <c r="BJ77" s="3" t="s">
        <v>84</v>
      </c>
      <c r="BK77" s="3" t="s">
        <v>82</v>
      </c>
      <c r="BL77" s="3" t="s">
        <v>84</v>
      </c>
      <c r="BM77" s="3" t="s">
        <v>84</v>
      </c>
      <c r="BN77" s="3" t="s">
        <v>82</v>
      </c>
      <c r="BO77" s="3" t="s">
        <v>84</v>
      </c>
      <c r="BP77" s="3" t="s">
        <v>106</v>
      </c>
      <c r="BQ77" s="3" t="s">
        <v>106</v>
      </c>
      <c r="BR77" s="3" t="s">
        <v>106</v>
      </c>
      <c r="BS77" s="3" t="s">
        <v>106</v>
      </c>
      <c r="BT77" s="3" t="s">
        <v>106</v>
      </c>
      <c r="BU77" s="3" t="s">
        <v>81</v>
      </c>
      <c r="BV77" s="3" t="s">
        <v>84</v>
      </c>
      <c r="BW77" s="3" t="s">
        <v>83</v>
      </c>
      <c r="BX77" s="3" t="s">
        <v>82</v>
      </c>
      <c r="BY77" s="3" t="s">
        <v>506</v>
      </c>
      <c r="BZ77" s="3" t="s">
        <v>93</v>
      </c>
      <c r="CA77" s="3"/>
      <c r="CB77" s="3" t="s">
        <v>84</v>
      </c>
      <c r="CC77" s="3"/>
      <c r="CD77" s="3"/>
      <c r="CE77" s="3"/>
      <c r="CF77" s="3"/>
      <c r="CG77" s="3"/>
      <c r="CH77" s="3"/>
      <c r="CI77" s="3"/>
    </row>
    <row r="78" spans="1:87" x14ac:dyDescent="0.15">
      <c r="A78" s="3">
        <v>1228497868</v>
      </c>
      <c r="B78" s="3" t="s">
        <v>505</v>
      </c>
      <c r="C78" s="3" t="s">
        <v>505</v>
      </c>
      <c r="D78" s="3">
        <v>3</v>
      </c>
      <c r="E78" s="3">
        <v>5</v>
      </c>
      <c r="F78" s="3">
        <v>125.179</v>
      </c>
      <c r="G78" s="3">
        <v>2</v>
      </c>
      <c r="H78" s="3">
        <v>70.953999999999994</v>
      </c>
      <c r="I78" s="3">
        <v>20.178000000000001</v>
      </c>
      <c r="J78" s="3">
        <v>39.213999999999999</v>
      </c>
      <c r="K78" s="3">
        <v>15.39</v>
      </c>
      <c r="L78" s="3" t="s">
        <v>81</v>
      </c>
      <c r="M78" s="3" t="s">
        <v>81</v>
      </c>
      <c r="N78" s="3" t="s">
        <v>81</v>
      </c>
      <c r="O78" s="3" t="s">
        <v>81</v>
      </c>
      <c r="P78" s="3" t="s">
        <v>81</v>
      </c>
      <c r="Q78" s="3" t="s">
        <v>81</v>
      </c>
      <c r="R78" s="3">
        <v>2</v>
      </c>
      <c r="S78" s="3">
        <v>72.394000000000005</v>
      </c>
      <c r="T78" s="3">
        <v>26.027999999999999</v>
      </c>
      <c r="U78" s="3">
        <v>37.198</v>
      </c>
      <c r="V78" s="3" t="s">
        <v>81</v>
      </c>
      <c r="W78" s="3" t="s">
        <v>81</v>
      </c>
      <c r="X78" s="3" t="s">
        <v>81</v>
      </c>
      <c r="Y78" s="3" t="s">
        <v>81</v>
      </c>
      <c r="Z78" s="3" t="s">
        <v>81</v>
      </c>
      <c r="AA78" s="3" t="s">
        <v>81</v>
      </c>
      <c r="AB78" s="3">
        <v>106.961</v>
      </c>
      <c r="AC78" s="3">
        <v>1</v>
      </c>
      <c r="AD78" s="3">
        <v>59.719000000000001</v>
      </c>
      <c r="AE78" s="3" t="s">
        <v>81</v>
      </c>
      <c r="AF78" s="3">
        <v>46.204999999999998</v>
      </c>
      <c r="AG78" s="3" t="s">
        <v>81</v>
      </c>
      <c r="AH78" s="3" t="s">
        <v>81</v>
      </c>
      <c r="AI78" s="3" t="s">
        <v>81</v>
      </c>
      <c r="AJ78" s="3" t="s">
        <v>81</v>
      </c>
      <c r="AK78" s="3" t="s">
        <v>81</v>
      </c>
      <c r="AL78" s="3" t="s">
        <v>81</v>
      </c>
      <c r="AM78" s="3">
        <v>119.006</v>
      </c>
      <c r="AN78" s="3">
        <v>2</v>
      </c>
      <c r="AO78" s="3">
        <v>66.777000000000001</v>
      </c>
      <c r="AP78" s="3" t="s">
        <v>81</v>
      </c>
      <c r="AQ78" s="3">
        <v>41.667999999999999</v>
      </c>
      <c r="AR78" s="3">
        <v>10.858000000000001</v>
      </c>
      <c r="AS78" s="3">
        <v>7.4269999999999996</v>
      </c>
      <c r="AT78" s="3" t="s">
        <v>81</v>
      </c>
      <c r="AU78" s="3" t="s">
        <v>81</v>
      </c>
      <c r="AV78" s="3" t="s">
        <v>81</v>
      </c>
      <c r="AW78" s="3" t="s">
        <v>81</v>
      </c>
      <c r="AX78" s="3" t="s">
        <v>81</v>
      </c>
      <c r="AY78" s="3">
        <v>2</v>
      </c>
      <c r="AZ78" s="3">
        <v>58.110999999999997</v>
      </c>
      <c r="BA78" s="3">
        <v>24.312999999999999</v>
      </c>
      <c r="BB78" s="3">
        <v>40.39</v>
      </c>
      <c r="BC78" s="3" t="s">
        <v>81</v>
      </c>
      <c r="BD78" s="3" t="s">
        <v>81</v>
      </c>
      <c r="BE78" s="3" t="s">
        <v>81</v>
      </c>
      <c r="BF78" s="3" t="s">
        <v>81</v>
      </c>
      <c r="BG78" s="3" t="s">
        <v>81</v>
      </c>
      <c r="BH78" s="3" t="s">
        <v>81</v>
      </c>
      <c r="BI78" s="3" t="s">
        <v>84</v>
      </c>
      <c r="BJ78" s="3" t="s">
        <v>84</v>
      </c>
      <c r="BK78" s="3" t="s">
        <v>84</v>
      </c>
      <c r="BL78" s="3" t="s">
        <v>84</v>
      </c>
      <c r="BM78" s="3" t="s">
        <v>84</v>
      </c>
      <c r="BN78" s="3" t="s">
        <v>82</v>
      </c>
      <c r="BO78" s="3" t="s">
        <v>84</v>
      </c>
      <c r="BP78" s="3" t="s">
        <v>106</v>
      </c>
      <c r="BQ78" s="3" t="s">
        <v>106</v>
      </c>
      <c r="BR78" s="3" t="s">
        <v>106</v>
      </c>
      <c r="BS78" s="3" t="s">
        <v>106</v>
      </c>
      <c r="BT78" s="3" t="s">
        <v>106</v>
      </c>
      <c r="BU78" s="3" t="s">
        <v>81</v>
      </c>
      <c r="BV78" s="3" t="s">
        <v>84</v>
      </c>
      <c r="BW78" s="3" t="s">
        <v>83</v>
      </c>
      <c r="BX78" s="3" t="s">
        <v>82</v>
      </c>
      <c r="BY78" s="3" t="s">
        <v>507</v>
      </c>
      <c r="BZ78" s="3" t="s">
        <v>93</v>
      </c>
      <c r="CB78" s="3" t="s">
        <v>84</v>
      </c>
    </row>
    <row r="79" spans="1:87" x14ac:dyDescent="0.15">
      <c r="A79" s="3">
        <v>1228210579</v>
      </c>
      <c r="B79" s="3" t="s">
        <v>505</v>
      </c>
      <c r="C79" s="3" t="s">
        <v>505</v>
      </c>
      <c r="D79" s="3">
        <v>3</v>
      </c>
      <c r="E79" s="3">
        <v>3</v>
      </c>
      <c r="F79" s="3">
        <v>117.629</v>
      </c>
      <c r="G79" s="3">
        <v>1</v>
      </c>
      <c r="H79" s="3">
        <v>64.843000000000004</v>
      </c>
      <c r="I79" s="3">
        <v>16.507000000000001</v>
      </c>
      <c r="J79" s="3">
        <v>35.296999999999997</v>
      </c>
      <c r="K79" s="3">
        <v>17.420999999999999</v>
      </c>
      <c r="L79" s="3" t="s">
        <v>81</v>
      </c>
      <c r="M79" s="3" t="s">
        <v>81</v>
      </c>
      <c r="N79" s="3" t="s">
        <v>81</v>
      </c>
      <c r="O79" s="3" t="s">
        <v>81</v>
      </c>
      <c r="P79" s="3" t="s">
        <v>81</v>
      </c>
      <c r="Q79" s="3">
        <v>132.50299999999999</v>
      </c>
      <c r="R79" s="3">
        <v>2</v>
      </c>
      <c r="S79" s="3">
        <v>68.948999999999998</v>
      </c>
      <c r="T79" s="3">
        <v>18.466999999999999</v>
      </c>
      <c r="U79" s="3">
        <v>33.984999999999999</v>
      </c>
      <c r="V79" s="3">
        <v>14.6</v>
      </c>
      <c r="W79" s="3">
        <v>29.44</v>
      </c>
      <c r="X79" s="3" t="s">
        <v>81</v>
      </c>
      <c r="Y79" s="3" t="s">
        <v>81</v>
      </c>
      <c r="Z79" s="3" t="s">
        <v>81</v>
      </c>
      <c r="AA79" s="3" t="s">
        <v>81</v>
      </c>
      <c r="AB79" s="3">
        <v>130.37299999999999</v>
      </c>
      <c r="AC79" s="3">
        <v>2</v>
      </c>
      <c r="AD79" s="3">
        <v>62.363999999999997</v>
      </c>
      <c r="AE79" s="3">
        <v>16.766999999999999</v>
      </c>
      <c r="AF79" s="3">
        <v>35.091000000000001</v>
      </c>
      <c r="AG79" s="3">
        <v>18.283000000000001</v>
      </c>
      <c r="AH79" s="3">
        <v>33.067999999999998</v>
      </c>
      <c r="AI79" s="3" t="s">
        <v>81</v>
      </c>
      <c r="AJ79" s="3" t="s">
        <v>81</v>
      </c>
      <c r="AK79" s="3" t="s">
        <v>81</v>
      </c>
      <c r="AL79" s="3" t="s">
        <v>81</v>
      </c>
      <c r="AM79" s="3" t="s">
        <v>81</v>
      </c>
      <c r="AN79" s="3" t="s">
        <v>81</v>
      </c>
      <c r="AO79" s="3" t="s">
        <v>81</v>
      </c>
      <c r="AP79" s="3" t="s">
        <v>81</v>
      </c>
      <c r="AQ79" s="3" t="s">
        <v>81</v>
      </c>
      <c r="AR79" s="3" t="s">
        <v>81</v>
      </c>
      <c r="AS79" s="3" t="s">
        <v>81</v>
      </c>
      <c r="AT79" s="3" t="s">
        <v>81</v>
      </c>
      <c r="AU79" s="3" t="s">
        <v>81</v>
      </c>
      <c r="AV79" s="3" t="s">
        <v>81</v>
      </c>
      <c r="AW79" s="3" t="s">
        <v>81</v>
      </c>
      <c r="AX79" s="3" t="s">
        <v>81</v>
      </c>
      <c r="AY79" s="3" t="s">
        <v>81</v>
      </c>
      <c r="AZ79" s="3" t="s">
        <v>81</v>
      </c>
      <c r="BA79" s="3" t="s">
        <v>81</v>
      </c>
      <c r="BB79" s="3" t="s">
        <v>81</v>
      </c>
      <c r="BC79" s="3" t="s">
        <v>81</v>
      </c>
      <c r="BD79" s="3" t="s">
        <v>81</v>
      </c>
      <c r="BE79" s="3" t="s">
        <v>81</v>
      </c>
      <c r="BF79" s="3" t="s">
        <v>81</v>
      </c>
      <c r="BG79" s="3" t="s">
        <v>81</v>
      </c>
      <c r="BH79" s="3" t="s">
        <v>81</v>
      </c>
      <c r="BI79" s="3" t="s">
        <v>84</v>
      </c>
      <c r="BJ79" s="3" t="s">
        <v>84</v>
      </c>
      <c r="BK79" s="3" t="s">
        <v>82</v>
      </c>
      <c r="BL79" s="3" t="s">
        <v>84</v>
      </c>
      <c r="BM79" s="3" t="s">
        <v>84</v>
      </c>
      <c r="BN79" s="3" t="s">
        <v>82</v>
      </c>
      <c r="BO79" s="3" t="s">
        <v>83</v>
      </c>
      <c r="BP79" s="3" t="s">
        <v>81</v>
      </c>
      <c r="BQ79" s="3" t="s">
        <v>81</v>
      </c>
      <c r="BR79" s="3" t="s">
        <v>81</v>
      </c>
      <c r="BS79" s="3" t="s">
        <v>81</v>
      </c>
      <c r="BT79" s="3" t="s">
        <v>81</v>
      </c>
      <c r="BU79" s="3" t="s">
        <v>81</v>
      </c>
      <c r="BV79" s="3" t="s">
        <v>84</v>
      </c>
      <c r="BW79" s="3" t="s">
        <v>83</v>
      </c>
      <c r="BX79" s="3" t="s">
        <v>82</v>
      </c>
      <c r="BY79" s="3" t="s">
        <v>173</v>
      </c>
      <c r="BZ79" s="3" t="s">
        <v>93</v>
      </c>
      <c r="CB79" s="3" t="s">
        <v>84</v>
      </c>
    </row>
    <row r="80" spans="1:87" ht="15.75" customHeight="1" x14ac:dyDescent="0.15">
      <c r="A80" s="3">
        <v>1228559756</v>
      </c>
      <c r="B80" s="3" t="s">
        <v>166</v>
      </c>
      <c r="C80" s="3" t="s">
        <v>166</v>
      </c>
      <c r="D80" s="3">
        <v>2</v>
      </c>
      <c r="E80" s="3">
        <v>2</v>
      </c>
      <c r="F80" s="3">
        <v>71.048000000000002</v>
      </c>
      <c r="G80" s="3">
        <v>0</v>
      </c>
      <c r="H80" s="3" t="s">
        <v>81</v>
      </c>
      <c r="I80" s="3" t="s">
        <v>81</v>
      </c>
      <c r="J80" s="3" t="s">
        <v>81</v>
      </c>
      <c r="K80" s="3" t="s">
        <v>81</v>
      </c>
      <c r="L80" s="3" t="s">
        <v>81</v>
      </c>
      <c r="M80" s="3" t="s">
        <v>81</v>
      </c>
      <c r="N80" s="3" t="s">
        <v>81</v>
      </c>
      <c r="O80" s="3" t="s">
        <v>81</v>
      </c>
      <c r="P80" s="3" t="s">
        <v>81</v>
      </c>
      <c r="Q80" s="3">
        <v>78.486000000000004</v>
      </c>
      <c r="R80" s="3">
        <v>0</v>
      </c>
      <c r="S80" s="3" t="s">
        <v>81</v>
      </c>
      <c r="T80" s="3" t="s">
        <v>81</v>
      </c>
      <c r="U80" s="3" t="s">
        <v>81</v>
      </c>
      <c r="V80" s="3" t="s">
        <v>81</v>
      </c>
      <c r="W80" s="3" t="s">
        <v>81</v>
      </c>
      <c r="X80" s="3" t="s">
        <v>81</v>
      </c>
      <c r="Y80" s="3" t="s">
        <v>81</v>
      </c>
      <c r="Z80" s="3" t="s">
        <v>81</v>
      </c>
      <c r="AA80" s="3" t="s">
        <v>81</v>
      </c>
      <c r="AB80" s="3" t="s">
        <v>81</v>
      </c>
      <c r="AC80" s="3" t="s">
        <v>81</v>
      </c>
      <c r="AD80" s="3" t="s">
        <v>81</v>
      </c>
      <c r="AE80" s="3" t="s">
        <v>81</v>
      </c>
      <c r="AF80" s="3" t="s">
        <v>81</v>
      </c>
      <c r="AG80" s="3" t="s">
        <v>81</v>
      </c>
      <c r="AH80" s="3" t="s">
        <v>81</v>
      </c>
      <c r="AI80" s="3" t="s">
        <v>81</v>
      </c>
      <c r="AJ80" s="3" t="s">
        <v>81</v>
      </c>
      <c r="AK80" s="3" t="s">
        <v>81</v>
      </c>
      <c r="AL80" s="3" t="s">
        <v>81</v>
      </c>
      <c r="AM80" s="3" t="s">
        <v>81</v>
      </c>
      <c r="AN80" s="3" t="s">
        <v>81</v>
      </c>
      <c r="AO80" s="3" t="s">
        <v>81</v>
      </c>
      <c r="AP80" s="3" t="s">
        <v>81</v>
      </c>
      <c r="AQ80" s="3" t="s">
        <v>81</v>
      </c>
      <c r="AR80" s="3" t="s">
        <v>81</v>
      </c>
      <c r="AS80" s="3" t="s">
        <v>81</v>
      </c>
      <c r="AT80" s="3" t="s">
        <v>81</v>
      </c>
      <c r="AU80" s="3" t="s">
        <v>81</v>
      </c>
      <c r="AV80" s="3" t="s">
        <v>81</v>
      </c>
      <c r="AW80" s="3" t="s">
        <v>81</v>
      </c>
      <c r="AX80" s="3" t="s">
        <v>81</v>
      </c>
      <c r="AY80" s="3" t="s">
        <v>81</v>
      </c>
      <c r="AZ80" s="3" t="s">
        <v>81</v>
      </c>
      <c r="BA80" s="3" t="s">
        <v>81</v>
      </c>
      <c r="BB80" s="3" t="s">
        <v>81</v>
      </c>
      <c r="BC80" s="3" t="s">
        <v>81</v>
      </c>
      <c r="BD80" s="3" t="s">
        <v>81</v>
      </c>
      <c r="BE80" s="3" t="s">
        <v>81</v>
      </c>
      <c r="BF80" s="3" t="s">
        <v>81</v>
      </c>
      <c r="BG80" s="3" t="s">
        <v>81</v>
      </c>
      <c r="BH80" s="3" t="s">
        <v>81</v>
      </c>
      <c r="BI80" s="3" t="s">
        <v>84</v>
      </c>
      <c r="BJ80" s="3" t="s">
        <v>82</v>
      </c>
      <c r="BK80" s="3" t="s">
        <v>83</v>
      </c>
      <c r="BL80" s="3" t="s">
        <v>84</v>
      </c>
      <c r="BM80" s="3" t="s">
        <v>84</v>
      </c>
      <c r="BN80" s="3" t="s">
        <v>84</v>
      </c>
      <c r="BO80" s="3" t="s">
        <v>82</v>
      </c>
      <c r="BP80" s="3" t="s">
        <v>167</v>
      </c>
      <c r="BQ80" s="3" t="s">
        <v>167</v>
      </c>
      <c r="BR80" s="3" t="s">
        <v>168</v>
      </c>
      <c r="BS80" s="3" t="s">
        <v>168</v>
      </c>
      <c r="BT80" s="3" t="s">
        <v>87</v>
      </c>
      <c r="BU80" s="3" t="s">
        <v>169</v>
      </c>
      <c r="BV80" s="3" t="s">
        <v>82</v>
      </c>
      <c r="BW80" s="3" t="s">
        <v>91</v>
      </c>
      <c r="BX80" s="3" t="s">
        <v>82</v>
      </c>
      <c r="BZ80" s="3" t="s">
        <v>93</v>
      </c>
      <c r="CB80" s="3" t="s">
        <v>84</v>
      </c>
    </row>
    <row r="81" spans="1:87" ht="15.75" customHeight="1" x14ac:dyDescent="0.15">
      <c r="A81" s="3">
        <v>2236057117</v>
      </c>
      <c r="B81" s="3" t="s">
        <v>166</v>
      </c>
      <c r="C81" s="3" t="s">
        <v>166</v>
      </c>
      <c r="D81" s="3">
        <v>3</v>
      </c>
      <c r="E81" s="3">
        <v>3</v>
      </c>
      <c r="F81" s="3">
        <v>88.906000000000006</v>
      </c>
      <c r="G81" s="3">
        <v>2</v>
      </c>
      <c r="H81" s="3">
        <v>53.734999999999999</v>
      </c>
      <c r="I81" s="3">
        <v>22.96</v>
      </c>
      <c r="J81" s="3">
        <v>28.248999999999999</v>
      </c>
      <c r="K81" s="3">
        <v>10.19</v>
      </c>
      <c r="L81" s="3">
        <v>6.38</v>
      </c>
      <c r="M81" s="3" t="s">
        <v>81</v>
      </c>
      <c r="N81" s="3" t="s">
        <v>81</v>
      </c>
      <c r="O81" s="3" t="s">
        <v>81</v>
      </c>
      <c r="P81" s="3" t="s">
        <v>81</v>
      </c>
      <c r="Q81" s="3">
        <v>90.677999999999997</v>
      </c>
      <c r="R81" s="3">
        <v>2</v>
      </c>
      <c r="S81" s="3">
        <v>53.872</v>
      </c>
      <c r="T81" s="3">
        <v>22.053000000000001</v>
      </c>
      <c r="U81" s="3">
        <v>29.26</v>
      </c>
      <c r="V81" s="3">
        <v>9.0429999999999993</v>
      </c>
      <c r="W81" s="3">
        <v>6.6139999999999999</v>
      </c>
      <c r="X81" s="3" t="s">
        <v>81</v>
      </c>
      <c r="Y81" s="3" t="s">
        <v>81</v>
      </c>
      <c r="Z81" s="3" t="s">
        <v>81</v>
      </c>
      <c r="AA81" s="3" t="s">
        <v>81</v>
      </c>
      <c r="AB81" s="3">
        <v>83.114000000000004</v>
      </c>
      <c r="AC81" s="3">
        <v>2</v>
      </c>
      <c r="AD81" s="3">
        <v>56.758000000000003</v>
      </c>
      <c r="AE81" s="3">
        <v>5.5209999999999999</v>
      </c>
      <c r="AF81" s="3">
        <v>22.356999999999999</v>
      </c>
      <c r="AG81" s="3">
        <v>8.9260000000000002</v>
      </c>
      <c r="AH81" s="3">
        <v>3.0289999999999999</v>
      </c>
      <c r="AI81" s="3" t="s">
        <v>81</v>
      </c>
      <c r="AJ81" s="3" t="s">
        <v>81</v>
      </c>
      <c r="AK81" s="3" t="s">
        <v>81</v>
      </c>
      <c r="AL81" s="3" t="s">
        <v>81</v>
      </c>
      <c r="AM81" s="3" t="s">
        <v>81</v>
      </c>
      <c r="AN81" s="3" t="s">
        <v>81</v>
      </c>
      <c r="AO81" s="3" t="s">
        <v>81</v>
      </c>
      <c r="AP81" s="3" t="s">
        <v>81</v>
      </c>
      <c r="AQ81" s="3" t="s">
        <v>81</v>
      </c>
      <c r="AR81" s="3" t="s">
        <v>81</v>
      </c>
      <c r="AS81" s="3" t="s">
        <v>81</v>
      </c>
      <c r="AT81" s="3" t="s">
        <v>81</v>
      </c>
      <c r="AU81" s="3" t="s">
        <v>81</v>
      </c>
      <c r="AV81" s="3" t="s">
        <v>81</v>
      </c>
      <c r="AW81" s="3" t="s">
        <v>81</v>
      </c>
      <c r="AX81" s="3" t="s">
        <v>81</v>
      </c>
      <c r="AY81" s="3" t="s">
        <v>81</v>
      </c>
      <c r="AZ81" s="3" t="s">
        <v>81</v>
      </c>
      <c r="BA81" s="3" t="s">
        <v>81</v>
      </c>
      <c r="BB81" s="3" t="s">
        <v>81</v>
      </c>
      <c r="BC81" s="3" t="s">
        <v>81</v>
      </c>
      <c r="BD81" s="3" t="s">
        <v>81</v>
      </c>
      <c r="BE81" s="3" t="s">
        <v>81</v>
      </c>
      <c r="BF81" s="3" t="s">
        <v>81</v>
      </c>
      <c r="BG81" s="3" t="s">
        <v>81</v>
      </c>
      <c r="BH81" s="3" t="s">
        <v>81</v>
      </c>
      <c r="BI81" s="3" t="s">
        <v>84</v>
      </c>
      <c r="BJ81" s="3" t="s">
        <v>82</v>
      </c>
      <c r="BK81" s="3" t="s">
        <v>83</v>
      </c>
      <c r="BL81" s="3" t="s">
        <v>84</v>
      </c>
      <c r="BM81" s="3" t="s">
        <v>84</v>
      </c>
      <c r="BN81" s="3" t="s">
        <v>82</v>
      </c>
      <c r="BO81" s="3" t="s">
        <v>84</v>
      </c>
      <c r="BP81" s="3" t="s">
        <v>170</v>
      </c>
      <c r="BQ81" s="3" t="s">
        <v>170</v>
      </c>
      <c r="BR81" s="3" t="s">
        <v>170</v>
      </c>
      <c r="BS81" s="3" t="s">
        <v>170</v>
      </c>
      <c r="BT81" s="3" t="s">
        <v>98</v>
      </c>
      <c r="BU81" s="3" t="s">
        <v>85</v>
      </c>
      <c r="BV81" s="3" t="s">
        <v>84</v>
      </c>
      <c r="BW81" s="3" t="s">
        <v>83</v>
      </c>
      <c r="BX81" s="3" t="s">
        <v>82</v>
      </c>
      <c r="BZ81" s="3" t="s">
        <v>86</v>
      </c>
      <c r="CB81" s="3" t="s">
        <v>84</v>
      </c>
    </row>
    <row r="82" spans="1:87" ht="15.75" customHeight="1" x14ac:dyDescent="0.15">
      <c r="A82" s="3">
        <v>1319223883</v>
      </c>
      <c r="B82" s="3" t="s">
        <v>166</v>
      </c>
      <c r="C82" s="3" t="s">
        <v>166</v>
      </c>
      <c r="D82" s="3">
        <v>4</v>
      </c>
      <c r="E82" s="3">
        <v>3</v>
      </c>
      <c r="F82" s="3">
        <v>133.369</v>
      </c>
      <c r="G82" s="3">
        <v>2</v>
      </c>
      <c r="H82" s="3">
        <v>78.084999999999994</v>
      </c>
      <c r="I82" s="3">
        <v>24.474</v>
      </c>
      <c r="J82" s="3">
        <v>40.271000000000001</v>
      </c>
      <c r="K82" s="3">
        <v>15.670999999999999</v>
      </c>
      <c r="L82" s="3">
        <v>13.904</v>
      </c>
      <c r="M82" s="3" t="s">
        <v>81</v>
      </c>
      <c r="N82" s="3" t="s">
        <v>81</v>
      </c>
      <c r="O82" s="3" t="s">
        <v>81</v>
      </c>
      <c r="P82" s="3" t="s">
        <v>81</v>
      </c>
      <c r="Q82" s="3" t="s">
        <v>81</v>
      </c>
      <c r="R82" s="3">
        <v>2</v>
      </c>
      <c r="S82" s="3">
        <v>72.549000000000007</v>
      </c>
      <c r="T82" s="3">
        <v>22.481999999999999</v>
      </c>
      <c r="U82" s="3">
        <v>45.463999999999999</v>
      </c>
      <c r="V82" s="3">
        <v>16.574000000000002</v>
      </c>
      <c r="W82" s="3" t="s">
        <v>81</v>
      </c>
      <c r="X82" s="3" t="s">
        <v>81</v>
      </c>
      <c r="Y82" s="3" t="s">
        <v>81</v>
      </c>
      <c r="Z82" s="3" t="s">
        <v>81</v>
      </c>
      <c r="AA82" s="3" t="s">
        <v>81</v>
      </c>
      <c r="AB82" s="3">
        <v>143.44</v>
      </c>
      <c r="AC82" s="3">
        <v>2</v>
      </c>
      <c r="AD82" s="3">
        <v>82.686000000000007</v>
      </c>
      <c r="AE82" s="3">
        <v>29.204999999999998</v>
      </c>
      <c r="AF82" s="3">
        <v>56.6</v>
      </c>
      <c r="AG82" s="3">
        <v>18.43</v>
      </c>
      <c r="AH82" s="3">
        <v>4.96</v>
      </c>
      <c r="AI82" s="3" t="s">
        <v>81</v>
      </c>
      <c r="AJ82" s="3" t="s">
        <v>81</v>
      </c>
      <c r="AK82" s="3" t="s">
        <v>81</v>
      </c>
      <c r="AL82" s="3" t="s">
        <v>81</v>
      </c>
      <c r="AM82" s="3" t="s">
        <v>81</v>
      </c>
      <c r="AN82" s="3" t="s">
        <v>81</v>
      </c>
      <c r="AO82" s="3" t="s">
        <v>81</v>
      </c>
      <c r="AP82" s="3" t="s">
        <v>81</v>
      </c>
      <c r="AQ82" s="3" t="s">
        <v>81</v>
      </c>
      <c r="AR82" s="3" t="s">
        <v>81</v>
      </c>
      <c r="AS82" s="3" t="s">
        <v>81</v>
      </c>
      <c r="AT82" s="3" t="s">
        <v>81</v>
      </c>
      <c r="AU82" s="3" t="s">
        <v>81</v>
      </c>
      <c r="AV82" s="3" t="s">
        <v>81</v>
      </c>
      <c r="AW82" s="3" t="s">
        <v>81</v>
      </c>
      <c r="AX82" s="3" t="s">
        <v>81</v>
      </c>
      <c r="AY82" s="3" t="s">
        <v>81</v>
      </c>
      <c r="AZ82" s="3" t="s">
        <v>81</v>
      </c>
      <c r="BA82" s="3" t="s">
        <v>81</v>
      </c>
      <c r="BB82" s="3" t="s">
        <v>81</v>
      </c>
      <c r="BC82" s="3" t="s">
        <v>81</v>
      </c>
      <c r="BD82" s="3" t="s">
        <v>81</v>
      </c>
      <c r="BE82" s="3" t="s">
        <v>81</v>
      </c>
      <c r="BF82" s="3" t="s">
        <v>81</v>
      </c>
      <c r="BG82" s="3" t="s">
        <v>81</v>
      </c>
      <c r="BH82" s="3" t="s">
        <v>81</v>
      </c>
      <c r="BI82" s="3" t="s">
        <v>84</v>
      </c>
      <c r="BJ82" s="3" t="s">
        <v>82</v>
      </c>
      <c r="BK82" s="3" t="s">
        <v>83</v>
      </c>
      <c r="BL82" s="3" t="s">
        <v>84</v>
      </c>
      <c r="BM82" s="3" t="s">
        <v>84</v>
      </c>
      <c r="BN82" s="3" t="s">
        <v>82</v>
      </c>
      <c r="BO82" s="3" t="s">
        <v>82</v>
      </c>
      <c r="BP82" s="3" t="s">
        <v>87</v>
      </c>
      <c r="BQ82" s="3" t="s">
        <v>87</v>
      </c>
      <c r="BR82" s="3" t="s">
        <v>171</v>
      </c>
      <c r="BS82" s="3" t="s">
        <v>171</v>
      </c>
      <c r="BT82" s="3" t="s">
        <v>87</v>
      </c>
      <c r="BU82" s="3" t="s">
        <v>172</v>
      </c>
      <c r="BV82" s="3" t="s">
        <v>82</v>
      </c>
      <c r="BW82" s="3" t="s">
        <v>91</v>
      </c>
      <c r="BX82" s="3" t="s">
        <v>84</v>
      </c>
      <c r="BZ82" s="3" t="s">
        <v>86</v>
      </c>
      <c r="CB82" s="3" t="s">
        <v>84</v>
      </c>
    </row>
    <row r="83" spans="1:87" ht="15.75" customHeight="1" x14ac:dyDescent="0.15">
      <c r="A83" s="3">
        <v>2625836575</v>
      </c>
      <c r="B83" s="3" t="s">
        <v>166</v>
      </c>
      <c r="C83" s="3" t="s">
        <v>166</v>
      </c>
      <c r="D83" s="3">
        <v>3</v>
      </c>
      <c r="E83" s="3">
        <v>3</v>
      </c>
      <c r="F83" s="3">
        <v>64.575999999999993</v>
      </c>
      <c r="G83" s="3">
        <v>2</v>
      </c>
      <c r="H83" s="3">
        <v>35.145000000000003</v>
      </c>
      <c r="I83" s="3">
        <v>14.433999999999999</v>
      </c>
      <c r="J83" s="3">
        <v>12.9</v>
      </c>
      <c r="K83" s="3">
        <v>14.209</v>
      </c>
      <c r="L83" s="3">
        <v>15.766999999999999</v>
      </c>
      <c r="M83" s="3" t="s">
        <v>81</v>
      </c>
      <c r="N83" s="3" t="s">
        <v>81</v>
      </c>
      <c r="O83" s="3" t="s">
        <v>81</v>
      </c>
      <c r="P83" s="3" t="s">
        <v>81</v>
      </c>
      <c r="Q83" s="3">
        <v>61.223999999999997</v>
      </c>
      <c r="R83" s="3">
        <v>1</v>
      </c>
      <c r="S83" s="3">
        <v>35.271000000000001</v>
      </c>
      <c r="T83" s="3">
        <v>16.919</v>
      </c>
      <c r="U83" s="3">
        <v>25.646999999999998</v>
      </c>
      <c r="V83" s="3" t="s">
        <v>81</v>
      </c>
      <c r="W83" s="3" t="s">
        <v>81</v>
      </c>
      <c r="X83" s="3" t="s">
        <v>81</v>
      </c>
      <c r="Y83" s="3" t="s">
        <v>81</v>
      </c>
      <c r="Z83" s="3" t="s">
        <v>81</v>
      </c>
      <c r="AA83" s="3" t="s">
        <v>81</v>
      </c>
      <c r="AB83" s="3" t="s">
        <v>81</v>
      </c>
      <c r="AC83" s="3">
        <v>1</v>
      </c>
      <c r="AD83" s="3">
        <v>38.405000000000001</v>
      </c>
      <c r="AE83" s="3">
        <v>15.805999999999999</v>
      </c>
      <c r="AF83" s="3" t="s">
        <v>81</v>
      </c>
      <c r="AG83" s="3" t="s">
        <v>81</v>
      </c>
      <c r="AH83" s="3" t="s">
        <v>81</v>
      </c>
      <c r="AI83" s="3" t="s">
        <v>81</v>
      </c>
      <c r="AJ83" s="3" t="s">
        <v>81</v>
      </c>
      <c r="AK83" s="3" t="s">
        <v>81</v>
      </c>
      <c r="AL83" s="3" t="s">
        <v>81</v>
      </c>
      <c r="AM83" s="3" t="s">
        <v>81</v>
      </c>
      <c r="AN83" s="3" t="s">
        <v>81</v>
      </c>
      <c r="AO83" s="3" t="s">
        <v>81</v>
      </c>
      <c r="AP83" s="3" t="s">
        <v>81</v>
      </c>
      <c r="AQ83" s="3" t="s">
        <v>81</v>
      </c>
      <c r="AR83" s="3" t="s">
        <v>81</v>
      </c>
      <c r="AS83" s="3" t="s">
        <v>81</v>
      </c>
      <c r="AT83" s="3" t="s">
        <v>81</v>
      </c>
      <c r="AU83" s="3" t="s">
        <v>81</v>
      </c>
      <c r="AV83" s="3" t="s">
        <v>81</v>
      </c>
      <c r="AW83" s="3" t="s">
        <v>81</v>
      </c>
      <c r="AX83" s="3" t="s">
        <v>81</v>
      </c>
      <c r="AY83" s="3" t="s">
        <v>81</v>
      </c>
      <c r="AZ83" s="3" t="s">
        <v>81</v>
      </c>
      <c r="BA83" s="3" t="s">
        <v>81</v>
      </c>
      <c r="BB83" s="3" t="s">
        <v>81</v>
      </c>
      <c r="BC83" s="3" t="s">
        <v>81</v>
      </c>
      <c r="BD83" s="3" t="s">
        <v>81</v>
      </c>
      <c r="BE83" s="3" t="s">
        <v>81</v>
      </c>
      <c r="BF83" s="3" t="s">
        <v>81</v>
      </c>
      <c r="BG83" s="3" t="s">
        <v>81</v>
      </c>
      <c r="BH83" s="3" t="s">
        <v>81</v>
      </c>
      <c r="BI83" s="3" t="s">
        <v>84</v>
      </c>
      <c r="BJ83" s="3" t="s">
        <v>82</v>
      </c>
      <c r="BK83" s="3" t="s">
        <v>83</v>
      </c>
      <c r="BL83" s="3" t="s">
        <v>84</v>
      </c>
      <c r="BM83" s="3" t="s">
        <v>84</v>
      </c>
      <c r="BN83" s="3" t="s">
        <v>84</v>
      </c>
      <c r="BO83" s="3" t="s">
        <v>83</v>
      </c>
      <c r="BP83" s="3" t="s">
        <v>81</v>
      </c>
      <c r="BQ83" s="3" t="s">
        <v>81</v>
      </c>
      <c r="BR83" s="3" t="s">
        <v>81</v>
      </c>
      <c r="BS83" s="3" t="s">
        <v>81</v>
      </c>
      <c r="BT83" s="3" t="s">
        <v>81</v>
      </c>
      <c r="BU83" s="3" t="s">
        <v>81</v>
      </c>
      <c r="BV83" s="3" t="s">
        <v>82</v>
      </c>
      <c r="BW83" s="3" t="s">
        <v>91</v>
      </c>
      <c r="BX83" s="3" t="s">
        <v>84</v>
      </c>
      <c r="BY83" s="3" t="s">
        <v>173</v>
      </c>
      <c r="BZ83" s="3" t="s">
        <v>86</v>
      </c>
      <c r="CB83" s="3" t="s">
        <v>84</v>
      </c>
    </row>
    <row r="84" spans="1:87" ht="15.75" customHeight="1" x14ac:dyDescent="0.15">
      <c r="A84" s="3">
        <v>2643318708</v>
      </c>
      <c r="B84" s="3" t="s">
        <v>166</v>
      </c>
      <c r="C84" s="3" t="s">
        <v>166</v>
      </c>
      <c r="D84" s="3">
        <v>2</v>
      </c>
      <c r="E84" s="3">
        <v>2</v>
      </c>
      <c r="F84" s="3">
        <v>47.975999999999999</v>
      </c>
      <c r="G84" s="3">
        <v>1</v>
      </c>
      <c r="H84" s="3">
        <v>22.51</v>
      </c>
      <c r="I84" s="3">
        <v>14.978</v>
      </c>
      <c r="J84" s="3">
        <v>25.004999999999999</v>
      </c>
      <c r="K84" s="3" t="s">
        <v>81</v>
      </c>
      <c r="L84" s="3" t="s">
        <v>81</v>
      </c>
      <c r="M84" s="3" t="s">
        <v>81</v>
      </c>
      <c r="N84" s="3" t="s">
        <v>81</v>
      </c>
      <c r="O84" s="3" t="s">
        <v>81</v>
      </c>
      <c r="P84" s="3" t="s">
        <v>81</v>
      </c>
      <c r="Q84" s="3">
        <v>39.503999999999998</v>
      </c>
      <c r="R84" s="3">
        <v>2</v>
      </c>
      <c r="S84" s="3">
        <v>23.155000000000001</v>
      </c>
      <c r="T84" s="3">
        <v>14.073</v>
      </c>
      <c r="U84" s="3">
        <v>14.641999999999999</v>
      </c>
      <c r="V84" s="3">
        <v>7.7809999999999997</v>
      </c>
      <c r="W84" s="3">
        <v>0.68799999999999994</v>
      </c>
      <c r="X84" s="3" t="s">
        <v>81</v>
      </c>
      <c r="Y84" s="3" t="s">
        <v>81</v>
      </c>
      <c r="Z84" s="3" t="s">
        <v>81</v>
      </c>
      <c r="AA84" s="3" t="s">
        <v>81</v>
      </c>
      <c r="AB84" s="3" t="s">
        <v>81</v>
      </c>
      <c r="AC84" s="3" t="s">
        <v>81</v>
      </c>
      <c r="AD84" s="3" t="s">
        <v>81</v>
      </c>
      <c r="AE84" s="3" t="s">
        <v>81</v>
      </c>
      <c r="AF84" s="3" t="s">
        <v>81</v>
      </c>
      <c r="AG84" s="3" t="s">
        <v>81</v>
      </c>
      <c r="AH84" s="3" t="s">
        <v>81</v>
      </c>
      <c r="AI84" s="3" t="s">
        <v>81</v>
      </c>
      <c r="AJ84" s="3" t="s">
        <v>81</v>
      </c>
      <c r="AK84" s="3" t="s">
        <v>81</v>
      </c>
      <c r="AL84" s="3" t="s">
        <v>81</v>
      </c>
      <c r="AM84" s="3" t="s">
        <v>81</v>
      </c>
      <c r="AN84" s="3" t="s">
        <v>81</v>
      </c>
      <c r="AO84" s="3" t="s">
        <v>81</v>
      </c>
      <c r="AP84" s="3" t="s">
        <v>81</v>
      </c>
      <c r="AQ84" s="3" t="s">
        <v>81</v>
      </c>
      <c r="AR84" s="3" t="s">
        <v>81</v>
      </c>
      <c r="AS84" s="3" t="s">
        <v>81</v>
      </c>
      <c r="AT84" s="3" t="s">
        <v>81</v>
      </c>
      <c r="AU84" s="3" t="s">
        <v>81</v>
      </c>
      <c r="AV84" s="3" t="s">
        <v>81</v>
      </c>
      <c r="AW84" s="3" t="s">
        <v>81</v>
      </c>
      <c r="AX84" s="3" t="s">
        <v>81</v>
      </c>
      <c r="AY84" s="3" t="s">
        <v>81</v>
      </c>
      <c r="AZ84" s="3" t="s">
        <v>81</v>
      </c>
      <c r="BA84" s="3" t="s">
        <v>81</v>
      </c>
      <c r="BB84" s="3" t="s">
        <v>81</v>
      </c>
      <c r="BC84" s="3" t="s">
        <v>81</v>
      </c>
      <c r="BD84" s="3" t="s">
        <v>81</v>
      </c>
      <c r="BE84" s="3" t="s">
        <v>81</v>
      </c>
      <c r="BF84" s="3" t="s">
        <v>81</v>
      </c>
      <c r="BG84" s="3" t="s">
        <v>81</v>
      </c>
      <c r="BH84" s="3" t="s">
        <v>81</v>
      </c>
      <c r="BI84" s="3" t="s">
        <v>84</v>
      </c>
      <c r="BJ84" s="3" t="s">
        <v>82</v>
      </c>
      <c r="BK84" s="3" t="s">
        <v>83</v>
      </c>
      <c r="BL84" s="3" t="s">
        <v>84</v>
      </c>
      <c r="BM84" s="3" t="s">
        <v>84</v>
      </c>
      <c r="BN84" s="3" t="s">
        <v>82</v>
      </c>
      <c r="BO84" s="3" t="s">
        <v>82</v>
      </c>
      <c r="BP84" s="3" t="s">
        <v>133</v>
      </c>
      <c r="BQ84" s="3" t="s">
        <v>174</v>
      </c>
      <c r="BR84" s="3" t="s">
        <v>175</v>
      </c>
      <c r="BS84" s="3" t="s">
        <v>175</v>
      </c>
      <c r="BT84" s="3" t="s">
        <v>87</v>
      </c>
      <c r="BU84" s="3" t="s">
        <v>176</v>
      </c>
      <c r="BV84" s="3" t="s">
        <v>82</v>
      </c>
      <c r="BW84" s="3" t="s">
        <v>91</v>
      </c>
      <c r="BX84" s="3" t="s">
        <v>82</v>
      </c>
      <c r="BZ84" s="3" t="s">
        <v>86</v>
      </c>
      <c r="CB84" s="3" t="s">
        <v>84</v>
      </c>
    </row>
    <row r="85" spans="1:87" x14ac:dyDescent="0.15">
      <c r="A85" s="3">
        <v>1847936610</v>
      </c>
      <c r="B85" s="3" t="s">
        <v>325</v>
      </c>
      <c r="C85" s="3" t="s">
        <v>325</v>
      </c>
      <c r="D85" s="3">
        <v>3</v>
      </c>
      <c r="E85" s="3">
        <v>2</v>
      </c>
      <c r="F85" s="3">
        <v>37.33</v>
      </c>
      <c r="G85" s="3">
        <v>0</v>
      </c>
      <c r="H85" s="3" t="s">
        <v>81</v>
      </c>
      <c r="I85" s="3" t="s">
        <v>81</v>
      </c>
      <c r="J85" s="3" t="s">
        <v>81</v>
      </c>
      <c r="K85" s="3" t="s">
        <v>81</v>
      </c>
      <c r="L85" s="3" t="s">
        <v>81</v>
      </c>
      <c r="M85" s="3" t="s">
        <v>81</v>
      </c>
      <c r="N85" s="3" t="s">
        <v>81</v>
      </c>
      <c r="O85" s="3" t="s">
        <v>81</v>
      </c>
      <c r="P85" s="3" t="s">
        <v>81</v>
      </c>
      <c r="Q85" s="3">
        <v>37.697000000000003</v>
      </c>
      <c r="R85" s="3">
        <v>0</v>
      </c>
      <c r="S85" s="3" t="s">
        <v>81</v>
      </c>
      <c r="T85" s="3" t="s">
        <v>81</v>
      </c>
      <c r="U85" s="3" t="s">
        <v>81</v>
      </c>
      <c r="V85" s="3" t="s">
        <v>81</v>
      </c>
      <c r="W85" s="3" t="s">
        <v>81</v>
      </c>
      <c r="X85" s="3" t="s">
        <v>81</v>
      </c>
      <c r="Y85" s="3" t="s">
        <v>81</v>
      </c>
      <c r="Z85" s="3" t="s">
        <v>81</v>
      </c>
      <c r="AA85" s="3" t="s">
        <v>81</v>
      </c>
      <c r="AB85" s="3" t="s">
        <v>81</v>
      </c>
      <c r="AC85" s="3" t="s">
        <v>81</v>
      </c>
      <c r="AD85" s="3" t="s">
        <v>81</v>
      </c>
      <c r="AE85" s="3" t="s">
        <v>81</v>
      </c>
      <c r="AF85" s="3" t="s">
        <v>81</v>
      </c>
      <c r="AG85" s="3" t="s">
        <v>81</v>
      </c>
      <c r="AH85" s="3" t="s">
        <v>81</v>
      </c>
      <c r="AI85" s="3" t="s">
        <v>81</v>
      </c>
      <c r="AJ85" s="3" t="s">
        <v>81</v>
      </c>
      <c r="AK85" s="3" t="s">
        <v>81</v>
      </c>
      <c r="AL85" s="3" t="s">
        <v>81</v>
      </c>
      <c r="AM85" s="3" t="s">
        <v>81</v>
      </c>
      <c r="AN85" s="3" t="s">
        <v>81</v>
      </c>
      <c r="AO85" s="3" t="s">
        <v>81</v>
      </c>
      <c r="AP85" s="3" t="s">
        <v>81</v>
      </c>
      <c r="AQ85" s="3" t="s">
        <v>81</v>
      </c>
      <c r="AR85" s="3" t="s">
        <v>81</v>
      </c>
      <c r="AS85" s="3" t="s">
        <v>81</v>
      </c>
      <c r="AT85" s="3" t="s">
        <v>81</v>
      </c>
      <c r="AU85" s="3" t="s">
        <v>81</v>
      </c>
      <c r="AV85" s="3" t="s">
        <v>81</v>
      </c>
      <c r="AW85" s="3" t="s">
        <v>81</v>
      </c>
      <c r="AX85" s="3" t="s">
        <v>81</v>
      </c>
      <c r="AY85" s="3" t="s">
        <v>81</v>
      </c>
      <c r="AZ85" s="3" t="s">
        <v>81</v>
      </c>
      <c r="BA85" s="3" t="s">
        <v>81</v>
      </c>
      <c r="BB85" s="3" t="s">
        <v>81</v>
      </c>
      <c r="BC85" s="3" t="s">
        <v>81</v>
      </c>
      <c r="BD85" s="3" t="s">
        <v>81</v>
      </c>
      <c r="BE85" s="3" t="s">
        <v>81</v>
      </c>
      <c r="BF85" s="3" t="s">
        <v>81</v>
      </c>
      <c r="BG85" s="3" t="s">
        <v>81</v>
      </c>
      <c r="BH85" s="3" t="s">
        <v>81</v>
      </c>
      <c r="BI85" s="3" t="s">
        <v>84</v>
      </c>
      <c r="BJ85" s="3" t="s">
        <v>84</v>
      </c>
      <c r="BK85" s="3" t="s">
        <v>82</v>
      </c>
      <c r="BL85" s="3" t="s">
        <v>84</v>
      </c>
      <c r="BM85" s="3" t="s">
        <v>84</v>
      </c>
      <c r="BN85" s="3" t="s">
        <v>84</v>
      </c>
      <c r="BO85" s="3" t="s">
        <v>84</v>
      </c>
      <c r="BP85" s="3" t="s">
        <v>218</v>
      </c>
      <c r="BQ85" s="3" t="s">
        <v>218</v>
      </c>
      <c r="BR85" s="3" t="s">
        <v>326</v>
      </c>
      <c r="BS85" s="3" t="s">
        <v>327</v>
      </c>
      <c r="BT85" s="3" t="s">
        <v>85</v>
      </c>
      <c r="BU85" s="3" t="s">
        <v>98</v>
      </c>
      <c r="BV85" s="3" t="s">
        <v>84</v>
      </c>
      <c r="BW85" s="3" t="s">
        <v>83</v>
      </c>
      <c r="BX85" s="3" t="s">
        <v>82</v>
      </c>
      <c r="BZ85" s="3" t="s">
        <v>93</v>
      </c>
      <c r="CB85" s="3" t="s">
        <v>84</v>
      </c>
    </row>
    <row r="86" spans="1:87" x14ac:dyDescent="0.15">
      <c r="A86" s="3">
        <v>1319276233</v>
      </c>
      <c r="B86" s="3" t="s">
        <v>325</v>
      </c>
      <c r="C86" s="3" t="s">
        <v>325</v>
      </c>
      <c r="D86" s="3">
        <v>6</v>
      </c>
      <c r="E86" s="3">
        <v>6</v>
      </c>
      <c r="F86" s="3">
        <v>21.518000000000001</v>
      </c>
      <c r="G86" s="3">
        <v>0</v>
      </c>
      <c r="H86" s="3" t="s">
        <v>81</v>
      </c>
      <c r="I86" s="3" t="s">
        <v>81</v>
      </c>
      <c r="J86" s="3" t="s">
        <v>81</v>
      </c>
      <c r="K86" s="3" t="s">
        <v>81</v>
      </c>
      <c r="L86" s="3" t="s">
        <v>81</v>
      </c>
      <c r="M86" s="3" t="s">
        <v>81</v>
      </c>
      <c r="N86" s="3" t="s">
        <v>81</v>
      </c>
      <c r="O86" s="3" t="s">
        <v>81</v>
      </c>
      <c r="P86" s="3" t="s">
        <v>81</v>
      </c>
      <c r="Q86" s="3">
        <v>24.213000000000001</v>
      </c>
      <c r="R86" s="3">
        <v>0</v>
      </c>
      <c r="S86" s="3" t="s">
        <v>81</v>
      </c>
      <c r="T86" s="3" t="s">
        <v>81</v>
      </c>
      <c r="U86" s="3" t="s">
        <v>81</v>
      </c>
      <c r="V86" s="3" t="s">
        <v>81</v>
      </c>
      <c r="W86" s="3" t="s">
        <v>81</v>
      </c>
      <c r="X86" s="3" t="s">
        <v>81</v>
      </c>
      <c r="Y86" s="3" t="s">
        <v>81</v>
      </c>
      <c r="Z86" s="3" t="s">
        <v>81</v>
      </c>
      <c r="AA86" s="3" t="s">
        <v>81</v>
      </c>
      <c r="AB86" s="3">
        <v>25.771999999999998</v>
      </c>
      <c r="AC86" s="3">
        <v>0</v>
      </c>
      <c r="AD86" s="3" t="s">
        <v>81</v>
      </c>
      <c r="AE86" s="3" t="s">
        <v>81</v>
      </c>
      <c r="AF86" s="3" t="s">
        <v>81</v>
      </c>
      <c r="AG86" s="3" t="s">
        <v>81</v>
      </c>
      <c r="AH86" s="3" t="s">
        <v>81</v>
      </c>
      <c r="AI86" s="3" t="s">
        <v>81</v>
      </c>
      <c r="AJ86" s="3" t="s">
        <v>81</v>
      </c>
      <c r="AK86" s="3" t="s">
        <v>81</v>
      </c>
      <c r="AL86" s="3" t="s">
        <v>81</v>
      </c>
      <c r="AM86" s="3">
        <v>24.562999999999999</v>
      </c>
      <c r="AN86" s="3">
        <v>0</v>
      </c>
      <c r="AO86" s="3" t="s">
        <v>81</v>
      </c>
      <c r="AP86" s="3" t="s">
        <v>81</v>
      </c>
      <c r="AQ86" s="3" t="s">
        <v>81</v>
      </c>
      <c r="AR86" s="3" t="s">
        <v>81</v>
      </c>
      <c r="AS86" s="3" t="s">
        <v>81</v>
      </c>
      <c r="AT86" s="3" t="s">
        <v>81</v>
      </c>
      <c r="AU86" s="3" t="s">
        <v>81</v>
      </c>
      <c r="AV86" s="3" t="s">
        <v>81</v>
      </c>
      <c r="AW86" s="3" t="s">
        <v>81</v>
      </c>
      <c r="AX86" s="3">
        <v>24.274999999999999</v>
      </c>
      <c r="AY86" s="3">
        <v>0</v>
      </c>
      <c r="AZ86" s="3" t="s">
        <v>81</v>
      </c>
      <c r="BA86" s="3" t="s">
        <v>81</v>
      </c>
      <c r="BB86" s="3" t="s">
        <v>81</v>
      </c>
      <c r="BC86" s="3" t="s">
        <v>81</v>
      </c>
      <c r="BD86" s="3" t="s">
        <v>81</v>
      </c>
      <c r="BE86" s="3" t="s">
        <v>81</v>
      </c>
      <c r="BF86" s="3" t="s">
        <v>81</v>
      </c>
      <c r="BG86" s="3" t="s">
        <v>81</v>
      </c>
      <c r="BH86" s="3" t="s">
        <v>81</v>
      </c>
      <c r="BI86" s="3" t="s">
        <v>84</v>
      </c>
      <c r="BJ86" s="3" t="s">
        <v>82</v>
      </c>
      <c r="BK86" s="3" t="s">
        <v>83</v>
      </c>
      <c r="BL86" s="3" t="s">
        <v>84</v>
      </c>
      <c r="BM86" s="3" t="s">
        <v>84</v>
      </c>
      <c r="BN86" s="3" t="s">
        <v>82</v>
      </c>
      <c r="BO86" s="3" t="s">
        <v>84</v>
      </c>
      <c r="BP86" s="3" t="s">
        <v>113</v>
      </c>
      <c r="BQ86" s="3" t="s">
        <v>85</v>
      </c>
      <c r="BR86" s="3" t="s">
        <v>98</v>
      </c>
      <c r="BS86" s="3" t="s">
        <v>328</v>
      </c>
      <c r="BT86" s="3" t="s">
        <v>98</v>
      </c>
      <c r="BU86" s="3" t="s">
        <v>87</v>
      </c>
      <c r="BV86" s="3" t="s">
        <v>84</v>
      </c>
      <c r="BW86" s="3" t="s">
        <v>83</v>
      </c>
      <c r="BX86" s="3" t="s">
        <v>82</v>
      </c>
      <c r="BZ86" s="3" t="s">
        <v>86</v>
      </c>
      <c r="CB86" s="3" t="s">
        <v>84</v>
      </c>
    </row>
    <row r="87" spans="1:87" x14ac:dyDescent="0.15">
      <c r="A87" s="3">
        <v>2625844535</v>
      </c>
      <c r="B87" s="3" t="s">
        <v>325</v>
      </c>
      <c r="C87" s="3" t="s">
        <v>325</v>
      </c>
      <c r="D87" s="3">
        <v>4</v>
      </c>
      <c r="E87" s="3">
        <v>4</v>
      </c>
      <c r="F87" s="3">
        <v>22.390999999999998</v>
      </c>
      <c r="G87" s="3">
        <v>0</v>
      </c>
      <c r="H87" s="3" t="s">
        <v>81</v>
      </c>
      <c r="I87" s="3" t="s">
        <v>81</v>
      </c>
      <c r="J87" s="3" t="s">
        <v>81</v>
      </c>
      <c r="K87" s="3" t="s">
        <v>81</v>
      </c>
      <c r="L87" s="3" t="s">
        <v>81</v>
      </c>
      <c r="M87" s="3" t="s">
        <v>81</v>
      </c>
      <c r="N87" s="3" t="s">
        <v>81</v>
      </c>
      <c r="O87" s="3" t="s">
        <v>81</v>
      </c>
      <c r="P87" s="3" t="s">
        <v>81</v>
      </c>
      <c r="Q87" s="3">
        <v>24.303999999999998</v>
      </c>
      <c r="R87" s="3">
        <v>0</v>
      </c>
      <c r="S87" s="3" t="s">
        <v>81</v>
      </c>
      <c r="T87" s="3" t="s">
        <v>81</v>
      </c>
      <c r="U87" s="3" t="s">
        <v>81</v>
      </c>
      <c r="V87" s="3" t="s">
        <v>81</v>
      </c>
      <c r="W87" s="3" t="s">
        <v>81</v>
      </c>
      <c r="X87" s="3" t="s">
        <v>81</v>
      </c>
      <c r="Y87" s="3" t="s">
        <v>81</v>
      </c>
      <c r="Z87" s="3" t="s">
        <v>81</v>
      </c>
      <c r="AA87" s="3" t="s">
        <v>81</v>
      </c>
      <c r="AB87" s="3">
        <v>21.838999999999999</v>
      </c>
      <c r="AC87" s="3">
        <v>0</v>
      </c>
      <c r="AD87" s="3" t="s">
        <v>81</v>
      </c>
      <c r="AE87" s="3" t="s">
        <v>81</v>
      </c>
      <c r="AF87" s="3" t="s">
        <v>81</v>
      </c>
      <c r="AG87" s="3" t="s">
        <v>81</v>
      </c>
      <c r="AH87" s="3" t="s">
        <v>81</v>
      </c>
      <c r="AI87" s="3" t="s">
        <v>81</v>
      </c>
      <c r="AJ87" s="3" t="s">
        <v>81</v>
      </c>
      <c r="AK87" s="3" t="s">
        <v>81</v>
      </c>
      <c r="AL87" s="3" t="s">
        <v>81</v>
      </c>
      <c r="AM87" s="3">
        <v>20.347999999999999</v>
      </c>
      <c r="AN87" s="3">
        <v>0</v>
      </c>
      <c r="AO87" s="3" t="s">
        <v>81</v>
      </c>
      <c r="AP87" s="3" t="s">
        <v>81</v>
      </c>
      <c r="AQ87" s="3" t="s">
        <v>81</v>
      </c>
      <c r="AR87" s="3" t="s">
        <v>81</v>
      </c>
      <c r="AS87" s="3" t="s">
        <v>81</v>
      </c>
      <c r="AT87" s="3" t="s">
        <v>81</v>
      </c>
      <c r="AU87" s="3" t="s">
        <v>81</v>
      </c>
      <c r="AV87" s="3" t="s">
        <v>81</v>
      </c>
      <c r="AW87" s="3" t="s">
        <v>81</v>
      </c>
      <c r="AX87" s="3" t="s">
        <v>81</v>
      </c>
      <c r="AY87" s="3" t="s">
        <v>81</v>
      </c>
      <c r="AZ87" s="3" t="s">
        <v>81</v>
      </c>
      <c r="BA87" s="3" t="s">
        <v>81</v>
      </c>
      <c r="BB87" s="3" t="s">
        <v>81</v>
      </c>
      <c r="BC87" s="3" t="s">
        <v>81</v>
      </c>
      <c r="BD87" s="3" t="s">
        <v>81</v>
      </c>
      <c r="BE87" s="3" t="s">
        <v>81</v>
      </c>
      <c r="BF87" s="3" t="s">
        <v>81</v>
      </c>
      <c r="BG87" s="3" t="s">
        <v>81</v>
      </c>
      <c r="BH87" s="3" t="s">
        <v>81</v>
      </c>
      <c r="BI87" s="3" t="s">
        <v>84</v>
      </c>
      <c r="BJ87" s="3" t="s">
        <v>82</v>
      </c>
      <c r="BK87" s="3" t="s">
        <v>83</v>
      </c>
      <c r="BL87" s="3" t="s">
        <v>84</v>
      </c>
      <c r="BM87" s="3" t="s">
        <v>84</v>
      </c>
      <c r="BN87" s="3" t="s">
        <v>84</v>
      </c>
      <c r="BO87" s="3" t="s">
        <v>83</v>
      </c>
      <c r="BP87" s="3" t="s">
        <v>81</v>
      </c>
      <c r="BQ87" s="3" t="s">
        <v>81</v>
      </c>
      <c r="BR87" s="3" t="s">
        <v>81</v>
      </c>
      <c r="BS87" s="3" t="s">
        <v>81</v>
      </c>
      <c r="BT87" s="3" t="s">
        <v>81</v>
      </c>
      <c r="BU87" s="3" t="s">
        <v>81</v>
      </c>
      <c r="BV87" s="3" t="s">
        <v>84</v>
      </c>
      <c r="BW87" s="3" t="s">
        <v>83</v>
      </c>
      <c r="BX87" s="3" t="s">
        <v>82</v>
      </c>
      <c r="BZ87" s="3" t="s">
        <v>86</v>
      </c>
      <c r="CB87" s="3" t="s">
        <v>84</v>
      </c>
    </row>
    <row r="88" spans="1:87" x14ac:dyDescent="0.15">
      <c r="A88" s="3">
        <v>2625844535</v>
      </c>
      <c r="B88" s="3" t="s">
        <v>325</v>
      </c>
      <c r="C88" s="3" t="s">
        <v>325</v>
      </c>
      <c r="D88" s="3">
        <v>4</v>
      </c>
      <c r="E88" s="3">
        <v>4</v>
      </c>
      <c r="F88" s="3">
        <v>27.341000000000001</v>
      </c>
      <c r="G88" s="3">
        <v>0</v>
      </c>
      <c r="H88" s="3" t="s">
        <v>81</v>
      </c>
      <c r="I88" s="3" t="s">
        <v>81</v>
      </c>
      <c r="J88" s="3" t="s">
        <v>81</v>
      </c>
      <c r="K88" s="3" t="s">
        <v>81</v>
      </c>
      <c r="L88" s="3" t="s">
        <v>81</v>
      </c>
      <c r="M88" s="3" t="s">
        <v>81</v>
      </c>
      <c r="N88" s="3" t="s">
        <v>81</v>
      </c>
      <c r="O88" s="3" t="s">
        <v>81</v>
      </c>
      <c r="P88" s="3" t="s">
        <v>81</v>
      </c>
      <c r="Q88" s="3">
        <v>27.091000000000001</v>
      </c>
      <c r="R88" s="3">
        <v>0</v>
      </c>
      <c r="S88" s="3" t="s">
        <v>81</v>
      </c>
      <c r="T88" s="3" t="s">
        <v>81</v>
      </c>
      <c r="U88" s="3" t="s">
        <v>81</v>
      </c>
      <c r="V88" s="3" t="s">
        <v>81</v>
      </c>
      <c r="W88" s="3" t="s">
        <v>81</v>
      </c>
      <c r="X88" s="3" t="s">
        <v>81</v>
      </c>
      <c r="Y88" s="3" t="s">
        <v>81</v>
      </c>
      <c r="Z88" s="3" t="s">
        <v>81</v>
      </c>
      <c r="AA88" s="3" t="s">
        <v>81</v>
      </c>
      <c r="AB88" s="3">
        <v>28.843</v>
      </c>
      <c r="AC88" s="3">
        <v>0</v>
      </c>
      <c r="AD88" s="3" t="s">
        <v>81</v>
      </c>
      <c r="AE88" s="3" t="s">
        <v>81</v>
      </c>
      <c r="AF88" s="3" t="s">
        <v>81</v>
      </c>
      <c r="AG88" s="3" t="s">
        <v>81</v>
      </c>
      <c r="AH88" s="3" t="s">
        <v>81</v>
      </c>
      <c r="AI88" s="3" t="s">
        <v>81</v>
      </c>
      <c r="AJ88" s="3" t="s">
        <v>81</v>
      </c>
      <c r="AK88" s="3" t="s">
        <v>81</v>
      </c>
      <c r="AL88" s="3" t="s">
        <v>81</v>
      </c>
      <c r="AM88" s="3">
        <v>26.622</v>
      </c>
      <c r="AN88" s="3">
        <v>0</v>
      </c>
      <c r="AO88" s="3" t="s">
        <v>81</v>
      </c>
      <c r="AP88" s="3" t="s">
        <v>81</v>
      </c>
      <c r="AQ88" s="3" t="s">
        <v>81</v>
      </c>
      <c r="AR88" s="3" t="s">
        <v>81</v>
      </c>
      <c r="AS88" s="3" t="s">
        <v>81</v>
      </c>
      <c r="AT88" s="3" t="s">
        <v>81</v>
      </c>
      <c r="AU88" s="3" t="s">
        <v>81</v>
      </c>
      <c r="AV88" s="3" t="s">
        <v>81</v>
      </c>
      <c r="AW88" s="3" t="s">
        <v>81</v>
      </c>
      <c r="AX88" s="3" t="s">
        <v>81</v>
      </c>
      <c r="AY88" s="3" t="s">
        <v>81</v>
      </c>
      <c r="AZ88" s="3" t="s">
        <v>81</v>
      </c>
      <c r="BA88" s="3" t="s">
        <v>81</v>
      </c>
      <c r="BB88" s="3" t="s">
        <v>81</v>
      </c>
      <c r="BC88" s="3" t="s">
        <v>81</v>
      </c>
      <c r="BD88" s="3" t="s">
        <v>81</v>
      </c>
      <c r="BE88" s="3" t="s">
        <v>81</v>
      </c>
      <c r="BF88" s="3" t="s">
        <v>81</v>
      </c>
      <c r="BG88" s="3" t="s">
        <v>81</v>
      </c>
      <c r="BH88" s="3" t="s">
        <v>81</v>
      </c>
      <c r="BI88" s="3" t="s">
        <v>84</v>
      </c>
      <c r="BJ88" s="3" t="s">
        <v>82</v>
      </c>
      <c r="BK88" s="3" t="s">
        <v>83</v>
      </c>
      <c r="BL88" s="3" t="s">
        <v>84</v>
      </c>
      <c r="BM88" s="3" t="s">
        <v>84</v>
      </c>
      <c r="BN88" s="3" t="s">
        <v>84</v>
      </c>
      <c r="BO88" s="3" t="s">
        <v>82</v>
      </c>
      <c r="BP88" s="3" t="s">
        <v>87</v>
      </c>
      <c r="BQ88" s="3" t="s">
        <v>87</v>
      </c>
      <c r="BR88" s="3" t="s">
        <v>98</v>
      </c>
      <c r="BS88" s="3" t="s">
        <v>98</v>
      </c>
      <c r="BT88" s="3" t="s">
        <v>98</v>
      </c>
      <c r="BU88" s="3" t="s">
        <v>87</v>
      </c>
      <c r="BV88" s="3" t="s">
        <v>84</v>
      </c>
      <c r="BW88" s="3" t="s">
        <v>83</v>
      </c>
      <c r="BX88" s="3" t="s">
        <v>82</v>
      </c>
      <c r="BZ88" s="3" t="s">
        <v>86</v>
      </c>
      <c r="CB88" s="3" t="s">
        <v>84</v>
      </c>
    </row>
    <row r="89" spans="1:87" x14ac:dyDescent="0.15">
      <c r="A89" s="3">
        <v>1847936596</v>
      </c>
      <c r="B89" s="3" t="s">
        <v>309</v>
      </c>
      <c r="C89" s="3" t="s">
        <v>309</v>
      </c>
      <c r="D89" s="3">
        <v>3</v>
      </c>
      <c r="E89" s="3">
        <v>3</v>
      </c>
      <c r="F89" s="3">
        <v>167.48500000000001</v>
      </c>
      <c r="G89" s="3">
        <v>3</v>
      </c>
      <c r="H89" s="3">
        <v>66.647999999999996</v>
      </c>
      <c r="I89" s="3">
        <v>19.128</v>
      </c>
      <c r="J89" s="3">
        <v>46.524999999999999</v>
      </c>
      <c r="K89" s="3">
        <v>12.513</v>
      </c>
      <c r="L89" s="3">
        <v>34.116</v>
      </c>
      <c r="M89" s="3">
        <v>9.5939999999999994</v>
      </c>
      <c r="N89" s="3">
        <v>16.175000000000001</v>
      </c>
      <c r="O89" s="3" t="s">
        <v>81</v>
      </c>
      <c r="P89" s="3" t="s">
        <v>81</v>
      </c>
      <c r="Q89" s="3">
        <v>142.328</v>
      </c>
      <c r="R89" s="3">
        <v>3</v>
      </c>
      <c r="S89" s="3">
        <v>64.085999999999999</v>
      </c>
      <c r="T89" s="3" t="s">
        <v>81</v>
      </c>
      <c r="U89" s="3">
        <v>42.375999999999998</v>
      </c>
      <c r="V89" s="3">
        <v>12.766</v>
      </c>
      <c r="W89" s="3">
        <v>29.18</v>
      </c>
      <c r="X89" s="3">
        <v>10.039999999999999</v>
      </c>
      <c r="Y89" s="3">
        <v>3.367</v>
      </c>
      <c r="Z89" s="3" t="s">
        <v>81</v>
      </c>
      <c r="AA89" s="3" t="s">
        <v>81</v>
      </c>
      <c r="AB89" s="3">
        <v>140.904</v>
      </c>
      <c r="AC89" s="3">
        <v>3</v>
      </c>
      <c r="AD89" s="3">
        <v>62.261000000000003</v>
      </c>
      <c r="AE89" s="3">
        <v>15.076000000000001</v>
      </c>
      <c r="AF89" s="3">
        <v>41.756</v>
      </c>
      <c r="AG89" s="3">
        <v>13.433999999999999</v>
      </c>
      <c r="AH89" s="3">
        <v>34.929000000000002</v>
      </c>
      <c r="AI89" s="3" t="s">
        <v>81</v>
      </c>
      <c r="AJ89" s="3" t="s">
        <v>81</v>
      </c>
      <c r="AK89" s="3" t="s">
        <v>81</v>
      </c>
      <c r="AL89" s="3" t="s">
        <v>81</v>
      </c>
      <c r="AM89" s="3" t="s">
        <v>81</v>
      </c>
      <c r="AN89" s="3" t="s">
        <v>81</v>
      </c>
      <c r="AO89" s="3" t="s">
        <v>81</v>
      </c>
      <c r="AP89" s="3" t="s">
        <v>81</v>
      </c>
      <c r="AQ89" s="3" t="s">
        <v>81</v>
      </c>
      <c r="AR89" s="3" t="s">
        <v>81</v>
      </c>
      <c r="AS89" s="3" t="s">
        <v>81</v>
      </c>
      <c r="AT89" s="3" t="s">
        <v>81</v>
      </c>
      <c r="AU89" s="3" t="s">
        <v>81</v>
      </c>
      <c r="AV89" s="3" t="s">
        <v>81</v>
      </c>
      <c r="AW89" s="3" t="s">
        <v>81</v>
      </c>
      <c r="AX89" s="3" t="s">
        <v>81</v>
      </c>
      <c r="AY89" s="3" t="s">
        <v>81</v>
      </c>
      <c r="AZ89" s="3" t="s">
        <v>81</v>
      </c>
      <c r="BA89" s="3" t="s">
        <v>81</v>
      </c>
      <c r="BB89" s="3" t="s">
        <v>81</v>
      </c>
      <c r="BC89" s="3" t="s">
        <v>81</v>
      </c>
      <c r="BD89" s="3" t="s">
        <v>81</v>
      </c>
      <c r="BE89" s="3" t="s">
        <v>81</v>
      </c>
      <c r="BF89" s="3" t="s">
        <v>81</v>
      </c>
      <c r="BG89" s="3" t="s">
        <v>81</v>
      </c>
      <c r="BH89" s="3" t="s">
        <v>81</v>
      </c>
      <c r="BI89" s="3" t="s">
        <v>84</v>
      </c>
      <c r="BJ89" s="3" t="s">
        <v>84</v>
      </c>
      <c r="BK89" s="3" t="s">
        <v>82</v>
      </c>
      <c r="BL89" s="3" t="s">
        <v>84</v>
      </c>
      <c r="BM89" s="3" t="s">
        <v>84</v>
      </c>
      <c r="BN89" s="3" t="s">
        <v>82</v>
      </c>
      <c r="BO89" s="3" t="s">
        <v>84</v>
      </c>
      <c r="BP89" s="3" t="s">
        <v>133</v>
      </c>
      <c r="BQ89" s="3" t="s">
        <v>133</v>
      </c>
      <c r="BR89" s="3" t="s">
        <v>129</v>
      </c>
      <c r="BS89" s="3" t="s">
        <v>129</v>
      </c>
      <c r="BT89" s="3" t="s">
        <v>87</v>
      </c>
      <c r="BU89" s="3" t="s">
        <v>129</v>
      </c>
      <c r="BV89" s="3" t="s">
        <v>82</v>
      </c>
      <c r="BW89" s="3" t="s">
        <v>91</v>
      </c>
      <c r="BX89" s="3" t="s">
        <v>84</v>
      </c>
      <c r="BY89" s="3" t="s">
        <v>310</v>
      </c>
      <c r="BZ89" s="3" t="s">
        <v>93</v>
      </c>
      <c r="CB89" s="3" t="s">
        <v>84</v>
      </c>
    </row>
    <row r="90" spans="1:87" x14ac:dyDescent="0.15">
      <c r="A90" s="3">
        <v>2625862353</v>
      </c>
      <c r="B90" s="3" t="s">
        <v>309</v>
      </c>
      <c r="C90" s="3" t="s">
        <v>309</v>
      </c>
      <c r="D90" s="3">
        <v>2</v>
      </c>
      <c r="E90" s="3">
        <v>2</v>
      </c>
      <c r="F90" s="3">
        <v>59.671999999999997</v>
      </c>
      <c r="G90" s="3">
        <v>2</v>
      </c>
      <c r="H90" s="3">
        <v>37.362000000000002</v>
      </c>
      <c r="I90" s="3">
        <v>30.408000000000001</v>
      </c>
      <c r="J90" s="3">
        <v>20.917000000000002</v>
      </c>
      <c r="K90" s="3">
        <v>20.024000000000001</v>
      </c>
      <c r="L90" s="3">
        <v>0.67</v>
      </c>
      <c r="M90" s="3" t="s">
        <v>81</v>
      </c>
      <c r="N90" s="3" t="s">
        <v>81</v>
      </c>
      <c r="O90" s="3" t="s">
        <v>81</v>
      </c>
      <c r="P90" s="3" t="s">
        <v>81</v>
      </c>
      <c r="Q90" s="3">
        <v>64.197999999999993</v>
      </c>
      <c r="R90" s="3">
        <v>2</v>
      </c>
      <c r="S90" s="3">
        <v>47.82</v>
      </c>
      <c r="T90" s="3">
        <v>25.81</v>
      </c>
      <c r="U90" s="3">
        <v>15.832000000000001</v>
      </c>
      <c r="V90" s="3">
        <v>15.968999999999999</v>
      </c>
      <c r="W90" s="3">
        <v>0.51500000000000001</v>
      </c>
      <c r="X90" s="3" t="s">
        <v>81</v>
      </c>
      <c r="Y90" s="3" t="s">
        <v>81</v>
      </c>
      <c r="Z90" s="3" t="s">
        <v>81</v>
      </c>
      <c r="AA90" s="3" t="s">
        <v>81</v>
      </c>
      <c r="AB90" s="3" t="s">
        <v>81</v>
      </c>
      <c r="AC90" s="3" t="s">
        <v>81</v>
      </c>
      <c r="AD90" s="3" t="s">
        <v>81</v>
      </c>
      <c r="AE90" s="3" t="s">
        <v>81</v>
      </c>
      <c r="AF90" s="3" t="s">
        <v>81</v>
      </c>
      <c r="AG90" s="3" t="s">
        <v>81</v>
      </c>
      <c r="AH90" s="3" t="s">
        <v>81</v>
      </c>
      <c r="AI90" s="3" t="s">
        <v>81</v>
      </c>
      <c r="AJ90" s="3" t="s">
        <v>81</v>
      </c>
      <c r="AK90" s="3" t="s">
        <v>81</v>
      </c>
      <c r="AL90" s="3" t="s">
        <v>81</v>
      </c>
      <c r="AM90" s="3" t="s">
        <v>81</v>
      </c>
      <c r="AN90" s="3" t="s">
        <v>81</v>
      </c>
      <c r="AO90" s="3" t="s">
        <v>81</v>
      </c>
      <c r="AP90" s="3" t="s">
        <v>81</v>
      </c>
      <c r="AQ90" s="3" t="s">
        <v>81</v>
      </c>
      <c r="AR90" s="3" t="s">
        <v>81</v>
      </c>
      <c r="AS90" s="3" t="s">
        <v>81</v>
      </c>
      <c r="AT90" s="3" t="s">
        <v>81</v>
      </c>
      <c r="AU90" s="3" t="s">
        <v>81</v>
      </c>
      <c r="AV90" s="3" t="s">
        <v>81</v>
      </c>
      <c r="AW90" s="3" t="s">
        <v>81</v>
      </c>
      <c r="AX90" s="3" t="s">
        <v>81</v>
      </c>
      <c r="AY90" s="3" t="s">
        <v>81</v>
      </c>
      <c r="AZ90" s="3" t="s">
        <v>81</v>
      </c>
      <c r="BA90" s="3" t="s">
        <v>81</v>
      </c>
      <c r="BB90" s="3" t="s">
        <v>81</v>
      </c>
      <c r="BC90" s="3" t="s">
        <v>81</v>
      </c>
      <c r="BD90" s="3" t="s">
        <v>81</v>
      </c>
      <c r="BE90" s="3" t="s">
        <v>81</v>
      </c>
      <c r="BF90" s="3" t="s">
        <v>81</v>
      </c>
      <c r="BG90" s="3" t="s">
        <v>81</v>
      </c>
      <c r="BH90" s="3" t="s">
        <v>81</v>
      </c>
      <c r="BI90" s="3" t="s">
        <v>84</v>
      </c>
      <c r="BJ90" s="3" t="s">
        <v>82</v>
      </c>
      <c r="BK90" s="3" t="s">
        <v>83</v>
      </c>
      <c r="BL90" s="3" t="s">
        <v>84</v>
      </c>
      <c r="BM90" s="3" t="s">
        <v>84</v>
      </c>
      <c r="BN90" s="3" t="s">
        <v>82</v>
      </c>
      <c r="BO90" s="3" t="s">
        <v>84</v>
      </c>
      <c r="BP90" s="3" t="s">
        <v>311</v>
      </c>
      <c r="BQ90" s="3" t="s">
        <v>311</v>
      </c>
      <c r="BR90" s="3" t="s">
        <v>311</v>
      </c>
      <c r="BS90" s="3" t="s">
        <v>311</v>
      </c>
      <c r="BT90" s="3" t="s">
        <v>87</v>
      </c>
      <c r="BU90" s="3" t="s">
        <v>129</v>
      </c>
      <c r="BV90" s="3" t="s">
        <v>84</v>
      </c>
      <c r="BW90" s="3" t="s">
        <v>83</v>
      </c>
      <c r="BX90" s="3" t="s">
        <v>82</v>
      </c>
      <c r="BY90" s="3" t="s">
        <v>312</v>
      </c>
      <c r="BZ90" s="3" t="s">
        <v>86</v>
      </c>
      <c r="CB90" s="3" t="s">
        <v>84</v>
      </c>
    </row>
    <row r="91" spans="1:87" x14ac:dyDescent="0.15">
      <c r="A91" s="3">
        <v>2643334497</v>
      </c>
      <c r="B91" s="3" t="s">
        <v>309</v>
      </c>
      <c r="C91" s="3" t="s">
        <v>309</v>
      </c>
      <c r="D91" s="3">
        <v>2</v>
      </c>
      <c r="E91" s="3">
        <v>3</v>
      </c>
      <c r="F91" s="3">
        <v>90.468999999999994</v>
      </c>
      <c r="G91" s="3">
        <v>2</v>
      </c>
      <c r="H91" s="3">
        <v>46.491999999999997</v>
      </c>
      <c r="I91" s="3">
        <v>23.972000000000001</v>
      </c>
      <c r="J91" s="3">
        <v>41.64</v>
      </c>
      <c r="K91" s="3">
        <v>17.422999999999998</v>
      </c>
      <c r="L91" s="3">
        <v>2.4359999999999999</v>
      </c>
      <c r="M91" s="3" t="s">
        <v>81</v>
      </c>
      <c r="N91" s="3" t="s">
        <v>81</v>
      </c>
      <c r="O91" s="3" t="s">
        <v>81</v>
      </c>
      <c r="P91" s="3" t="s">
        <v>81</v>
      </c>
      <c r="Q91" s="3">
        <v>94.625</v>
      </c>
      <c r="R91" s="3">
        <v>2</v>
      </c>
      <c r="S91" s="3">
        <v>47.381999999999998</v>
      </c>
      <c r="T91" s="3">
        <v>29.391999999999999</v>
      </c>
      <c r="U91" s="3">
        <v>44.189</v>
      </c>
      <c r="V91" s="3">
        <v>18.414000000000001</v>
      </c>
      <c r="W91" s="3">
        <v>2.8610000000000002</v>
      </c>
      <c r="X91" s="3" t="s">
        <v>81</v>
      </c>
      <c r="Y91" s="3" t="s">
        <v>81</v>
      </c>
      <c r="Z91" s="3" t="s">
        <v>81</v>
      </c>
      <c r="AA91" s="3" t="s">
        <v>81</v>
      </c>
      <c r="AB91" s="3">
        <v>78.132000000000005</v>
      </c>
      <c r="AC91" s="3">
        <v>2</v>
      </c>
      <c r="AD91" s="3">
        <v>39.460999999999999</v>
      </c>
      <c r="AE91" s="3">
        <v>26.562000000000001</v>
      </c>
      <c r="AF91" s="3">
        <v>37.122</v>
      </c>
      <c r="AG91" s="3">
        <v>20.683</v>
      </c>
      <c r="AH91" s="3">
        <v>1.448</v>
      </c>
      <c r="AI91" s="3" t="s">
        <v>81</v>
      </c>
      <c r="AJ91" s="3" t="s">
        <v>81</v>
      </c>
      <c r="AK91" s="3" t="s">
        <v>81</v>
      </c>
      <c r="AL91" s="3" t="s">
        <v>81</v>
      </c>
      <c r="AM91" s="3" t="s">
        <v>81</v>
      </c>
      <c r="AN91" s="3" t="s">
        <v>81</v>
      </c>
      <c r="AO91" s="3" t="s">
        <v>81</v>
      </c>
      <c r="AP91" s="3" t="s">
        <v>81</v>
      </c>
      <c r="AQ91" s="3" t="s">
        <v>81</v>
      </c>
      <c r="AR91" s="3" t="s">
        <v>81</v>
      </c>
      <c r="AS91" s="3" t="s">
        <v>81</v>
      </c>
      <c r="AT91" s="3" t="s">
        <v>81</v>
      </c>
      <c r="AU91" s="3" t="s">
        <v>81</v>
      </c>
      <c r="AV91" s="3" t="s">
        <v>81</v>
      </c>
      <c r="AW91" s="3" t="s">
        <v>81</v>
      </c>
      <c r="AX91" s="3" t="s">
        <v>81</v>
      </c>
      <c r="AY91" s="3" t="s">
        <v>81</v>
      </c>
      <c r="AZ91" s="3" t="s">
        <v>81</v>
      </c>
      <c r="BA91" s="3" t="s">
        <v>81</v>
      </c>
      <c r="BB91" s="3" t="s">
        <v>81</v>
      </c>
      <c r="BC91" s="3" t="s">
        <v>81</v>
      </c>
      <c r="BD91" s="3" t="s">
        <v>81</v>
      </c>
      <c r="BE91" s="3" t="s">
        <v>81</v>
      </c>
      <c r="BF91" s="3" t="s">
        <v>81</v>
      </c>
      <c r="BG91" s="3" t="s">
        <v>81</v>
      </c>
      <c r="BH91" s="3" t="s">
        <v>81</v>
      </c>
      <c r="BI91" s="3" t="s">
        <v>84</v>
      </c>
      <c r="BJ91" s="3" t="s">
        <v>82</v>
      </c>
      <c r="BK91" s="3" t="s">
        <v>83</v>
      </c>
      <c r="BL91" s="3" t="s">
        <v>84</v>
      </c>
      <c r="BM91" s="3" t="s">
        <v>84</v>
      </c>
      <c r="BN91" s="3" t="s">
        <v>82</v>
      </c>
      <c r="BO91" s="3" t="s">
        <v>82</v>
      </c>
      <c r="BP91" s="3" t="s">
        <v>313</v>
      </c>
      <c r="BQ91" s="3" t="s">
        <v>313</v>
      </c>
      <c r="BR91" s="3" t="s">
        <v>313</v>
      </c>
      <c r="BS91" s="3" t="s">
        <v>313</v>
      </c>
      <c r="BT91" s="3" t="s">
        <v>98</v>
      </c>
      <c r="BU91" s="3" t="s">
        <v>87</v>
      </c>
      <c r="BV91" s="3" t="s">
        <v>82</v>
      </c>
      <c r="BW91" s="3" t="s">
        <v>91</v>
      </c>
      <c r="BX91" s="3" t="s">
        <v>82</v>
      </c>
      <c r="BZ91" s="3" t="s">
        <v>86</v>
      </c>
      <c r="CB91" s="3" t="s">
        <v>84</v>
      </c>
    </row>
    <row r="92" spans="1:87" x14ac:dyDescent="0.15">
      <c r="A92" s="3">
        <v>1228503366</v>
      </c>
      <c r="B92" s="3" t="s">
        <v>309</v>
      </c>
      <c r="C92" s="3" t="s">
        <v>309</v>
      </c>
      <c r="D92" s="3">
        <v>3</v>
      </c>
      <c r="E92" s="3">
        <v>4</v>
      </c>
      <c r="F92" s="3">
        <v>273.45499999999998</v>
      </c>
      <c r="G92" s="3">
        <v>4</v>
      </c>
      <c r="H92" s="3">
        <v>86.802999999999997</v>
      </c>
      <c r="I92" s="3">
        <v>64.853999999999999</v>
      </c>
      <c r="J92" s="3">
        <v>59.088000000000001</v>
      </c>
      <c r="K92" s="3">
        <v>61.406999999999996</v>
      </c>
      <c r="L92" s="3">
        <v>51.345999999999997</v>
      </c>
      <c r="M92" s="3">
        <v>51.231000000000002</v>
      </c>
      <c r="N92" s="3">
        <v>31.305</v>
      </c>
      <c r="O92" s="3">
        <v>47.075000000000003</v>
      </c>
      <c r="P92" s="3">
        <v>53.670999999999999</v>
      </c>
      <c r="Q92" s="3">
        <v>222.494</v>
      </c>
      <c r="R92" s="3">
        <v>3</v>
      </c>
      <c r="S92" s="3">
        <v>71.012</v>
      </c>
      <c r="T92" s="3">
        <v>60.381</v>
      </c>
      <c r="U92" s="3">
        <v>54.935000000000002</v>
      </c>
      <c r="V92" s="3">
        <v>51.436999999999998</v>
      </c>
      <c r="W92" s="3">
        <v>34.643999999999998</v>
      </c>
      <c r="X92" s="3">
        <v>47.468000000000004</v>
      </c>
      <c r="Y92" s="3">
        <v>58.042000000000002</v>
      </c>
      <c r="Z92" s="3" t="s">
        <v>81</v>
      </c>
      <c r="AA92" s="3" t="s">
        <v>81</v>
      </c>
      <c r="AB92" s="3">
        <v>282.47199999999998</v>
      </c>
      <c r="AC92" s="3">
        <v>3</v>
      </c>
      <c r="AD92" s="3">
        <v>90.921999999999997</v>
      </c>
      <c r="AE92" s="3">
        <v>65.296999999999997</v>
      </c>
      <c r="AF92" s="3">
        <v>71.457999999999998</v>
      </c>
      <c r="AG92" s="3">
        <v>61.96</v>
      </c>
      <c r="AH92" s="3">
        <v>50.149000000000001</v>
      </c>
      <c r="AI92" s="3">
        <v>56.718000000000004</v>
      </c>
      <c r="AJ92" s="3">
        <v>69.734999999999999</v>
      </c>
      <c r="AK92" s="3" t="s">
        <v>81</v>
      </c>
      <c r="AL92" s="3" t="s">
        <v>81</v>
      </c>
      <c r="AM92" s="3">
        <v>264.13</v>
      </c>
      <c r="AN92" s="3">
        <v>3</v>
      </c>
      <c r="AO92" s="3">
        <v>76.790000000000006</v>
      </c>
      <c r="AP92" s="3">
        <v>56.225000000000001</v>
      </c>
      <c r="AQ92" s="3">
        <v>66.831000000000003</v>
      </c>
      <c r="AR92" s="3">
        <v>56.277999999999999</v>
      </c>
      <c r="AS92" s="3">
        <v>47.024000000000001</v>
      </c>
      <c r="AT92" s="3">
        <v>40.756999999999998</v>
      </c>
      <c r="AU92" s="3">
        <v>71.010999999999996</v>
      </c>
      <c r="AV92" s="3" t="s">
        <v>81</v>
      </c>
      <c r="AW92" s="3" t="s">
        <v>81</v>
      </c>
      <c r="AX92" s="3" t="s">
        <v>81</v>
      </c>
      <c r="AY92" s="3" t="s">
        <v>81</v>
      </c>
      <c r="AZ92" s="3" t="s">
        <v>81</v>
      </c>
      <c r="BA92" s="3" t="s">
        <v>81</v>
      </c>
      <c r="BB92" s="3" t="s">
        <v>81</v>
      </c>
      <c r="BC92" s="3" t="s">
        <v>81</v>
      </c>
      <c r="BD92" s="3" t="s">
        <v>81</v>
      </c>
      <c r="BE92" s="3" t="s">
        <v>81</v>
      </c>
      <c r="BF92" s="3" t="s">
        <v>81</v>
      </c>
      <c r="BG92" s="3" t="s">
        <v>81</v>
      </c>
      <c r="BH92" s="3" t="s">
        <v>81</v>
      </c>
      <c r="BI92" s="3" t="s">
        <v>84</v>
      </c>
      <c r="BJ92" s="3" t="s">
        <v>84</v>
      </c>
      <c r="BK92" s="3" t="s">
        <v>84</v>
      </c>
      <c r="BL92" s="3" t="s">
        <v>84</v>
      </c>
      <c r="BM92" s="3" t="s">
        <v>84</v>
      </c>
      <c r="BN92" s="3" t="s">
        <v>82</v>
      </c>
      <c r="BO92" s="3" t="s">
        <v>82</v>
      </c>
      <c r="BP92" s="3" t="s">
        <v>133</v>
      </c>
      <c r="BQ92" s="3" t="s">
        <v>133</v>
      </c>
      <c r="BR92" s="3" t="s">
        <v>133</v>
      </c>
      <c r="BS92" s="3" t="s">
        <v>133</v>
      </c>
      <c r="BT92" s="3" t="s">
        <v>87</v>
      </c>
      <c r="BU92" s="3" t="s">
        <v>129</v>
      </c>
      <c r="BV92" s="3" t="s">
        <v>82</v>
      </c>
      <c r="BW92" s="3" t="s">
        <v>91</v>
      </c>
      <c r="BX92" s="3" t="s">
        <v>82</v>
      </c>
      <c r="BZ92" s="3" t="s">
        <v>86</v>
      </c>
      <c r="CB92" s="3" t="s">
        <v>84</v>
      </c>
    </row>
    <row r="93" spans="1:87" x14ac:dyDescent="0.15">
      <c r="A93" s="3">
        <v>2643392942</v>
      </c>
      <c r="B93" s="3" t="s">
        <v>332</v>
      </c>
      <c r="C93" s="3" t="s">
        <v>333</v>
      </c>
      <c r="D93" s="3" t="s">
        <v>81</v>
      </c>
      <c r="E93" s="3">
        <v>59</v>
      </c>
      <c r="F93" s="3">
        <v>51.27</v>
      </c>
      <c r="G93" s="3">
        <v>0</v>
      </c>
      <c r="H93" s="3" t="s">
        <v>81</v>
      </c>
      <c r="I93" s="3" t="s">
        <v>81</v>
      </c>
      <c r="J93" s="3" t="s">
        <v>81</v>
      </c>
      <c r="K93" s="3" t="s">
        <v>81</v>
      </c>
      <c r="L93" s="3" t="s">
        <v>81</v>
      </c>
      <c r="M93" s="3" t="s">
        <v>81</v>
      </c>
      <c r="N93" s="3" t="s">
        <v>81</v>
      </c>
      <c r="O93" s="3" t="s">
        <v>81</v>
      </c>
      <c r="P93" s="3" t="s">
        <v>81</v>
      </c>
      <c r="Q93" s="3">
        <v>53.011000000000003</v>
      </c>
      <c r="R93" s="3">
        <v>0</v>
      </c>
      <c r="S93" s="3" t="s">
        <v>81</v>
      </c>
      <c r="T93" s="3" t="s">
        <v>81</v>
      </c>
      <c r="U93" s="3" t="s">
        <v>81</v>
      </c>
      <c r="V93" s="3" t="s">
        <v>81</v>
      </c>
      <c r="W93" s="3" t="s">
        <v>81</v>
      </c>
      <c r="X93" s="3" t="s">
        <v>81</v>
      </c>
      <c r="Y93" s="3" t="s">
        <v>81</v>
      </c>
      <c r="Z93" s="3" t="s">
        <v>81</v>
      </c>
      <c r="AA93" s="3" t="s">
        <v>81</v>
      </c>
      <c r="AB93" s="3">
        <v>58.597999999999999</v>
      </c>
      <c r="AC93" s="3">
        <v>0</v>
      </c>
      <c r="AD93" s="3" t="s">
        <v>81</v>
      </c>
      <c r="AE93" s="3" t="s">
        <v>81</v>
      </c>
      <c r="AF93" s="3" t="s">
        <v>81</v>
      </c>
      <c r="AG93" s="3" t="s">
        <v>81</v>
      </c>
      <c r="AH93" s="3" t="s">
        <v>81</v>
      </c>
      <c r="AI93" s="3" t="s">
        <v>81</v>
      </c>
      <c r="AJ93" s="3" t="s">
        <v>81</v>
      </c>
      <c r="AK93" s="3" t="s">
        <v>81</v>
      </c>
      <c r="AL93" s="3" t="s">
        <v>81</v>
      </c>
      <c r="AM93" s="3">
        <v>44.433</v>
      </c>
      <c r="AN93" s="3">
        <v>0</v>
      </c>
      <c r="AO93" s="3" t="s">
        <v>81</v>
      </c>
      <c r="AP93" s="3" t="s">
        <v>81</v>
      </c>
      <c r="AQ93" s="3" t="s">
        <v>81</v>
      </c>
      <c r="AR93" s="3" t="s">
        <v>81</v>
      </c>
      <c r="AS93" s="3" t="s">
        <v>81</v>
      </c>
      <c r="AT93" s="3" t="s">
        <v>81</v>
      </c>
      <c r="AU93" s="3" t="s">
        <v>81</v>
      </c>
      <c r="AV93" s="3" t="s">
        <v>81</v>
      </c>
      <c r="AW93" s="3" t="s">
        <v>81</v>
      </c>
      <c r="AX93" s="3">
        <v>50.73</v>
      </c>
      <c r="AY93" s="3">
        <v>0</v>
      </c>
      <c r="AZ93" s="3" t="s">
        <v>81</v>
      </c>
      <c r="BA93" s="3" t="s">
        <v>81</v>
      </c>
      <c r="BB93" s="3" t="s">
        <v>81</v>
      </c>
      <c r="BC93" s="3" t="s">
        <v>81</v>
      </c>
      <c r="BD93" s="3" t="s">
        <v>81</v>
      </c>
      <c r="BE93" s="3" t="s">
        <v>81</v>
      </c>
      <c r="BF93" s="3" t="s">
        <v>81</v>
      </c>
      <c r="BG93" s="3" t="s">
        <v>81</v>
      </c>
      <c r="BH93" s="3" t="s">
        <v>81</v>
      </c>
      <c r="BI93" s="3" t="s">
        <v>84</v>
      </c>
      <c r="BJ93" s="3" t="s">
        <v>82</v>
      </c>
      <c r="BK93" s="3" t="s">
        <v>83</v>
      </c>
      <c r="BL93" s="3" t="s">
        <v>84</v>
      </c>
      <c r="BM93" s="3" t="s">
        <v>84</v>
      </c>
      <c r="BN93" s="3" t="s">
        <v>84</v>
      </c>
      <c r="BO93" s="3" t="s">
        <v>82</v>
      </c>
      <c r="BP93" s="3" t="s">
        <v>334</v>
      </c>
      <c r="BQ93" s="3" t="s">
        <v>334</v>
      </c>
      <c r="BR93" s="3" t="s">
        <v>335</v>
      </c>
      <c r="BS93" s="3" t="s">
        <v>335</v>
      </c>
      <c r="BT93" s="3" t="s">
        <v>98</v>
      </c>
      <c r="BU93" s="3" t="s">
        <v>85</v>
      </c>
      <c r="BV93" s="3" t="s">
        <v>82</v>
      </c>
      <c r="BW93" s="3" t="s">
        <v>91</v>
      </c>
      <c r="BX93" s="3" t="s">
        <v>82</v>
      </c>
      <c r="BY93" s="3" t="s">
        <v>336</v>
      </c>
      <c r="BZ93" s="3" t="s">
        <v>86</v>
      </c>
      <c r="CA93" s="3"/>
      <c r="CB93" s="3" t="s">
        <v>84</v>
      </c>
      <c r="CC93" s="3"/>
      <c r="CD93" s="3"/>
      <c r="CE93" s="3"/>
      <c r="CF93" s="3"/>
      <c r="CG93" s="3"/>
      <c r="CH93" s="3"/>
      <c r="CI93" s="3"/>
    </row>
    <row r="94" spans="1:87" x14ac:dyDescent="0.15">
      <c r="A94" s="3">
        <v>2625851312</v>
      </c>
      <c r="B94" s="3" t="s">
        <v>333</v>
      </c>
      <c r="C94" s="3" t="s">
        <v>333</v>
      </c>
      <c r="D94" s="3">
        <v>8</v>
      </c>
      <c r="E94" s="3">
        <v>11</v>
      </c>
      <c r="F94" s="3">
        <v>67.456000000000003</v>
      </c>
      <c r="G94" s="3">
        <v>0</v>
      </c>
      <c r="H94" s="3" t="s">
        <v>81</v>
      </c>
      <c r="I94" s="3" t="s">
        <v>81</v>
      </c>
      <c r="J94" s="3" t="s">
        <v>81</v>
      </c>
      <c r="K94" s="3" t="s">
        <v>81</v>
      </c>
      <c r="L94" s="3" t="s">
        <v>81</v>
      </c>
      <c r="M94" s="3" t="s">
        <v>81</v>
      </c>
      <c r="N94" s="3" t="s">
        <v>81</v>
      </c>
      <c r="O94" s="3" t="s">
        <v>81</v>
      </c>
      <c r="P94" s="3" t="s">
        <v>81</v>
      </c>
      <c r="Q94" s="3">
        <v>73.98</v>
      </c>
      <c r="R94" s="3">
        <v>0</v>
      </c>
      <c r="S94" s="3" t="s">
        <v>81</v>
      </c>
      <c r="T94" s="3" t="s">
        <v>81</v>
      </c>
      <c r="U94" s="3" t="s">
        <v>81</v>
      </c>
      <c r="V94" s="3" t="s">
        <v>81</v>
      </c>
      <c r="W94" s="3" t="s">
        <v>81</v>
      </c>
      <c r="X94" s="3" t="s">
        <v>81</v>
      </c>
      <c r="Y94" s="3" t="s">
        <v>81</v>
      </c>
      <c r="Z94" s="3" t="s">
        <v>81</v>
      </c>
      <c r="AA94" s="3" t="s">
        <v>81</v>
      </c>
      <c r="AB94" s="3">
        <v>74.944999999999993</v>
      </c>
      <c r="AC94" s="3">
        <v>0</v>
      </c>
      <c r="AD94" s="3" t="s">
        <v>81</v>
      </c>
      <c r="AE94" s="3" t="s">
        <v>81</v>
      </c>
      <c r="AF94" s="3" t="s">
        <v>81</v>
      </c>
      <c r="AG94" s="3" t="s">
        <v>81</v>
      </c>
      <c r="AH94" s="3" t="s">
        <v>81</v>
      </c>
      <c r="AI94" s="3" t="s">
        <v>81</v>
      </c>
      <c r="AJ94" s="3" t="s">
        <v>81</v>
      </c>
      <c r="AK94" s="3" t="s">
        <v>81</v>
      </c>
      <c r="AL94" s="3" t="s">
        <v>81</v>
      </c>
      <c r="AM94" s="3">
        <v>59.777000000000001</v>
      </c>
      <c r="AN94" s="3">
        <v>0</v>
      </c>
      <c r="AO94" s="3" t="s">
        <v>81</v>
      </c>
      <c r="AP94" s="3" t="s">
        <v>81</v>
      </c>
      <c r="AQ94" s="3" t="s">
        <v>81</v>
      </c>
      <c r="AR94" s="3" t="s">
        <v>81</v>
      </c>
      <c r="AS94" s="3" t="s">
        <v>81</v>
      </c>
      <c r="AT94" s="3" t="s">
        <v>81</v>
      </c>
      <c r="AU94" s="3" t="s">
        <v>81</v>
      </c>
      <c r="AV94" s="3" t="s">
        <v>81</v>
      </c>
      <c r="AW94" s="3" t="s">
        <v>81</v>
      </c>
      <c r="AX94" s="3">
        <v>68.435000000000002</v>
      </c>
      <c r="AY94" s="3">
        <v>0</v>
      </c>
      <c r="AZ94" s="3" t="s">
        <v>81</v>
      </c>
      <c r="BA94" s="3" t="s">
        <v>81</v>
      </c>
      <c r="BB94" s="3" t="s">
        <v>81</v>
      </c>
      <c r="BC94" s="3" t="s">
        <v>81</v>
      </c>
      <c r="BD94" s="3" t="s">
        <v>81</v>
      </c>
      <c r="BE94" s="3" t="s">
        <v>81</v>
      </c>
      <c r="BF94" s="3" t="s">
        <v>81</v>
      </c>
      <c r="BG94" s="3" t="s">
        <v>81</v>
      </c>
      <c r="BH94" s="3" t="s">
        <v>81</v>
      </c>
      <c r="BI94" s="3" t="s">
        <v>84</v>
      </c>
      <c r="BJ94" s="3" t="s">
        <v>82</v>
      </c>
      <c r="BK94" s="3" t="s">
        <v>83</v>
      </c>
      <c r="BL94" s="3" t="s">
        <v>84</v>
      </c>
      <c r="BM94" s="3" t="s">
        <v>84</v>
      </c>
      <c r="BN94" s="3" t="s">
        <v>84</v>
      </c>
      <c r="BO94" s="3" t="s">
        <v>82</v>
      </c>
      <c r="BP94" s="3" t="s">
        <v>81</v>
      </c>
      <c r="BQ94" s="3" t="s">
        <v>81</v>
      </c>
      <c r="BR94" s="3" t="s">
        <v>81</v>
      </c>
      <c r="BS94" s="3" t="s">
        <v>81</v>
      </c>
      <c r="BT94" s="3" t="s">
        <v>81</v>
      </c>
      <c r="BU94" s="3" t="s">
        <v>81</v>
      </c>
      <c r="BV94" s="3" t="s">
        <v>82</v>
      </c>
      <c r="BW94" s="3" t="s">
        <v>91</v>
      </c>
      <c r="BX94" s="3" t="s">
        <v>82</v>
      </c>
      <c r="BY94" s="3" t="s">
        <v>173</v>
      </c>
      <c r="BZ94" s="3" t="s">
        <v>86</v>
      </c>
      <c r="CB94" s="3" t="s">
        <v>84</v>
      </c>
    </row>
    <row r="95" spans="1:87" x14ac:dyDescent="0.15">
      <c r="A95" s="3">
        <v>2643355790</v>
      </c>
      <c r="B95" s="3" t="s">
        <v>333</v>
      </c>
      <c r="C95" s="3" t="s">
        <v>333</v>
      </c>
      <c r="D95" s="3">
        <v>9</v>
      </c>
      <c r="E95" s="3">
        <v>15</v>
      </c>
      <c r="F95" s="3">
        <v>66.331999999999994</v>
      </c>
      <c r="G95" s="3">
        <v>0</v>
      </c>
      <c r="H95" s="3" t="s">
        <v>81</v>
      </c>
      <c r="I95" s="3" t="s">
        <v>81</v>
      </c>
      <c r="J95" s="3" t="s">
        <v>81</v>
      </c>
      <c r="K95" s="3" t="s">
        <v>81</v>
      </c>
      <c r="L95" s="3" t="s">
        <v>81</v>
      </c>
      <c r="M95" s="3" t="s">
        <v>81</v>
      </c>
      <c r="N95" s="3" t="s">
        <v>81</v>
      </c>
      <c r="O95" s="3" t="s">
        <v>81</v>
      </c>
      <c r="P95" s="3" t="s">
        <v>81</v>
      </c>
      <c r="Q95" s="3">
        <v>55.701000000000001</v>
      </c>
      <c r="R95" s="3">
        <v>0</v>
      </c>
      <c r="S95" s="3" t="s">
        <v>81</v>
      </c>
      <c r="T95" s="3" t="s">
        <v>81</v>
      </c>
      <c r="U95" s="3" t="s">
        <v>81</v>
      </c>
      <c r="V95" s="3" t="s">
        <v>81</v>
      </c>
      <c r="W95" s="3" t="s">
        <v>81</v>
      </c>
      <c r="X95" s="3" t="s">
        <v>81</v>
      </c>
      <c r="Y95" s="3" t="s">
        <v>81</v>
      </c>
      <c r="Z95" s="3" t="s">
        <v>81</v>
      </c>
      <c r="AA95" s="3" t="s">
        <v>81</v>
      </c>
      <c r="AB95" s="3">
        <v>61.677</v>
      </c>
      <c r="AC95" s="3">
        <v>0</v>
      </c>
      <c r="AD95" s="3" t="s">
        <v>81</v>
      </c>
      <c r="AE95" s="3" t="s">
        <v>81</v>
      </c>
      <c r="AF95" s="3" t="s">
        <v>81</v>
      </c>
      <c r="AG95" s="3" t="s">
        <v>81</v>
      </c>
      <c r="AH95" s="3" t="s">
        <v>81</v>
      </c>
      <c r="AI95" s="3" t="s">
        <v>81</v>
      </c>
      <c r="AJ95" s="3" t="s">
        <v>81</v>
      </c>
      <c r="AK95" s="3" t="s">
        <v>81</v>
      </c>
      <c r="AL95" s="3" t="s">
        <v>81</v>
      </c>
      <c r="AM95" s="3">
        <v>63.162999999999997</v>
      </c>
      <c r="AN95" s="3">
        <v>0</v>
      </c>
      <c r="AO95" s="3" t="s">
        <v>81</v>
      </c>
      <c r="AP95" s="3" t="s">
        <v>81</v>
      </c>
      <c r="AQ95" s="3" t="s">
        <v>81</v>
      </c>
      <c r="AR95" s="3" t="s">
        <v>81</v>
      </c>
      <c r="AS95" s="3" t="s">
        <v>81</v>
      </c>
      <c r="AT95" s="3" t="s">
        <v>81</v>
      </c>
      <c r="AU95" s="3" t="s">
        <v>81</v>
      </c>
      <c r="AV95" s="3" t="s">
        <v>81</v>
      </c>
      <c r="AW95" s="3" t="s">
        <v>81</v>
      </c>
      <c r="AX95" s="3">
        <v>62.65</v>
      </c>
      <c r="AY95" s="3">
        <v>0</v>
      </c>
      <c r="AZ95" s="3" t="s">
        <v>81</v>
      </c>
      <c r="BA95" s="3" t="s">
        <v>81</v>
      </c>
      <c r="BB95" s="3" t="s">
        <v>81</v>
      </c>
      <c r="BC95" s="3" t="s">
        <v>81</v>
      </c>
      <c r="BD95" s="3" t="s">
        <v>81</v>
      </c>
      <c r="BE95" s="3" t="s">
        <v>81</v>
      </c>
      <c r="BF95" s="3" t="s">
        <v>81</v>
      </c>
      <c r="BG95" s="3" t="s">
        <v>81</v>
      </c>
      <c r="BH95" s="3" t="s">
        <v>81</v>
      </c>
      <c r="BI95" s="3" t="s">
        <v>84</v>
      </c>
      <c r="BJ95" s="3" t="s">
        <v>82</v>
      </c>
      <c r="BK95" s="3" t="s">
        <v>83</v>
      </c>
      <c r="BL95" s="3" t="s">
        <v>84</v>
      </c>
      <c r="BM95" s="3" t="s">
        <v>84</v>
      </c>
      <c r="BN95" s="3" t="s">
        <v>84</v>
      </c>
      <c r="BO95" s="3" t="s">
        <v>82</v>
      </c>
      <c r="BP95" s="3" t="s">
        <v>81</v>
      </c>
      <c r="BQ95" s="3" t="s">
        <v>81</v>
      </c>
      <c r="BR95" s="3" t="s">
        <v>81</v>
      </c>
      <c r="BS95" s="3" t="s">
        <v>81</v>
      </c>
      <c r="BT95" s="3" t="s">
        <v>81</v>
      </c>
      <c r="BU95" s="3" t="s">
        <v>81</v>
      </c>
      <c r="BV95" s="3" t="s">
        <v>82</v>
      </c>
      <c r="BW95" s="3" t="s">
        <v>91</v>
      </c>
      <c r="BX95" s="3" t="s">
        <v>82</v>
      </c>
      <c r="BY95" s="3" t="s">
        <v>173</v>
      </c>
      <c r="BZ95" s="3" t="s">
        <v>86</v>
      </c>
      <c r="CB95" s="3" t="s">
        <v>84</v>
      </c>
    </row>
    <row r="96" spans="1:87" x14ac:dyDescent="0.15">
      <c r="A96" s="3">
        <v>2625833384</v>
      </c>
      <c r="B96" s="3" t="s">
        <v>500</v>
      </c>
      <c r="C96" s="3" t="s">
        <v>501</v>
      </c>
      <c r="D96" s="3">
        <v>4</v>
      </c>
      <c r="E96" s="3">
        <v>4</v>
      </c>
      <c r="F96" s="3">
        <v>35.968000000000004</v>
      </c>
      <c r="G96" s="3">
        <v>0</v>
      </c>
      <c r="H96" s="3" t="s">
        <v>81</v>
      </c>
      <c r="I96" s="3" t="s">
        <v>81</v>
      </c>
      <c r="J96" s="3" t="s">
        <v>81</v>
      </c>
      <c r="K96" s="3" t="s">
        <v>81</v>
      </c>
      <c r="L96" s="3" t="s">
        <v>81</v>
      </c>
      <c r="M96" s="3" t="s">
        <v>81</v>
      </c>
      <c r="N96" s="3" t="s">
        <v>81</v>
      </c>
      <c r="O96" s="3" t="s">
        <v>81</v>
      </c>
      <c r="P96" s="3" t="s">
        <v>81</v>
      </c>
      <c r="Q96" s="3">
        <v>35.887999999999998</v>
      </c>
      <c r="R96" s="3">
        <v>0</v>
      </c>
      <c r="S96" s="3" t="s">
        <v>81</v>
      </c>
      <c r="T96" s="3" t="s">
        <v>81</v>
      </c>
      <c r="U96" s="3" t="s">
        <v>81</v>
      </c>
      <c r="V96" s="3" t="s">
        <v>81</v>
      </c>
      <c r="W96" s="3" t="s">
        <v>81</v>
      </c>
      <c r="X96" s="3" t="s">
        <v>81</v>
      </c>
      <c r="Y96" s="3" t="s">
        <v>81</v>
      </c>
      <c r="Z96" s="3" t="s">
        <v>81</v>
      </c>
      <c r="AA96" s="3" t="s">
        <v>81</v>
      </c>
      <c r="AB96" s="3">
        <v>35.781999999999996</v>
      </c>
      <c r="AC96" s="3">
        <v>0</v>
      </c>
      <c r="AD96" s="3" t="s">
        <v>81</v>
      </c>
      <c r="AE96" s="3" t="s">
        <v>81</v>
      </c>
      <c r="AF96" s="3" t="s">
        <v>81</v>
      </c>
      <c r="AG96" s="3" t="s">
        <v>81</v>
      </c>
      <c r="AH96" s="3" t="s">
        <v>81</v>
      </c>
      <c r="AI96" s="3" t="s">
        <v>81</v>
      </c>
      <c r="AJ96" s="3" t="s">
        <v>81</v>
      </c>
      <c r="AK96" s="3" t="s">
        <v>81</v>
      </c>
      <c r="AL96" s="3" t="s">
        <v>81</v>
      </c>
      <c r="AM96" s="3">
        <v>34.494</v>
      </c>
      <c r="AN96" s="3">
        <v>0</v>
      </c>
      <c r="AO96" s="3" t="s">
        <v>81</v>
      </c>
      <c r="AP96" s="3" t="s">
        <v>81</v>
      </c>
      <c r="AQ96" s="3" t="s">
        <v>81</v>
      </c>
      <c r="AR96" s="3" t="s">
        <v>81</v>
      </c>
      <c r="AS96" s="3" t="s">
        <v>81</v>
      </c>
      <c r="AT96" s="3" t="s">
        <v>81</v>
      </c>
      <c r="AU96" s="3" t="s">
        <v>81</v>
      </c>
      <c r="AV96" s="3" t="s">
        <v>81</v>
      </c>
      <c r="AW96" s="3" t="s">
        <v>81</v>
      </c>
      <c r="AX96" s="3" t="s">
        <v>81</v>
      </c>
      <c r="AY96" s="3" t="s">
        <v>81</v>
      </c>
      <c r="AZ96" s="3" t="s">
        <v>81</v>
      </c>
      <c r="BA96" s="3" t="s">
        <v>81</v>
      </c>
      <c r="BB96" s="3" t="s">
        <v>81</v>
      </c>
      <c r="BC96" s="3" t="s">
        <v>81</v>
      </c>
      <c r="BD96" s="3" t="s">
        <v>81</v>
      </c>
      <c r="BE96" s="3" t="s">
        <v>81</v>
      </c>
      <c r="BF96" s="3" t="s">
        <v>81</v>
      </c>
      <c r="BG96" s="3" t="s">
        <v>81</v>
      </c>
      <c r="BH96" s="3" t="s">
        <v>81</v>
      </c>
      <c r="BI96" s="3" t="s">
        <v>82</v>
      </c>
      <c r="BJ96" s="3" t="s">
        <v>84</v>
      </c>
      <c r="BK96" s="3" t="s">
        <v>84</v>
      </c>
      <c r="BL96" s="3" t="s">
        <v>84</v>
      </c>
      <c r="BM96" s="3" t="s">
        <v>84</v>
      </c>
      <c r="BN96" s="3" t="s">
        <v>82</v>
      </c>
      <c r="BO96" s="3" t="s">
        <v>82</v>
      </c>
      <c r="BP96" s="3" t="s">
        <v>137</v>
      </c>
      <c r="BQ96" s="3" t="s">
        <v>137</v>
      </c>
      <c r="BR96" s="3" t="s">
        <v>137</v>
      </c>
      <c r="BS96" s="3" t="s">
        <v>137</v>
      </c>
      <c r="BT96" s="3" t="s">
        <v>106</v>
      </c>
      <c r="BU96" s="3" t="s">
        <v>81</v>
      </c>
      <c r="BV96" s="3" t="s">
        <v>84</v>
      </c>
      <c r="BW96" s="3" t="s">
        <v>83</v>
      </c>
      <c r="BX96" s="3" t="s">
        <v>82</v>
      </c>
      <c r="BZ96" s="3" t="s">
        <v>86</v>
      </c>
      <c r="CB96" s="3" t="s">
        <v>84</v>
      </c>
    </row>
    <row r="97" spans="1:87" x14ac:dyDescent="0.15">
      <c r="A97" s="3">
        <v>1228304147</v>
      </c>
      <c r="B97" s="3" t="s">
        <v>501</v>
      </c>
      <c r="C97" s="3" t="s">
        <v>501</v>
      </c>
      <c r="D97" s="3">
        <v>28</v>
      </c>
      <c r="E97" s="3">
        <v>47</v>
      </c>
      <c r="F97" s="3">
        <v>47.362000000000002</v>
      </c>
      <c r="G97" s="3">
        <v>0</v>
      </c>
      <c r="H97" s="3" t="s">
        <v>81</v>
      </c>
      <c r="I97" s="3" t="s">
        <v>81</v>
      </c>
      <c r="J97" s="3" t="s">
        <v>81</v>
      </c>
      <c r="K97" s="3" t="s">
        <v>81</v>
      </c>
      <c r="L97" s="3" t="s">
        <v>81</v>
      </c>
      <c r="M97" s="3" t="s">
        <v>81</v>
      </c>
      <c r="N97" s="3" t="s">
        <v>81</v>
      </c>
      <c r="O97" s="3" t="s">
        <v>81</v>
      </c>
      <c r="P97" s="3" t="s">
        <v>81</v>
      </c>
      <c r="Q97" s="3">
        <v>47.878999999999998</v>
      </c>
      <c r="R97" s="3">
        <v>0</v>
      </c>
      <c r="S97" s="3" t="s">
        <v>81</v>
      </c>
      <c r="T97" s="3" t="s">
        <v>81</v>
      </c>
      <c r="U97" s="3" t="s">
        <v>81</v>
      </c>
      <c r="V97" s="3" t="s">
        <v>81</v>
      </c>
      <c r="W97" s="3" t="s">
        <v>81</v>
      </c>
      <c r="X97" s="3" t="s">
        <v>81</v>
      </c>
      <c r="Y97" s="3" t="s">
        <v>81</v>
      </c>
      <c r="Z97" s="3" t="s">
        <v>81</v>
      </c>
      <c r="AA97" s="3" t="s">
        <v>81</v>
      </c>
      <c r="AB97" s="3">
        <v>48.372999999999998</v>
      </c>
      <c r="AC97" s="3">
        <v>0</v>
      </c>
      <c r="AD97" s="3" t="s">
        <v>81</v>
      </c>
      <c r="AE97" s="3" t="s">
        <v>81</v>
      </c>
      <c r="AF97" s="3" t="s">
        <v>81</v>
      </c>
      <c r="AG97" s="3" t="s">
        <v>81</v>
      </c>
      <c r="AH97" s="3" t="s">
        <v>81</v>
      </c>
      <c r="AI97" s="3" t="s">
        <v>81</v>
      </c>
      <c r="AJ97" s="3" t="s">
        <v>81</v>
      </c>
      <c r="AK97" s="3" t="s">
        <v>81</v>
      </c>
      <c r="AL97" s="3" t="s">
        <v>81</v>
      </c>
      <c r="AM97" s="3">
        <v>40.692</v>
      </c>
      <c r="AN97" s="3">
        <v>0</v>
      </c>
      <c r="AO97" s="3" t="s">
        <v>81</v>
      </c>
      <c r="AP97" s="3" t="s">
        <v>81</v>
      </c>
      <c r="AQ97" s="3" t="s">
        <v>81</v>
      </c>
      <c r="AR97" s="3" t="s">
        <v>81</v>
      </c>
      <c r="AS97" s="3" t="s">
        <v>81</v>
      </c>
      <c r="AT97" s="3" t="s">
        <v>81</v>
      </c>
      <c r="AU97" s="3" t="s">
        <v>81</v>
      </c>
      <c r="AV97" s="3" t="s">
        <v>81</v>
      </c>
      <c r="AW97" s="3" t="s">
        <v>81</v>
      </c>
      <c r="AX97" s="3">
        <v>34.918999999999997</v>
      </c>
      <c r="AY97" s="3">
        <v>0</v>
      </c>
      <c r="AZ97" s="3" t="s">
        <v>81</v>
      </c>
      <c r="BA97" s="3" t="s">
        <v>81</v>
      </c>
      <c r="BB97" s="3" t="s">
        <v>81</v>
      </c>
      <c r="BC97" s="3" t="s">
        <v>81</v>
      </c>
      <c r="BD97" s="3" t="s">
        <v>81</v>
      </c>
      <c r="BE97" s="3" t="s">
        <v>81</v>
      </c>
      <c r="BF97" s="3" t="s">
        <v>81</v>
      </c>
      <c r="BG97" s="3" t="s">
        <v>81</v>
      </c>
      <c r="BH97" s="3" t="s">
        <v>81</v>
      </c>
      <c r="BI97" s="3" t="s">
        <v>82</v>
      </c>
      <c r="BJ97" s="3" t="s">
        <v>82</v>
      </c>
      <c r="BK97" s="3" t="s">
        <v>83</v>
      </c>
      <c r="BL97" s="3" t="s">
        <v>84</v>
      </c>
      <c r="BM97" s="3" t="s">
        <v>84</v>
      </c>
      <c r="BN97" s="3" t="s">
        <v>84</v>
      </c>
      <c r="BO97" s="3" t="s">
        <v>84</v>
      </c>
      <c r="BP97" s="3" t="s">
        <v>87</v>
      </c>
      <c r="BQ97" s="3" t="s">
        <v>87</v>
      </c>
      <c r="BR97" s="3" t="s">
        <v>87</v>
      </c>
      <c r="BS97" s="3" t="s">
        <v>87</v>
      </c>
      <c r="BT97" s="3" t="s">
        <v>87</v>
      </c>
      <c r="BU97" s="3" t="s">
        <v>81</v>
      </c>
      <c r="BV97" s="3" t="s">
        <v>82</v>
      </c>
      <c r="BW97" s="3" t="s">
        <v>111</v>
      </c>
      <c r="BX97" s="3" t="s">
        <v>82</v>
      </c>
      <c r="BY97" s="3" t="s">
        <v>502</v>
      </c>
      <c r="BZ97" s="3" t="s">
        <v>93</v>
      </c>
      <c r="CB97" s="3" t="s">
        <v>84</v>
      </c>
    </row>
    <row r="98" spans="1:87" x14ac:dyDescent="0.15">
      <c r="A98" s="3">
        <v>1228174454</v>
      </c>
      <c r="B98" s="3" t="s">
        <v>501</v>
      </c>
      <c r="C98" s="3" t="s">
        <v>501</v>
      </c>
      <c r="D98" s="3">
        <v>12</v>
      </c>
      <c r="E98" s="3">
        <v>15</v>
      </c>
      <c r="F98" s="3">
        <v>12.78</v>
      </c>
      <c r="G98" s="3">
        <v>0</v>
      </c>
      <c r="H98" s="3" t="s">
        <v>81</v>
      </c>
      <c r="I98" s="3" t="s">
        <v>81</v>
      </c>
      <c r="J98" s="3" t="s">
        <v>81</v>
      </c>
      <c r="K98" s="3" t="s">
        <v>81</v>
      </c>
      <c r="L98" s="3" t="s">
        <v>81</v>
      </c>
      <c r="M98" s="3" t="s">
        <v>81</v>
      </c>
      <c r="N98" s="3" t="s">
        <v>81</v>
      </c>
      <c r="O98" s="3" t="s">
        <v>81</v>
      </c>
      <c r="P98" s="3" t="s">
        <v>81</v>
      </c>
      <c r="Q98" s="3">
        <v>12.875</v>
      </c>
      <c r="R98" s="3">
        <v>0</v>
      </c>
      <c r="S98" s="3" t="s">
        <v>81</v>
      </c>
      <c r="T98" s="3" t="s">
        <v>81</v>
      </c>
      <c r="U98" s="3" t="s">
        <v>81</v>
      </c>
      <c r="V98" s="3" t="s">
        <v>81</v>
      </c>
      <c r="W98" s="3" t="s">
        <v>81</v>
      </c>
      <c r="X98" s="3" t="s">
        <v>81</v>
      </c>
      <c r="Y98" s="3" t="s">
        <v>81</v>
      </c>
      <c r="Z98" s="3" t="s">
        <v>81</v>
      </c>
      <c r="AA98" s="3" t="s">
        <v>81</v>
      </c>
      <c r="AB98" s="3">
        <v>15.823</v>
      </c>
      <c r="AC98" s="3">
        <v>0</v>
      </c>
      <c r="AD98" s="3" t="s">
        <v>81</v>
      </c>
      <c r="AE98" s="3" t="s">
        <v>81</v>
      </c>
      <c r="AF98" s="3" t="s">
        <v>81</v>
      </c>
      <c r="AG98" s="3" t="s">
        <v>81</v>
      </c>
      <c r="AH98" s="3" t="s">
        <v>81</v>
      </c>
      <c r="AI98" s="3" t="s">
        <v>81</v>
      </c>
      <c r="AJ98" s="3" t="s">
        <v>81</v>
      </c>
      <c r="AK98" s="3" t="s">
        <v>81</v>
      </c>
      <c r="AL98" s="3" t="s">
        <v>81</v>
      </c>
      <c r="AM98" s="3">
        <v>13.012</v>
      </c>
      <c r="AN98" s="3">
        <v>0</v>
      </c>
      <c r="AO98" s="3" t="s">
        <v>81</v>
      </c>
      <c r="AP98" s="3" t="s">
        <v>81</v>
      </c>
      <c r="AQ98" s="3" t="s">
        <v>81</v>
      </c>
      <c r="AR98" s="3" t="s">
        <v>81</v>
      </c>
      <c r="AS98" s="3" t="s">
        <v>81</v>
      </c>
      <c r="AT98" s="3" t="s">
        <v>81</v>
      </c>
      <c r="AU98" s="3" t="s">
        <v>81</v>
      </c>
      <c r="AV98" s="3" t="s">
        <v>81</v>
      </c>
      <c r="AW98" s="3" t="s">
        <v>81</v>
      </c>
      <c r="AX98" s="3">
        <v>13.135999999999999</v>
      </c>
      <c r="AY98" s="3">
        <v>0</v>
      </c>
      <c r="AZ98" s="3" t="s">
        <v>81</v>
      </c>
      <c r="BA98" s="3" t="s">
        <v>81</v>
      </c>
      <c r="BB98" s="3" t="s">
        <v>81</v>
      </c>
      <c r="BC98" s="3" t="s">
        <v>81</v>
      </c>
      <c r="BD98" s="3" t="s">
        <v>81</v>
      </c>
      <c r="BE98" s="3" t="s">
        <v>81</v>
      </c>
      <c r="BF98" s="3" t="s">
        <v>81</v>
      </c>
      <c r="BG98" s="3" t="s">
        <v>81</v>
      </c>
      <c r="BH98" s="3" t="s">
        <v>81</v>
      </c>
      <c r="BI98" s="3" t="s">
        <v>82</v>
      </c>
      <c r="BJ98" s="3" t="s">
        <v>82</v>
      </c>
      <c r="BK98" s="3" t="s">
        <v>83</v>
      </c>
      <c r="BL98" s="3" t="s">
        <v>84</v>
      </c>
      <c r="BM98" s="3" t="s">
        <v>84</v>
      </c>
      <c r="BN98" s="3" t="s">
        <v>82</v>
      </c>
      <c r="BO98" s="3" t="s">
        <v>84</v>
      </c>
      <c r="BP98" s="3" t="s">
        <v>106</v>
      </c>
      <c r="BQ98" s="3" t="s">
        <v>106</v>
      </c>
      <c r="BR98" s="3" t="s">
        <v>106</v>
      </c>
      <c r="BS98" s="3" t="s">
        <v>106</v>
      </c>
      <c r="BT98" s="3" t="s">
        <v>106</v>
      </c>
      <c r="BU98" s="3" t="s">
        <v>81</v>
      </c>
      <c r="BV98" s="3" t="s">
        <v>84</v>
      </c>
      <c r="BW98" s="3" t="s">
        <v>83</v>
      </c>
      <c r="BX98" s="3" t="s">
        <v>82</v>
      </c>
      <c r="BY98" s="3" t="s">
        <v>503</v>
      </c>
      <c r="BZ98" s="3" t="s">
        <v>93</v>
      </c>
      <c r="CB98" s="3" t="s">
        <v>84</v>
      </c>
    </row>
    <row r="99" spans="1:87" x14ac:dyDescent="0.15">
      <c r="A99" s="3">
        <v>2625916493</v>
      </c>
      <c r="B99" s="3" t="s">
        <v>500</v>
      </c>
      <c r="C99" s="3" t="s">
        <v>501</v>
      </c>
      <c r="D99" s="3">
        <v>5</v>
      </c>
      <c r="E99" s="3">
        <v>13</v>
      </c>
      <c r="F99" s="3">
        <v>14.742000000000001</v>
      </c>
      <c r="G99" s="3">
        <v>0</v>
      </c>
      <c r="H99" s="3" t="s">
        <v>81</v>
      </c>
      <c r="I99" s="3" t="s">
        <v>81</v>
      </c>
      <c r="J99" s="3" t="s">
        <v>81</v>
      </c>
      <c r="K99" s="3" t="s">
        <v>81</v>
      </c>
      <c r="L99" s="3" t="s">
        <v>81</v>
      </c>
      <c r="M99" s="3" t="s">
        <v>81</v>
      </c>
      <c r="N99" s="3" t="s">
        <v>81</v>
      </c>
      <c r="O99" s="3" t="s">
        <v>81</v>
      </c>
      <c r="P99" s="3" t="s">
        <v>81</v>
      </c>
      <c r="Q99" s="3">
        <v>18.655000000000001</v>
      </c>
      <c r="R99" s="3">
        <v>0</v>
      </c>
      <c r="S99" s="3" t="s">
        <v>81</v>
      </c>
      <c r="T99" s="3" t="s">
        <v>81</v>
      </c>
      <c r="U99" s="3" t="s">
        <v>81</v>
      </c>
      <c r="V99" s="3" t="s">
        <v>81</v>
      </c>
      <c r="W99" s="3" t="s">
        <v>81</v>
      </c>
      <c r="X99" s="3" t="s">
        <v>81</v>
      </c>
      <c r="Y99" s="3" t="s">
        <v>81</v>
      </c>
      <c r="Z99" s="3" t="s">
        <v>81</v>
      </c>
      <c r="AA99" s="3" t="s">
        <v>81</v>
      </c>
      <c r="AB99" s="3">
        <v>18.751999999999999</v>
      </c>
      <c r="AC99" s="3">
        <v>0</v>
      </c>
      <c r="AD99" s="3" t="s">
        <v>81</v>
      </c>
      <c r="AE99" s="3" t="s">
        <v>81</v>
      </c>
      <c r="AF99" s="3" t="s">
        <v>81</v>
      </c>
      <c r="AG99" s="3" t="s">
        <v>81</v>
      </c>
      <c r="AH99" s="3" t="s">
        <v>81</v>
      </c>
      <c r="AI99" s="3" t="s">
        <v>81</v>
      </c>
      <c r="AJ99" s="3" t="s">
        <v>81</v>
      </c>
      <c r="AK99" s="3" t="s">
        <v>81</v>
      </c>
      <c r="AL99" s="3" t="s">
        <v>81</v>
      </c>
      <c r="AM99" s="3">
        <v>19.114999999999998</v>
      </c>
      <c r="AN99" s="3">
        <v>0</v>
      </c>
      <c r="AO99" s="3" t="s">
        <v>81</v>
      </c>
      <c r="AP99" s="3" t="s">
        <v>81</v>
      </c>
      <c r="AQ99" s="3" t="s">
        <v>81</v>
      </c>
      <c r="AR99" s="3" t="s">
        <v>81</v>
      </c>
      <c r="AS99" s="3" t="s">
        <v>81</v>
      </c>
      <c r="AT99" s="3" t="s">
        <v>81</v>
      </c>
      <c r="AU99" s="3" t="s">
        <v>81</v>
      </c>
      <c r="AV99" s="3" t="s">
        <v>81</v>
      </c>
      <c r="AW99" s="3" t="s">
        <v>81</v>
      </c>
      <c r="AX99" s="3">
        <v>19.564</v>
      </c>
      <c r="AY99" s="3">
        <v>0</v>
      </c>
      <c r="AZ99" s="3" t="s">
        <v>81</v>
      </c>
      <c r="BA99" s="3" t="s">
        <v>81</v>
      </c>
      <c r="BB99" s="3" t="s">
        <v>81</v>
      </c>
      <c r="BC99" s="3" t="s">
        <v>81</v>
      </c>
      <c r="BD99" s="3" t="s">
        <v>81</v>
      </c>
      <c r="BE99" s="3" t="s">
        <v>81</v>
      </c>
      <c r="BF99" s="3" t="s">
        <v>81</v>
      </c>
      <c r="BG99" s="3" t="s">
        <v>81</v>
      </c>
      <c r="BH99" s="3" t="s">
        <v>81</v>
      </c>
      <c r="BI99" s="3" t="s">
        <v>84</v>
      </c>
      <c r="BJ99" s="3" t="s">
        <v>84</v>
      </c>
      <c r="BK99" s="3" t="s">
        <v>84</v>
      </c>
      <c r="BL99" s="3" t="s">
        <v>82</v>
      </c>
      <c r="BM99" s="3" t="s">
        <v>83</v>
      </c>
      <c r="BN99" s="3" t="s">
        <v>84</v>
      </c>
      <c r="BO99" s="3" t="s">
        <v>83</v>
      </c>
      <c r="BP99" s="3" t="s">
        <v>81</v>
      </c>
      <c r="BQ99" s="3" t="s">
        <v>81</v>
      </c>
      <c r="BR99" s="3" t="s">
        <v>81</v>
      </c>
      <c r="BS99" s="3" t="s">
        <v>81</v>
      </c>
      <c r="BT99" s="3" t="s">
        <v>81</v>
      </c>
      <c r="BU99" s="3" t="s">
        <v>81</v>
      </c>
      <c r="BV99" s="3" t="s">
        <v>83</v>
      </c>
      <c r="BW99" s="3" t="s">
        <v>83</v>
      </c>
      <c r="BX99" s="3" t="s">
        <v>83</v>
      </c>
      <c r="BY99" s="3" t="s">
        <v>504</v>
      </c>
      <c r="BZ99" s="3" t="s">
        <v>86</v>
      </c>
      <c r="CB99" s="3" t="s">
        <v>84</v>
      </c>
    </row>
    <row r="100" spans="1:87" x14ac:dyDescent="0.15">
      <c r="A100" s="3">
        <v>1228168719</v>
      </c>
      <c r="B100" s="3" t="s">
        <v>364</v>
      </c>
      <c r="C100" s="3" t="s">
        <v>364</v>
      </c>
      <c r="D100" s="3">
        <v>13</v>
      </c>
      <c r="E100" s="3">
        <v>24</v>
      </c>
      <c r="F100" s="3">
        <v>46.826999999999998</v>
      </c>
      <c r="G100" s="3">
        <v>0</v>
      </c>
      <c r="H100" s="3" t="s">
        <v>81</v>
      </c>
      <c r="I100" s="3" t="s">
        <v>81</v>
      </c>
      <c r="J100" s="3" t="s">
        <v>81</v>
      </c>
      <c r="K100" s="3" t="s">
        <v>81</v>
      </c>
      <c r="L100" s="3" t="s">
        <v>81</v>
      </c>
      <c r="M100" s="3" t="s">
        <v>81</v>
      </c>
      <c r="N100" s="3" t="s">
        <v>81</v>
      </c>
      <c r="O100" s="3" t="s">
        <v>81</v>
      </c>
      <c r="P100" s="3" t="s">
        <v>81</v>
      </c>
      <c r="Q100" s="3">
        <v>45.9</v>
      </c>
      <c r="R100" s="3">
        <v>0</v>
      </c>
      <c r="S100" s="3" t="s">
        <v>81</v>
      </c>
      <c r="T100" s="3" t="s">
        <v>81</v>
      </c>
      <c r="U100" s="3" t="s">
        <v>81</v>
      </c>
      <c r="V100" s="3" t="s">
        <v>81</v>
      </c>
      <c r="W100" s="3" t="s">
        <v>81</v>
      </c>
      <c r="X100" s="3" t="s">
        <v>81</v>
      </c>
      <c r="Y100" s="3" t="s">
        <v>81</v>
      </c>
      <c r="Z100" s="3" t="s">
        <v>81</v>
      </c>
      <c r="AA100" s="3" t="s">
        <v>81</v>
      </c>
      <c r="AB100" s="3">
        <v>49.808</v>
      </c>
      <c r="AC100" s="3">
        <v>0</v>
      </c>
      <c r="AD100" s="3" t="s">
        <v>81</v>
      </c>
      <c r="AE100" s="3" t="s">
        <v>81</v>
      </c>
      <c r="AF100" s="3" t="s">
        <v>81</v>
      </c>
      <c r="AG100" s="3" t="s">
        <v>81</v>
      </c>
      <c r="AH100" s="3" t="s">
        <v>81</v>
      </c>
      <c r="AI100" s="3" t="s">
        <v>81</v>
      </c>
      <c r="AJ100" s="3" t="s">
        <v>81</v>
      </c>
      <c r="AK100" s="3" t="s">
        <v>81</v>
      </c>
      <c r="AL100" s="3" t="s">
        <v>81</v>
      </c>
      <c r="AM100" s="3">
        <v>43.930999999999997</v>
      </c>
      <c r="AN100" s="3">
        <v>0</v>
      </c>
      <c r="AO100" s="3" t="s">
        <v>81</v>
      </c>
      <c r="AP100" s="3" t="s">
        <v>81</v>
      </c>
      <c r="AQ100" s="3" t="s">
        <v>81</v>
      </c>
      <c r="AR100" s="3" t="s">
        <v>81</v>
      </c>
      <c r="AS100" s="3" t="s">
        <v>81</v>
      </c>
      <c r="AT100" s="3" t="s">
        <v>81</v>
      </c>
      <c r="AU100" s="3" t="s">
        <v>81</v>
      </c>
      <c r="AV100" s="3" t="s">
        <v>81</v>
      </c>
      <c r="AW100" s="3" t="s">
        <v>81</v>
      </c>
      <c r="AX100" s="3">
        <v>50.436</v>
      </c>
      <c r="AY100" s="3">
        <v>0</v>
      </c>
      <c r="AZ100" s="3" t="s">
        <v>81</v>
      </c>
      <c r="BA100" s="3" t="s">
        <v>81</v>
      </c>
      <c r="BB100" s="3" t="s">
        <v>81</v>
      </c>
      <c r="BC100" s="3" t="s">
        <v>81</v>
      </c>
      <c r="BD100" s="3" t="s">
        <v>81</v>
      </c>
      <c r="BE100" s="3" t="s">
        <v>81</v>
      </c>
      <c r="BF100" s="3" t="s">
        <v>81</v>
      </c>
      <c r="BG100" s="3" t="s">
        <v>81</v>
      </c>
      <c r="BH100" s="3" t="s">
        <v>81</v>
      </c>
      <c r="BI100" s="3" t="s">
        <v>84</v>
      </c>
      <c r="BJ100" s="3" t="s">
        <v>82</v>
      </c>
      <c r="BK100" s="3" t="s">
        <v>83</v>
      </c>
      <c r="BL100" s="3" t="s">
        <v>84</v>
      </c>
      <c r="BM100" s="3" t="s">
        <v>84</v>
      </c>
      <c r="BN100" s="3" t="s">
        <v>82</v>
      </c>
      <c r="BO100" s="3" t="s">
        <v>84</v>
      </c>
      <c r="BP100" s="3" t="s">
        <v>106</v>
      </c>
      <c r="BQ100" s="3" t="s">
        <v>106</v>
      </c>
      <c r="BR100" s="3" t="s">
        <v>106</v>
      </c>
      <c r="BS100" s="3" t="s">
        <v>106</v>
      </c>
      <c r="BT100" s="3" t="s">
        <v>106</v>
      </c>
      <c r="BU100" s="3" t="s">
        <v>81</v>
      </c>
      <c r="BV100" s="3" t="s">
        <v>82</v>
      </c>
      <c r="BW100" s="3" t="s">
        <v>91</v>
      </c>
      <c r="BX100" s="3" t="s">
        <v>82</v>
      </c>
      <c r="BY100" s="3" t="s">
        <v>361</v>
      </c>
      <c r="BZ100" s="3" t="s">
        <v>93</v>
      </c>
      <c r="CA100" s="3" t="s">
        <v>103</v>
      </c>
      <c r="CB100" s="3" t="s">
        <v>84</v>
      </c>
      <c r="CC100" s="3"/>
      <c r="CD100" s="3"/>
      <c r="CE100" s="3"/>
      <c r="CF100" s="3"/>
      <c r="CG100" s="3"/>
      <c r="CH100" s="3"/>
      <c r="CI100" s="3"/>
    </row>
    <row r="101" spans="1:87" x14ac:dyDescent="0.15">
      <c r="A101" s="3">
        <v>2625861900</v>
      </c>
      <c r="B101" s="3" t="s">
        <v>365</v>
      </c>
      <c r="C101" s="3" t="s">
        <v>364</v>
      </c>
      <c r="D101" s="3">
        <v>9</v>
      </c>
      <c r="E101" s="3">
        <v>15</v>
      </c>
      <c r="F101" s="3">
        <v>81.093999999999994</v>
      </c>
      <c r="G101" s="3">
        <v>1</v>
      </c>
      <c r="H101" s="3">
        <v>28.271999999999998</v>
      </c>
      <c r="I101" s="3">
        <v>50.884</v>
      </c>
      <c r="J101" s="3">
        <v>50.42</v>
      </c>
      <c r="K101" s="3" t="s">
        <v>81</v>
      </c>
      <c r="L101" s="3" t="s">
        <v>81</v>
      </c>
      <c r="M101" s="3" t="s">
        <v>81</v>
      </c>
      <c r="N101" s="3" t="s">
        <v>81</v>
      </c>
      <c r="O101" s="3" t="s">
        <v>81</v>
      </c>
      <c r="P101" s="3" t="s">
        <v>81</v>
      </c>
      <c r="Q101" s="3">
        <v>80.861999999999995</v>
      </c>
      <c r="R101" s="3">
        <v>1</v>
      </c>
      <c r="S101" s="3">
        <v>32.195999999999998</v>
      </c>
      <c r="T101" s="3">
        <v>46.095999999999997</v>
      </c>
      <c r="U101" s="3">
        <v>48.179000000000002</v>
      </c>
      <c r="V101" s="3" t="s">
        <v>81</v>
      </c>
      <c r="W101" s="3" t="s">
        <v>81</v>
      </c>
      <c r="X101" s="3" t="s">
        <v>81</v>
      </c>
      <c r="Y101" s="3" t="s">
        <v>81</v>
      </c>
      <c r="Z101" s="3" t="s">
        <v>81</v>
      </c>
      <c r="AA101" s="3" t="s">
        <v>81</v>
      </c>
      <c r="AB101" s="3">
        <v>87.033000000000001</v>
      </c>
      <c r="AC101" s="3">
        <v>1</v>
      </c>
      <c r="AD101" s="3">
        <v>41.356000000000002</v>
      </c>
      <c r="AE101" s="3">
        <v>41.228999999999999</v>
      </c>
      <c r="AF101" s="3">
        <v>44.247</v>
      </c>
      <c r="AG101" s="3" t="s">
        <v>81</v>
      </c>
      <c r="AH101" s="3" t="s">
        <v>81</v>
      </c>
      <c r="AI101" s="3" t="s">
        <v>81</v>
      </c>
      <c r="AJ101" s="3" t="s">
        <v>81</v>
      </c>
      <c r="AK101" s="3" t="s">
        <v>81</v>
      </c>
      <c r="AL101" s="3" t="s">
        <v>81</v>
      </c>
      <c r="AM101" s="3">
        <v>80.406000000000006</v>
      </c>
      <c r="AN101" s="3">
        <v>1</v>
      </c>
      <c r="AO101" s="3">
        <v>31.637</v>
      </c>
      <c r="AP101" s="3">
        <v>49.137999999999998</v>
      </c>
      <c r="AQ101" s="3">
        <v>48.783999999999999</v>
      </c>
      <c r="AR101" s="3" t="s">
        <v>81</v>
      </c>
      <c r="AS101" s="3" t="s">
        <v>81</v>
      </c>
      <c r="AT101" s="3" t="s">
        <v>81</v>
      </c>
      <c r="AU101" s="3" t="s">
        <v>81</v>
      </c>
      <c r="AV101" s="3" t="s">
        <v>81</v>
      </c>
      <c r="AW101" s="3" t="s">
        <v>81</v>
      </c>
      <c r="AX101" s="3">
        <v>78.453000000000003</v>
      </c>
      <c r="AY101" s="3">
        <v>1</v>
      </c>
      <c r="AZ101" s="3">
        <v>32.947000000000003</v>
      </c>
      <c r="BA101" s="3">
        <v>48.878</v>
      </c>
      <c r="BB101" s="3">
        <v>45.579000000000001</v>
      </c>
      <c r="BC101" s="3" t="s">
        <v>81</v>
      </c>
      <c r="BD101" s="3" t="s">
        <v>81</v>
      </c>
      <c r="BE101" s="3" t="s">
        <v>81</v>
      </c>
      <c r="BF101" s="3" t="s">
        <v>81</v>
      </c>
      <c r="BG101" s="3" t="s">
        <v>81</v>
      </c>
      <c r="BH101" s="3" t="s">
        <v>81</v>
      </c>
      <c r="BI101" s="3" t="s">
        <v>84</v>
      </c>
      <c r="BJ101" s="3" t="s">
        <v>84</v>
      </c>
      <c r="BK101" s="3" t="s">
        <v>82</v>
      </c>
      <c r="BL101" s="3" t="s">
        <v>84</v>
      </c>
      <c r="BM101" s="3" t="s">
        <v>84</v>
      </c>
      <c r="BN101" s="3" t="s">
        <v>82</v>
      </c>
      <c r="BO101" s="3" t="s">
        <v>84</v>
      </c>
      <c r="BP101" s="3" t="s">
        <v>106</v>
      </c>
      <c r="BQ101" s="3" t="s">
        <v>106</v>
      </c>
      <c r="BR101" s="3" t="s">
        <v>129</v>
      </c>
      <c r="BS101" s="3" t="s">
        <v>366</v>
      </c>
      <c r="BT101" s="3" t="s">
        <v>106</v>
      </c>
      <c r="BU101" s="3" t="s">
        <v>129</v>
      </c>
      <c r="BV101" s="3" t="s">
        <v>82</v>
      </c>
      <c r="BW101" s="3" t="s">
        <v>91</v>
      </c>
      <c r="BX101" s="3" t="s">
        <v>82</v>
      </c>
      <c r="BZ101" s="3" t="s">
        <v>86</v>
      </c>
      <c r="CB101" s="3" t="s">
        <v>84</v>
      </c>
    </row>
    <row r="102" spans="1:87" ht="15.75" customHeight="1" x14ac:dyDescent="0.15">
      <c r="A102" s="3">
        <v>1228364917</v>
      </c>
      <c r="B102" s="3" t="s">
        <v>143</v>
      </c>
      <c r="C102" s="3" t="s">
        <v>143</v>
      </c>
      <c r="D102" s="3">
        <v>5</v>
      </c>
      <c r="E102" s="3">
        <v>11</v>
      </c>
      <c r="F102" s="3">
        <v>30.355</v>
      </c>
      <c r="G102" s="3">
        <v>0</v>
      </c>
      <c r="H102" s="3" t="s">
        <v>81</v>
      </c>
      <c r="I102" s="3" t="s">
        <v>81</v>
      </c>
      <c r="J102" s="3" t="s">
        <v>81</v>
      </c>
      <c r="K102" s="3" t="s">
        <v>81</v>
      </c>
      <c r="L102" s="3" t="s">
        <v>81</v>
      </c>
      <c r="M102" s="3" t="s">
        <v>81</v>
      </c>
      <c r="N102" s="3" t="s">
        <v>81</v>
      </c>
      <c r="O102" s="3" t="s">
        <v>81</v>
      </c>
      <c r="P102" s="3" t="s">
        <v>81</v>
      </c>
      <c r="Q102" s="3">
        <v>46.447000000000003</v>
      </c>
      <c r="R102" s="3">
        <v>0</v>
      </c>
      <c r="S102" s="3" t="s">
        <v>81</v>
      </c>
      <c r="T102" s="3" t="s">
        <v>81</v>
      </c>
      <c r="U102" s="3" t="s">
        <v>81</v>
      </c>
      <c r="V102" s="3" t="s">
        <v>81</v>
      </c>
      <c r="W102" s="3" t="s">
        <v>81</v>
      </c>
      <c r="X102" s="3" t="s">
        <v>81</v>
      </c>
      <c r="Y102" s="3" t="s">
        <v>81</v>
      </c>
      <c r="Z102" s="3" t="s">
        <v>81</v>
      </c>
      <c r="AA102" s="3" t="s">
        <v>81</v>
      </c>
      <c r="AB102" s="3">
        <v>48.652999999999999</v>
      </c>
      <c r="AC102" s="3">
        <v>0</v>
      </c>
      <c r="AD102" s="3" t="s">
        <v>81</v>
      </c>
      <c r="AE102" s="3" t="s">
        <v>81</v>
      </c>
      <c r="AF102" s="3" t="s">
        <v>81</v>
      </c>
      <c r="AG102" s="3" t="s">
        <v>81</v>
      </c>
      <c r="AH102" s="3" t="s">
        <v>81</v>
      </c>
      <c r="AI102" s="3" t="s">
        <v>81</v>
      </c>
      <c r="AJ102" s="3" t="s">
        <v>81</v>
      </c>
      <c r="AK102" s="3" t="s">
        <v>81</v>
      </c>
      <c r="AL102" s="3" t="s">
        <v>81</v>
      </c>
      <c r="AM102" s="3">
        <v>43.28</v>
      </c>
      <c r="AN102" s="3">
        <v>0</v>
      </c>
      <c r="AO102" s="3" t="s">
        <v>81</v>
      </c>
      <c r="AP102" s="3" t="s">
        <v>81</v>
      </c>
      <c r="AQ102" s="3" t="s">
        <v>81</v>
      </c>
      <c r="AR102" s="3" t="s">
        <v>81</v>
      </c>
      <c r="AS102" s="3" t="s">
        <v>81</v>
      </c>
      <c r="AT102" s="3" t="s">
        <v>81</v>
      </c>
      <c r="AU102" s="3" t="s">
        <v>81</v>
      </c>
      <c r="AV102" s="3" t="s">
        <v>81</v>
      </c>
      <c r="AW102" s="3" t="s">
        <v>81</v>
      </c>
      <c r="AX102" s="3">
        <v>45.225999999999999</v>
      </c>
      <c r="AY102" s="3">
        <v>0</v>
      </c>
      <c r="AZ102" s="3" t="s">
        <v>81</v>
      </c>
      <c r="BA102" s="3" t="s">
        <v>81</v>
      </c>
      <c r="BB102" s="3" t="s">
        <v>81</v>
      </c>
      <c r="BC102" s="3" t="s">
        <v>81</v>
      </c>
      <c r="BD102" s="3" t="s">
        <v>81</v>
      </c>
      <c r="BE102" s="3" t="s">
        <v>81</v>
      </c>
      <c r="BF102" s="3" t="s">
        <v>81</v>
      </c>
      <c r="BG102" s="3" t="s">
        <v>81</v>
      </c>
      <c r="BH102" s="3" t="s">
        <v>81</v>
      </c>
      <c r="BI102" s="3" t="s">
        <v>84</v>
      </c>
      <c r="BJ102" s="3" t="s">
        <v>84</v>
      </c>
      <c r="BK102" s="3" t="s">
        <v>82</v>
      </c>
      <c r="BL102" s="3" t="s">
        <v>84</v>
      </c>
      <c r="BM102" s="3" t="s">
        <v>84</v>
      </c>
      <c r="BN102" s="3" t="s">
        <v>84</v>
      </c>
      <c r="BO102" s="3" t="s">
        <v>82</v>
      </c>
      <c r="BP102" s="3" t="s">
        <v>81</v>
      </c>
      <c r="BQ102" s="3" t="s">
        <v>81</v>
      </c>
      <c r="BR102" s="3" t="s">
        <v>81</v>
      </c>
      <c r="BS102" s="3" t="s">
        <v>81</v>
      </c>
      <c r="BT102" s="3" t="s">
        <v>81</v>
      </c>
      <c r="BU102" s="3" t="s">
        <v>81</v>
      </c>
      <c r="BV102" s="3" t="s">
        <v>84</v>
      </c>
      <c r="BW102" s="3" t="s">
        <v>83</v>
      </c>
      <c r="BX102" s="3" t="s">
        <v>82</v>
      </c>
      <c r="BY102" s="3" t="s">
        <v>144</v>
      </c>
      <c r="BZ102" s="3" t="s">
        <v>93</v>
      </c>
      <c r="CB102" s="3" t="s">
        <v>84</v>
      </c>
    </row>
    <row r="103" spans="1:87" ht="15.75" customHeight="1" x14ac:dyDescent="0.15">
      <c r="A103" s="3">
        <v>1228376165</v>
      </c>
      <c r="B103" s="3" t="s">
        <v>143</v>
      </c>
      <c r="C103" s="3" t="s">
        <v>143</v>
      </c>
      <c r="D103" s="3" t="s">
        <v>81</v>
      </c>
      <c r="E103" s="3">
        <v>8</v>
      </c>
      <c r="F103" s="3">
        <v>27.478000000000002</v>
      </c>
      <c r="G103" s="3">
        <v>0</v>
      </c>
      <c r="H103" s="3" t="s">
        <v>81</v>
      </c>
      <c r="I103" s="3" t="s">
        <v>81</v>
      </c>
      <c r="J103" s="3" t="s">
        <v>81</v>
      </c>
      <c r="K103" s="3" t="s">
        <v>81</v>
      </c>
      <c r="L103" s="3" t="s">
        <v>81</v>
      </c>
      <c r="M103" s="3" t="s">
        <v>81</v>
      </c>
      <c r="N103" s="3" t="s">
        <v>81</v>
      </c>
      <c r="O103" s="3" t="s">
        <v>81</v>
      </c>
      <c r="P103" s="3" t="s">
        <v>81</v>
      </c>
      <c r="Q103" s="3">
        <v>27.018999999999998</v>
      </c>
      <c r="R103" s="3">
        <v>0</v>
      </c>
      <c r="S103" s="3" t="s">
        <v>81</v>
      </c>
      <c r="T103" s="3" t="s">
        <v>81</v>
      </c>
      <c r="U103" s="3" t="s">
        <v>81</v>
      </c>
      <c r="V103" s="3" t="s">
        <v>81</v>
      </c>
      <c r="W103" s="3" t="s">
        <v>81</v>
      </c>
      <c r="X103" s="3" t="s">
        <v>81</v>
      </c>
      <c r="Y103" s="3" t="s">
        <v>81</v>
      </c>
      <c r="Z103" s="3" t="s">
        <v>81</v>
      </c>
      <c r="AA103" s="3" t="s">
        <v>81</v>
      </c>
      <c r="AB103" s="3">
        <v>27.03</v>
      </c>
      <c r="AC103" s="3">
        <v>0</v>
      </c>
      <c r="AD103" s="3" t="s">
        <v>81</v>
      </c>
      <c r="AE103" s="3" t="s">
        <v>81</v>
      </c>
      <c r="AF103" s="3" t="s">
        <v>81</v>
      </c>
      <c r="AG103" s="3" t="s">
        <v>81</v>
      </c>
      <c r="AH103" s="3" t="s">
        <v>81</v>
      </c>
      <c r="AI103" s="3" t="s">
        <v>81</v>
      </c>
      <c r="AJ103" s="3" t="s">
        <v>81</v>
      </c>
      <c r="AK103" s="3" t="s">
        <v>81</v>
      </c>
      <c r="AL103" s="3" t="s">
        <v>81</v>
      </c>
      <c r="AM103" s="3" t="s">
        <v>81</v>
      </c>
      <c r="AN103" s="3" t="s">
        <v>81</v>
      </c>
      <c r="AO103" s="3" t="s">
        <v>81</v>
      </c>
      <c r="AP103" s="3" t="s">
        <v>81</v>
      </c>
      <c r="AQ103" s="3" t="s">
        <v>81</v>
      </c>
      <c r="AR103" s="3" t="s">
        <v>81</v>
      </c>
      <c r="AS103" s="3" t="s">
        <v>81</v>
      </c>
      <c r="AT103" s="3" t="s">
        <v>81</v>
      </c>
      <c r="AU103" s="3" t="s">
        <v>81</v>
      </c>
      <c r="AV103" s="3" t="s">
        <v>81</v>
      </c>
      <c r="AW103" s="3" t="s">
        <v>81</v>
      </c>
      <c r="AX103" s="3" t="s">
        <v>81</v>
      </c>
      <c r="AY103" s="3" t="s">
        <v>81</v>
      </c>
      <c r="AZ103" s="3" t="s">
        <v>81</v>
      </c>
      <c r="BA103" s="3" t="s">
        <v>81</v>
      </c>
      <c r="BB103" s="3" t="s">
        <v>81</v>
      </c>
      <c r="BC103" s="3" t="s">
        <v>81</v>
      </c>
      <c r="BD103" s="3" t="s">
        <v>81</v>
      </c>
      <c r="BE103" s="3" t="s">
        <v>81</v>
      </c>
      <c r="BF103" s="3" t="s">
        <v>81</v>
      </c>
      <c r="BG103" s="3" t="s">
        <v>81</v>
      </c>
      <c r="BH103" s="3" t="s">
        <v>81</v>
      </c>
      <c r="BI103" s="3" t="s">
        <v>84</v>
      </c>
      <c r="BJ103" s="3" t="s">
        <v>82</v>
      </c>
      <c r="BK103" s="3" t="s">
        <v>83</v>
      </c>
      <c r="BL103" s="3" t="s">
        <v>84</v>
      </c>
      <c r="BM103" s="3" t="s">
        <v>84</v>
      </c>
      <c r="BN103" s="3" t="s">
        <v>84</v>
      </c>
      <c r="BO103" s="3" t="s">
        <v>82</v>
      </c>
      <c r="BP103" s="3" t="s">
        <v>87</v>
      </c>
      <c r="BQ103" s="3" t="s">
        <v>87</v>
      </c>
      <c r="BR103" s="3" t="s">
        <v>87</v>
      </c>
      <c r="BS103" s="3" t="s">
        <v>87</v>
      </c>
      <c r="BT103" s="3" t="s">
        <v>87</v>
      </c>
      <c r="BU103" s="3" t="s">
        <v>81</v>
      </c>
      <c r="BV103" s="3" t="s">
        <v>84</v>
      </c>
      <c r="BW103" s="3" t="s">
        <v>83</v>
      </c>
      <c r="BX103" s="3" t="s">
        <v>82</v>
      </c>
      <c r="BY103" s="3" t="s">
        <v>145</v>
      </c>
      <c r="BZ103" s="3" t="s">
        <v>93</v>
      </c>
      <c r="CB103" s="3" t="s">
        <v>84</v>
      </c>
    </row>
    <row r="104" spans="1:87" ht="15.75" customHeight="1" x14ac:dyDescent="0.15">
      <c r="A104" s="3">
        <v>2625867604</v>
      </c>
      <c r="B104" s="3" t="s">
        <v>146</v>
      </c>
      <c r="C104" s="3" t="s">
        <v>143</v>
      </c>
      <c r="D104" s="3" t="s">
        <v>81</v>
      </c>
      <c r="E104" s="3">
        <v>25</v>
      </c>
      <c r="F104" s="3">
        <v>36.094999999999999</v>
      </c>
      <c r="G104" s="3">
        <v>0</v>
      </c>
      <c r="H104" s="3" t="s">
        <v>81</v>
      </c>
      <c r="I104" s="3" t="s">
        <v>81</v>
      </c>
      <c r="J104" s="3" t="s">
        <v>81</v>
      </c>
      <c r="K104" s="3" t="s">
        <v>81</v>
      </c>
      <c r="L104" s="3" t="s">
        <v>81</v>
      </c>
      <c r="M104" s="3" t="s">
        <v>81</v>
      </c>
      <c r="N104" s="3" t="s">
        <v>81</v>
      </c>
      <c r="O104" s="3" t="s">
        <v>81</v>
      </c>
      <c r="P104" s="3" t="s">
        <v>81</v>
      </c>
      <c r="Q104" s="3">
        <v>35.094999999999999</v>
      </c>
      <c r="R104" s="3">
        <v>0</v>
      </c>
      <c r="S104" s="3" t="s">
        <v>81</v>
      </c>
      <c r="T104" s="3" t="s">
        <v>81</v>
      </c>
      <c r="U104" s="3" t="s">
        <v>81</v>
      </c>
      <c r="V104" s="3" t="s">
        <v>81</v>
      </c>
      <c r="W104" s="3" t="s">
        <v>81</v>
      </c>
      <c r="X104" s="3" t="s">
        <v>81</v>
      </c>
      <c r="Y104" s="3" t="s">
        <v>81</v>
      </c>
      <c r="Z104" s="3" t="s">
        <v>81</v>
      </c>
      <c r="AA104" s="3" t="s">
        <v>81</v>
      </c>
      <c r="AB104" s="3">
        <v>37.159999999999997</v>
      </c>
      <c r="AC104" s="3">
        <v>0</v>
      </c>
      <c r="AD104" s="3" t="s">
        <v>81</v>
      </c>
      <c r="AE104" s="3" t="s">
        <v>81</v>
      </c>
      <c r="AF104" s="3" t="s">
        <v>81</v>
      </c>
      <c r="AG104" s="3" t="s">
        <v>81</v>
      </c>
      <c r="AH104" s="3" t="s">
        <v>81</v>
      </c>
      <c r="AI104" s="3" t="s">
        <v>81</v>
      </c>
      <c r="AJ104" s="3" t="s">
        <v>81</v>
      </c>
      <c r="AK104" s="3" t="s">
        <v>81</v>
      </c>
      <c r="AL104" s="3" t="s">
        <v>81</v>
      </c>
      <c r="AM104" s="3">
        <v>36.808999999999997</v>
      </c>
      <c r="AN104" s="3">
        <v>0</v>
      </c>
      <c r="AO104" s="3" t="s">
        <v>81</v>
      </c>
      <c r="AP104" s="3" t="s">
        <v>81</v>
      </c>
      <c r="AQ104" s="3" t="s">
        <v>81</v>
      </c>
      <c r="AR104" s="3" t="s">
        <v>81</v>
      </c>
      <c r="AS104" s="3" t="s">
        <v>81</v>
      </c>
      <c r="AT104" s="3" t="s">
        <v>81</v>
      </c>
      <c r="AU104" s="3" t="s">
        <v>81</v>
      </c>
      <c r="AV104" s="3" t="s">
        <v>81</v>
      </c>
      <c r="AW104" s="3" t="s">
        <v>81</v>
      </c>
      <c r="AX104" s="3">
        <v>34.814999999999998</v>
      </c>
      <c r="AY104" s="3">
        <v>0</v>
      </c>
      <c r="AZ104" s="3" t="s">
        <v>81</v>
      </c>
      <c r="BA104" s="3" t="s">
        <v>81</v>
      </c>
      <c r="BB104" s="3" t="s">
        <v>81</v>
      </c>
      <c r="BC104" s="3" t="s">
        <v>81</v>
      </c>
      <c r="BD104" s="3" t="s">
        <v>81</v>
      </c>
      <c r="BE104" s="3" t="s">
        <v>81</v>
      </c>
      <c r="BF104" s="3" t="s">
        <v>81</v>
      </c>
      <c r="BG104" s="3" t="s">
        <v>81</v>
      </c>
      <c r="BH104" s="3" t="s">
        <v>81</v>
      </c>
      <c r="BI104" s="3" t="s">
        <v>82</v>
      </c>
      <c r="BJ104" s="3" t="s">
        <v>84</v>
      </c>
      <c r="BK104" s="3" t="s">
        <v>84</v>
      </c>
      <c r="BL104" s="3" t="s">
        <v>82</v>
      </c>
      <c r="BM104" s="3" t="s">
        <v>83</v>
      </c>
      <c r="BN104" s="3" t="s">
        <v>82</v>
      </c>
      <c r="BO104" s="3" t="s">
        <v>83</v>
      </c>
      <c r="BP104" s="3" t="s">
        <v>81</v>
      </c>
      <c r="BQ104" s="3" t="s">
        <v>81</v>
      </c>
      <c r="BR104" s="3" t="s">
        <v>81</v>
      </c>
      <c r="BS104" s="3" t="s">
        <v>81</v>
      </c>
      <c r="BT104" s="3" t="s">
        <v>81</v>
      </c>
      <c r="BU104" s="3" t="s">
        <v>81</v>
      </c>
      <c r="BV104" s="3" t="s">
        <v>83</v>
      </c>
      <c r="BW104" s="3" t="s">
        <v>83</v>
      </c>
      <c r="BX104" s="3" t="s">
        <v>83</v>
      </c>
      <c r="BY104" s="3" t="s">
        <v>147</v>
      </c>
      <c r="BZ104" s="3" t="s">
        <v>86</v>
      </c>
      <c r="CB104" s="3" t="s">
        <v>84</v>
      </c>
    </row>
    <row r="105" spans="1:87" ht="15.75" customHeight="1" x14ac:dyDescent="0.15">
      <c r="A105" s="3">
        <v>2625878876</v>
      </c>
      <c r="B105" s="3" t="s">
        <v>146</v>
      </c>
      <c r="C105" s="3" t="s">
        <v>143</v>
      </c>
      <c r="D105" s="3" t="s">
        <v>81</v>
      </c>
      <c r="E105" s="3">
        <v>22</v>
      </c>
      <c r="F105" s="3">
        <v>30.321999999999999</v>
      </c>
      <c r="G105" s="3">
        <v>0</v>
      </c>
      <c r="H105" s="3" t="s">
        <v>81</v>
      </c>
      <c r="I105" s="3" t="s">
        <v>81</v>
      </c>
      <c r="J105" s="3" t="s">
        <v>81</v>
      </c>
      <c r="K105" s="3" t="s">
        <v>81</v>
      </c>
      <c r="L105" s="3" t="s">
        <v>81</v>
      </c>
      <c r="M105" s="3" t="s">
        <v>81</v>
      </c>
      <c r="N105" s="3" t="s">
        <v>81</v>
      </c>
      <c r="O105" s="3" t="s">
        <v>81</v>
      </c>
      <c r="P105" s="3" t="s">
        <v>81</v>
      </c>
      <c r="Q105" s="3">
        <v>28.297999999999998</v>
      </c>
      <c r="R105" s="3">
        <v>0</v>
      </c>
      <c r="S105" s="3" t="s">
        <v>81</v>
      </c>
      <c r="T105" s="3" t="s">
        <v>81</v>
      </c>
      <c r="U105" s="3" t="s">
        <v>81</v>
      </c>
      <c r="V105" s="3" t="s">
        <v>81</v>
      </c>
      <c r="W105" s="3" t="s">
        <v>81</v>
      </c>
      <c r="X105" s="3" t="s">
        <v>81</v>
      </c>
      <c r="Y105" s="3" t="s">
        <v>81</v>
      </c>
      <c r="Z105" s="3" t="s">
        <v>81</v>
      </c>
      <c r="AA105" s="3" t="s">
        <v>81</v>
      </c>
      <c r="AB105" s="3">
        <v>28.163</v>
      </c>
      <c r="AC105" s="3">
        <v>0</v>
      </c>
      <c r="AD105" s="3" t="s">
        <v>81</v>
      </c>
      <c r="AE105" s="3" t="s">
        <v>81</v>
      </c>
      <c r="AF105" s="3" t="s">
        <v>81</v>
      </c>
      <c r="AG105" s="3" t="s">
        <v>81</v>
      </c>
      <c r="AH105" s="3" t="s">
        <v>81</v>
      </c>
      <c r="AI105" s="3" t="s">
        <v>81</v>
      </c>
      <c r="AJ105" s="3" t="s">
        <v>81</v>
      </c>
      <c r="AK105" s="3" t="s">
        <v>81</v>
      </c>
      <c r="AL105" s="3" t="s">
        <v>81</v>
      </c>
      <c r="AM105" s="3">
        <v>31.783000000000001</v>
      </c>
      <c r="AN105" s="3">
        <v>0</v>
      </c>
      <c r="AO105" s="3" t="s">
        <v>81</v>
      </c>
      <c r="AP105" s="3" t="s">
        <v>81</v>
      </c>
      <c r="AQ105" s="3" t="s">
        <v>81</v>
      </c>
      <c r="AR105" s="3" t="s">
        <v>81</v>
      </c>
      <c r="AS105" s="3" t="s">
        <v>81</v>
      </c>
      <c r="AT105" s="3" t="s">
        <v>81</v>
      </c>
      <c r="AU105" s="3" t="s">
        <v>81</v>
      </c>
      <c r="AV105" s="3" t="s">
        <v>81</v>
      </c>
      <c r="AW105" s="3" t="s">
        <v>81</v>
      </c>
      <c r="AX105" s="3">
        <v>27.67</v>
      </c>
      <c r="AY105" s="3">
        <v>0</v>
      </c>
      <c r="AZ105" s="3" t="s">
        <v>81</v>
      </c>
      <c r="BA105" s="3" t="s">
        <v>81</v>
      </c>
      <c r="BB105" s="3" t="s">
        <v>81</v>
      </c>
      <c r="BC105" s="3" t="s">
        <v>81</v>
      </c>
      <c r="BD105" s="3" t="s">
        <v>81</v>
      </c>
      <c r="BE105" s="3" t="s">
        <v>81</v>
      </c>
      <c r="BF105" s="3" t="s">
        <v>81</v>
      </c>
      <c r="BG105" s="3" t="s">
        <v>81</v>
      </c>
      <c r="BH105" s="3" t="s">
        <v>81</v>
      </c>
      <c r="BI105" s="3" t="s">
        <v>84</v>
      </c>
      <c r="BJ105" s="3" t="s">
        <v>84</v>
      </c>
      <c r="BK105" s="3" t="s">
        <v>82</v>
      </c>
      <c r="BL105" s="3" t="s">
        <v>84</v>
      </c>
      <c r="BM105" s="3" t="s">
        <v>84</v>
      </c>
      <c r="BN105" s="3" t="s">
        <v>82</v>
      </c>
      <c r="BO105" s="3" t="s">
        <v>84</v>
      </c>
      <c r="BP105" s="3" t="s">
        <v>148</v>
      </c>
      <c r="BQ105" s="3" t="s">
        <v>148</v>
      </c>
      <c r="BR105" s="3" t="s">
        <v>149</v>
      </c>
      <c r="BS105" s="3" t="s">
        <v>149</v>
      </c>
      <c r="BT105" s="3" t="s">
        <v>87</v>
      </c>
      <c r="BU105" s="3" t="s">
        <v>129</v>
      </c>
      <c r="BV105" s="3" t="s">
        <v>84</v>
      </c>
      <c r="BW105" s="3" t="s">
        <v>83</v>
      </c>
      <c r="BX105" s="3" t="s">
        <v>82</v>
      </c>
      <c r="BY105" s="3" t="s">
        <v>150</v>
      </c>
      <c r="BZ105" s="3" t="s">
        <v>86</v>
      </c>
      <c r="CB105" s="3" t="s">
        <v>84</v>
      </c>
    </row>
    <row r="106" spans="1:87" ht="15.75" customHeight="1" x14ac:dyDescent="0.15">
      <c r="A106" s="3">
        <v>2625875522</v>
      </c>
      <c r="B106" s="3" t="s">
        <v>151</v>
      </c>
      <c r="C106" s="3" t="s">
        <v>143</v>
      </c>
      <c r="D106" s="3" t="s">
        <v>81</v>
      </c>
      <c r="E106" s="3">
        <v>17</v>
      </c>
      <c r="F106" s="3">
        <v>24.937000000000001</v>
      </c>
      <c r="G106" s="3">
        <v>0</v>
      </c>
      <c r="H106" s="3" t="s">
        <v>81</v>
      </c>
      <c r="I106" s="3" t="s">
        <v>81</v>
      </c>
      <c r="J106" s="3" t="s">
        <v>81</v>
      </c>
      <c r="K106" s="3" t="s">
        <v>81</v>
      </c>
      <c r="L106" s="3" t="s">
        <v>81</v>
      </c>
      <c r="M106" s="3" t="s">
        <v>81</v>
      </c>
      <c r="N106" s="3" t="s">
        <v>81</v>
      </c>
      <c r="O106" s="3" t="s">
        <v>81</v>
      </c>
      <c r="P106" s="3" t="s">
        <v>81</v>
      </c>
      <c r="Q106" s="3">
        <v>22.207999999999998</v>
      </c>
      <c r="R106" s="3">
        <v>0</v>
      </c>
      <c r="S106" s="3" t="s">
        <v>81</v>
      </c>
      <c r="T106" s="3" t="s">
        <v>81</v>
      </c>
      <c r="U106" s="3" t="s">
        <v>81</v>
      </c>
      <c r="V106" s="3" t="s">
        <v>81</v>
      </c>
      <c r="W106" s="3" t="s">
        <v>81</v>
      </c>
      <c r="X106" s="3" t="s">
        <v>81</v>
      </c>
      <c r="Y106" s="3" t="s">
        <v>81</v>
      </c>
      <c r="Z106" s="3" t="s">
        <v>81</v>
      </c>
      <c r="AA106" s="3" t="s">
        <v>81</v>
      </c>
      <c r="AB106" s="3">
        <v>23.734999999999999</v>
      </c>
      <c r="AC106" s="3">
        <v>0</v>
      </c>
      <c r="AD106" s="3" t="s">
        <v>81</v>
      </c>
      <c r="AE106" s="3" t="s">
        <v>81</v>
      </c>
      <c r="AF106" s="3" t="s">
        <v>81</v>
      </c>
      <c r="AG106" s="3" t="s">
        <v>81</v>
      </c>
      <c r="AH106" s="3" t="s">
        <v>81</v>
      </c>
      <c r="AI106" s="3" t="s">
        <v>81</v>
      </c>
      <c r="AJ106" s="3" t="s">
        <v>81</v>
      </c>
      <c r="AK106" s="3" t="s">
        <v>81</v>
      </c>
      <c r="AL106" s="3" t="s">
        <v>81</v>
      </c>
      <c r="AM106" s="3">
        <v>20.643000000000001</v>
      </c>
      <c r="AN106" s="3">
        <v>0</v>
      </c>
      <c r="AO106" s="3" t="s">
        <v>81</v>
      </c>
      <c r="AP106" s="3" t="s">
        <v>81</v>
      </c>
      <c r="AQ106" s="3" t="s">
        <v>81</v>
      </c>
      <c r="AR106" s="3" t="s">
        <v>81</v>
      </c>
      <c r="AS106" s="3" t="s">
        <v>81</v>
      </c>
      <c r="AT106" s="3" t="s">
        <v>81</v>
      </c>
      <c r="AU106" s="3" t="s">
        <v>81</v>
      </c>
      <c r="AV106" s="3" t="s">
        <v>81</v>
      </c>
      <c r="AW106" s="3" t="s">
        <v>81</v>
      </c>
      <c r="AX106" s="3">
        <v>20.844999999999999</v>
      </c>
      <c r="AY106" s="3">
        <v>0</v>
      </c>
      <c r="AZ106" s="3" t="s">
        <v>81</v>
      </c>
      <c r="BA106" s="3" t="s">
        <v>81</v>
      </c>
      <c r="BB106" s="3" t="s">
        <v>81</v>
      </c>
      <c r="BC106" s="3" t="s">
        <v>81</v>
      </c>
      <c r="BD106" s="3" t="s">
        <v>81</v>
      </c>
      <c r="BE106" s="3" t="s">
        <v>81</v>
      </c>
      <c r="BF106" s="3" t="s">
        <v>81</v>
      </c>
      <c r="BG106" s="3" t="s">
        <v>81</v>
      </c>
      <c r="BH106" s="3" t="s">
        <v>81</v>
      </c>
      <c r="BI106" s="3" t="s">
        <v>82</v>
      </c>
      <c r="BJ106" s="3" t="s">
        <v>84</v>
      </c>
      <c r="BK106" s="3" t="s">
        <v>82</v>
      </c>
      <c r="BL106" s="3" t="s">
        <v>84</v>
      </c>
      <c r="BM106" s="3" t="s">
        <v>84</v>
      </c>
      <c r="BN106" s="3" t="s">
        <v>82</v>
      </c>
      <c r="BO106" s="3" t="s">
        <v>84</v>
      </c>
      <c r="BP106" s="3" t="s">
        <v>152</v>
      </c>
      <c r="BQ106" s="3" t="s">
        <v>152</v>
      </c>
      <c r="BR106" s="3" t="s">
        <v>135</v>
      </c>
      <c r="BS106" s="3" t="s">
        <v>153</v>
      </c>
      <c r="BT106" s="3" t="s">
        <v>87</v>
      </c>
      <c r="BU106" s="3" t="s">
        <v>129</v>
      </c>
      <c r="BV106" s="3" t="s">
        <v>84</v>
      </c>
      <c r="BW106" s="3" t="s">
        <v>83</v>
      </c>
      <c r="BX106" s="3" t="s">
        <v>83</v>
      </c>
      <c r="BY106" s="3" t="s">
        <v>154</v>
      </c>
      <c r="BZ106" s="3" t="s">
        <v>86</v>
      </c>
      <c r="CB106" s="3" t="s">
        <v>84</v>
      </c>
    </row>
    <row r="107" spans="1:87" x14ac:dyDescent="0.15">
      <c r="A107" s="3">
        <v>1318581732</v>
      </c>
      <c r="B107" s="3" t="s">
        <v>508</v>
      </c>
      <c r="C107" s="3" t="s">
        <v>508</v>
      </c>
      <c r="D107" s="3">
        <v>8</v>
      </c>
      <c r="E107" s="3">
        <v>8</v>
      </c>
      <c r="F107" s="3">
        <v>234.51900000000001</v>
      </c>
      <c r="G107" s="3">
        <v>2</v>
      </c>
      <c r="H107" s="3">
        <v>135.297</v>
      </c>
      <c r="I107" s="3">
        <v>23.423999999999999</v>
      </c>
      <c r="J107" s="3">
        <v>52.347999999999999</v>
      </c>
      <c r="K107" s="3">
        <v>21.173999999999999</v>
      </c>
      <c r="L107" s="3">
        <v>25.893000000000001</v>
      </c>
      <c r="M107" s="3">
        <v>18.462</v>
      </c>
      <c r="N107" s="3" t="s">
        <v>81</v>
      </c>
      <c r="O107" s="3" t="s">
        <v>81</v>
      </c>
      <c r="P107" s="3" t="s">
        <v>81</v>
      </c>
      <c r="Q107" s="3" t="s">
        <v>81</v>
      </c>
      <c r="R107" s="3">
        <v>2</v>
      </c>
      <c r="S107" s="3">
        <v>148.191</v>
      </c>
      <c r="T107" s="3">
        <v>29.571999999999999</v>
      </c>
      <c r="U107" s="3">
        <v>48.054000000000002</v>
      </c>
      <c r="V107" s="3" t="s">
        <v>81</v>
      </c>
      <c r="W107" s="3" t="s">
        <v>81</v>
      </c>
      <c r="X107" s="3" t="s">
        <v>81</v>
      </c>
      <c r="Y107" s="3" t="s">
        <v>81</v>
      </c>
      <c r="Z107" s="3" t="s">
        <v>81</v>
      </c>
      <c r="AA107" s="3" t="s">
        <v>81</v>
      </c>
      <c r="AB107" s="3">
        <v>180.92599999999999</v>
      </c>
      <c r="AC107" s="3">
        <v>2</v>
      </c>
      <c r="AD107" s="3">
        <v>129.24299999999999</v>
      </c>
      <c r="AE107" s="3">
        <v>27.963999999999999</v>
      </c>
      <c r="AF107" s="3">
        <v>49.643999999999998</v>
      </c>
      <c r="AG107" s="3">
        <v>24.748000000000001</v>
      </c>
      <c r="AH107" s="3">
        <v>1.5129999999999999</v>
      </c>
      <c r="AI107" s="3" t="s">
        <v>81</v>
      </c>
      <c r="AJ107" s="3" t="s">
        <v>81</v>
      </c>
      <c r="AK107" s="3" t="s">
        <v>81</v>
      </c>
      <c r="AL107" s="3" t="s">
        <v>81</v>
      </c>
      <c r="AM107" s="3">
        <v>199.001</v>
      </c>
      <c r="AN107" s="3">
        <v>3</v>
      </c>
      <c r="AO107" s="3">
        <v>128.43799999999999</v>
      </c>
      <c r="AP107" s="3">
        <v>27.289000000000001</v>
      </c>
      <c r="AQ107" s="3">
        <v>49.258000000000003</v>
      </c>
      <c r="AR107" s="3">
        <v>26.904</v>
      </c>
      <c r="AS107" s="3">
        <v>18.995000000000001</v>
      </c>
      <c r="AT107" s="3">
        <v>23.908000000000001</v>
      </c>
      <c r="AU107" s="3">
        <v>1.129</v>
      </c>
      <c r="AV107" s="3" t="s">
        <v>81</v>
      </c>
      <c r="AW107" s="3" t="s">
        <v>81</v>
      </c>
      <c r="AX107" s="3" t="s">
        <v>81</v>
      </c>
      <c r="AY107" s="3" t="s">
        <v>81</v>
      </c>
      <c r="AZ107" s="3" t="s">
        <v>81</v>
      </c>
      <c r="BA107" s="3" t="s">
        <v>81</v>
      </c>
      <c r="BB107" s="3" t="s">
        <v>81</v>
      </c>
      <c r="BC107" s="3" t="s">
        <v>81</v>
      </c>
      <c r="BD107" s="3" t="s">
        <v>81</v>
      </c>
      <c r="BE107" s="3" t="s">
        <v>81</v>
      </c>
      <c r="BF107" s="3" t="s">
        <v>81</v>
      </c>
      <c r="BG107" s="3" t="s">
        <v>81</v>
      </c>
      <c r="BH107" s="3" t="s">
        <v>81</v>
      </c>
      <c r="BI107" s="3" t="s">
        <v>84</v>
      </c>
      <c r="BJ107" s="3" t="s">
        <v>84</v>
      </c>
      <c r="BK107" s="3" t="s">
        <v>82</v>
      </c>
      <c r="BL107" s="3" t="s">
        <v>84</v>
      </c>
      <c r="BM107" s="3" t="s">
        <v>84</v>
      </c>
      <c r="BN107" s="3" t="s">
        <v>82</v>
      </c>
      <c r="BO107" s="3" t="s">
        <v>84</v>
      </c>
      <c r="BP107" s="3" t="s">
        <v>106</v>
      </c>
      <c r="BQ107" s="3" t="s">
        <v>509</v>
      </c>
      <c r="BR107" s="3" t="s">
        <v>225</v>
      </c>
      <c r="BS107" s="3" t="s">
        <v>510</v>
      </c>
      <c r="BT107" s="3" t="s">
        <v>106</v>
      </c>
      <c r="BU107" s="3" t="s">
        <v>98</v>
      </c>
      <c r="BV107" s="3" t="s">
        <v>82</v>
      </c>
      <c r="BW107" s="3" t="s">
        <v>91</v>
      </c>
      <c r="BX107" s="3" t="s">
        <v>82</v>
      </c>
      <c r="BY107" s="3" t="s">
        <v>507</v>
      </c>
      <c r="BZ107" s="3" t="s">
        <v>86</v>
      </c>
      <c r="CB107" s="3" t="s">
        <v>84</v>
      </c>
    </row>
    <row r="108" spans="1:87" x14ac:dyDescent="0.15">
      <c r="A108" s="3">
        <v>1318127882</v>
      </c>
      <c r="B108" s="3" t="s">
        <v>508</v>
      </c>
      <c r="C108" s="3" t="s">
        <v>508</v>
      </c>
      <c r="D108" s="3" t="s">
        <v>81</v>
      </c>
      <c r="E108" s="3">
        <v>35</v>
      </c>
      <c r="F108" s="3">
        <v>139.898</v>
      </c>
      <c r="G108" s="3">
        <v>2</v>
      </c>
      <c r="H108" s="3">
        <v>99.555000000000007</v>
      </c>
      <c r="I108" s="3">
        <v>8.0649999999999995</v>
      </c>
      <c r="J108" s="3">
        <v>31.9</v>
      </c>
      <c r="K108" s="3">
        <v>16.038</v>
      </c>
      <c r="L108" s="3">
        <v>5.1529999999999996</v>
      </c>
      <c r="M108" s="3" t="s">
        <v>81</v>
      </c>
      <c r="N108" s="3" t="s">
        <v>81</v>
      </c>
      <c r="O108" s="3" t="s">
        <v>81</v>
      </c>
      <c r="P108" s="3" t="s">
        <v>81</v>
      </c>
      <c r="Q108" s="3">
        <v>143.73699999999999</v>
      </c>
      <c r="R108" s="3">
        <v>3</v>
      </c>
      <c r="S108" s="3">
        <v>99.795000000000002</v>
      </c>
      <c r="T108" s="3">
        <v>7.7290000000000001</v>
      </c>
      <c r="U108" s="3">
        <v>36.398000000000003</v>
      </c>
      <c r="V108" s="3">
        <v>8.9979999999999993</v>
      </c>
      <c r="W108" s="3">
        <v>7.8070000000000004</v>
      </c>
      <c r="X108" s="3">
        <v>8.4649999999999999</v>
      </c>
      <c r="Y108" s="3">
        <v>2.5179999999999998</v>
      </c>
      <c r="Z108" s="3" t="s">
        <v>81</v>
      </c>
      <c r="AA108" s="3" t="s">
        <v>81</v>
      </c>
      <c r="AB108" s="3">
        <v>178.672</v>
      </c>
      <c r="AC108" s="3">
        <v>3</v>
      </c>
      <c r="AD108" s="3">
        <v>103.48</v>
      </c>
      <c r="AE108" s="3">
        <v>8.0340000000000007</v>
      </c>
      <c r="AF108" s="3">
        <v>46.375</v>
      </c>
      <c r="AG108" s="3">
        <v>20.469000000000001</v>
      </c>
      <c r="AH108" s="3">
        <v>22.15</v>
      </c>
      <c r="AI108" s="3">
        <v>11.214</v>
      </c>
      <c r="AJ108" s="3">
        <v>4.74</v>
      </c>
      <c r="AK108" s="3" t="s">
        <v>81</v>
      </c>
      <c r="AL108" s="3" t="s">
        <v>81</v>
      </c>
      <c r="AM108" s="3">
        <v>180.50200000000001</v>
      </c>
      <c r="AN108" s="3">
        <v>3</v>
      </c>
      <c r="AO108" s="3">
        <v>105.41</v>
      </c>
      <c r="AP108" s="3">
        <v>8.69</v>
      </c>
      <c r="AQ108" s="3">
        <v>40.664000000000001</v>
      </c>
      <c r="AR108" s="3">
        <v>16.535</v>
      </c>
      <c r="AS108" s="3">
        <v>26.324000000000002</v>
      </c>
      <c r="AT108" s="3">
        <v>15.27</v>
      </c>
      <c r="AU108" s="3">
        <v>11.205</v>
      </c>
      <c r="AV108" s="3" t="s">
        <v>81</v>
      </c>
      <c r="AW108" s="3" t="s">
        <v>81</v>
      </c>
      <c r="AX108" s="3">
        <v>191.227</v>
      </c>
      <c r="AY108" s="3">
        <v>3</v>
      </c>
      <c r="AZ108" s="3">
        <v>97.456999999999994</v>
      </c>
      <c r="BA108" s="3">
        <v>8.6069999999999993</v>
      </c>
      <c r="BB108" s="3">
        <v>50.465000000000003</v>
      </c>
      <c r="BC108" s="3">
        <v>16.747</v>
      </c>
      <c r="BD108" s="3">
        <v>30.905000000000001</v>
      </c>
      <c r="BE108" s="3">
        <v>17.393999999999998</v>
      </c>
      <c r="BF108" s="3">
        <v>10.643000000000001</v>
      </c>
      <c r="BG108" s="3" t="s">
        <v>81</v>
      </c>
      <c r="BH108" s="3" t="s">
        <v>81</v>
      </c>
      <c r="BI108" s="3" t="s">
        <v>84</v>
      </c>
      <c r="BJ108" s="3" t="s">
        <v>82</v>
      </c>
      <c r="BK108" s="3" t="s">
        <v>83</v>
      </c>
      <c r="BL108" s="3" t="s">
        <v>84</v>
      </c>
      <c r="BM108" s="3" t="s">
        <v>84</v>
      </c>
      <c r="BN108" s="3" t="s">
        <v>82</v>
      </c>
      <c r="BO108" s="3" t="s">
        <v>84</v>
      </c>
      <c r="BP108" s="3" t="s">
        <v>87</v>
      </c>
      <c r="BQ108" s="3" t="s">
        <v>87</v>
      </c>
      <c r="BR108" s="3" t="s">
        <v>129</v>
      </c>
      <c r="BS108" s="3" t="s">
        <v>212</v>
      </c>
      <c r="BT108" s="3" t="s">
        <v>87</v>
      </c>
      <c r="BU108" s="3" t="s">
        <v>129</v>
      </c>
      <c r="BV108" s="3" t="s">
        <v>84</v>
      </c>
      <c r="BW108" s="3" t="s">
        <v>83</v>
      </c>
      <c r="BX108" s="3" t="s">
        <v>82</v>
      </c>
      <c r="BY108" s="3" t="s">
        <v>160</v>
      </c>
      <c r="BZ108" s="3" t="s">
        <v>86</v>
      </c>
      <c r="CB108" s="3" t="s">
        <v>84</v>
      </c>
    </row>
    <row r="109" spans="1:87" x14ac:dyDescent="0.15">
      <c r="A109" s="3">
        <v>1228349065</v>
      </c>
      <c r="B109" s="3" t="s">
        <v>266</v>
      </c>
      <c r="C109" s="3" t="s">
        <v>266</v>
      </c>
      <c r="D109" s="3" t="s">
        <v>81</v>
      </c>
      <c r="E109" s="3">
        <v>17</v>
      </c>
      <c r="F109" s="3">
        <v>21.045000000000002</v>
      </c>
      <c r="G109" s="3">
        <v>0</v>
      </c>
      <c r="H109" s="3" t="s">
        <v>81</v>
      </c>
      <c r="I109" s="3" t="s">
        <v>81</v>
      </c>
      <c r="J109" s="3" t="s">
        <v>81</v>
      </c>
      <c r="K109" s="3" t="s">
        <v>81</v>
      </c>
      <c r="L109" s="3" t="s">
        <v>81</v>
      </c>
      <c r="M109" s="3" t="s">
        <v>81</v>
      </c>
      <c r="N109" s="3" t="s">
        <v>81</v>
      </c>
      <c r="O109" s="3" t="s">
        <v>81</v>
      </c>
      <c r="P109" s="3" t="s">
        <v>81</v>
      </c>
      <c r="Q109" s="3">
        <v>19.46</v>
      </c>
      <c r="R109" s="3">
        <v>0</v>
      </c>
      <c r="S109" s="3" t="s">
        <v>81</v>
      </c>
      <c r="T109" s="3" t="s">
        <v>81</v>
      </c>
      <c r="U109" s="3" t="s">
        <v>81</v>
      </c>
      <c r="V109" s="3" t="s">
        <v>81</v>
      </c>
      <c r="W109" s="3" t="s">
        <v>81</v>
      </c>
      <c r="X109" s="3" t="s">
        <v>81</v>
      </c>
      <c r="Y109" s="3" t="s">
        <v>81</v>
      </c>
      <c r="Z109" s="3" t="s">
        <v>81</v>
      </c>
      <c r="AA109" s="3" t="s">
        <v>81</v>
      </c>
      <c r="AB109" s="3">
        <v>18.512</v>
      </c>
      <c r="AC109" s="3">
        <v>0</v>
      </c>
      <c r="AD109" s="3" t="s">
        <v>81</v>
      </c>
      <c r="AE109" s="3" t="s">
        <v>81</v>
      </c>
      <c r="AF109" s="3" t="s">
        <v>81</v>
      </c>
      <c r="AG109" s="3" t="s">
        <v>81</v>
      </c>
      <c r="AH109" s="3" t="s">
        <v>81</v>
      </c>
      <c r="AI109" s="3" t="s">
        <v>81</v>
      </c>
      <c r="AJ109" s="3" t="s">
        <v>81</v>
      </c>
      <c r="AK109" s="3" t="s">
        <v>81</v>
      </c>
      <c r="AL109" s="3" t="s">
        <v>81</v>
      </c>
      <c r="AM109" s="3">
        <v>21.32</v>
      </c>
      <c r="AN109" s="3">
        <v>0</v>
      </c>
      <c r="AO109" s="3" t="s">
        <v>81</v>
      </c>
      <c r="AP109" s="3" t="s">
        <v>81</v>
      </c>
      <c r="AQ109" s="3" t="s">
        <v>81</v>
      </c>
      <c r="AR109" s="3" t="s">
        <v>81</v>
      </c>
      <c r="AS109" s="3" t="s">
        <v>81</v>
      </c>
      <c r="AT109" s="3" t="s">
        <v>81</v>
      </c>
      <c r="AU109" s="3" t="s">
        <v>81</v>
      </c>
      <c r="AV109" s="3" t="s">
        <v>81</v>
      </c>
      <c r="AW109" s="3" t="s">
        <v>81</v>
      </c>
      <c r="AX109" s="3">
        <v>26.029</v>
      </c>
      <c r="AY109" s="3">
        <v>0</v>
      </c>
      <c r="AZ109" s="3" t="s">
        <v>81</v>
      </c>
      <c r="BA109" s="3" t="s">
        <v>81</v>
      </c>
      <c r="BB109" s="3" t="s">
        <v>81</v>
      </c>
      <c r="BC109" s="3" t="s">
        <v>81</v>
      </c>
      <c r="BD109" s="3" t="s">
        <v>81</v>
      </c>
      <c r="BE109" s="3" t="s">
        <v>81</v>
      </c>
      <c r="BF109" s="3" t="s">
        <v>81</v>
      </c>
      <c r="BG109" s="3" t="s">
        <v>81</v>
      </c>
      <c r="BH109" s="3" t="s">
        <v>81</v>
      </c>
      <c r="BI109" s="3" t="s">
        <v>84</v>
      </c>
      <c r="BJ109" s="3" t="s">
        <v>82</v>
      </c>
      <c r="BK109" s="3" t="s">
        <v>83</v>
      </c>
      <c r="BL109" s="3" t="s">
        <v>84</v>
      </c>
      <c r="BM109" s="3" t="s">
        <v>84</v>
      </c>
      <c r="BN109" s="3" t="s">
        <v>84</v>
      </c>
      <c r="BO109" s="3" t="s">
        <v>82</v>
      </c>
      <c r="BP109" s="3" t="s">
        <v>210</v>
      </c>
      <c r="BQ109" s="3" t="s">
        <v>210</v>
      </c>
      <c r="BR109" s="3" t="s">
        <v>210</v>
      </c>
      <c r="BS109" s="3" t="s">
        <v>210</v>
      </c>
      <c r="BT109" s="3" t="s">
        <v>87</v>
      </c>
      <c r="BU109" s="3" t="s">
        <v>81</v>
      </c>
      <c r="BV109" s="3" t="s">
        <v>84</v>
      </c>
      <c r="BW109" s="3" t="s">
        <v>83</v>
      </c>
      <c r="BX109" s="3" t="s">
        <v>84</v>
      </c>
      <c r="BY109" s="3" t="s">
        <v>160</v>
      </c>
      <c r="BZ109" s="3" t="s">
        <v>93</v>
      </c>
      <c r="CA109" s="3"/>
      <c r="CB109" s="3"/>
      <c r="CC109" s="3"/>
      <c r="CD109" s="3"/>
      <c r="CE109" s="3"/>
      <c r="CF109" s="3"/>
      <c r="CG109" s="3"/>
      <c r="CH109" s="3"/>
      <c r="CI109" s="3"/>
    </row>
    <row r="110" spans="1:87" x14ac:dyDescent="0.15">
      <c r="A110" s="3">
        <v>2625844474</v>
      </c>
      <c r="B110" s="3" t="s">
        <v>266</v>
      </c>
      <c r="C110" s="3" t="s">
        <v>266</v>
      </c>
      <c r="D110" s="3">
        <v>6</v>
      </c>
      <c r="E110" s="3">
        <v>7</v>
      </c>
      <c r="F110" s="3">
        <v>31.532</v>
      </c>
      <c r="G110" s="3">
        <v>0</v>
      </c>
      <c r="H110" s="3" t="s">
        <v>81</v>
      </c>
      <c r="I110" s="3" t="s">
        <v>81</v>
      </c>
      <c r="J110" s="3" t="s">
        <v>81</v>
      </c>
      <c r="K110" s="3" t="s">
        <v>81</v>
      </c>
      <c r="L110" s="3" t="s">
        <v>81</v>
      </c>
      <c r="M110" s="3" t="s">
        <v>81</v>
      </c>
      <c r="N110" s="3" t="s">
        <v>81</v>
      </c>
      <c r="O110" s="3" t="s">
        <v>81</v>
      </c>
      <c r="P110" s="3" t="s">
        <v>81</v>
      </c>
      <c r="Q110" s="3">
        <v>31.231999999999999</v>
      </c>
      <c r="R110" s="3">
        <v>0</v>
      </c>
      <c r="S110" s="3" t="s">
        <v>81</v>
      </c>
      <c r="T110" s="3" t="s">
        <v>81</v>
      </c>
      <c r="U110" s="3" t="s">
        <v>81</v>
      </c>
      <c r="V110" s="3" t="s">
        <v>81</v>
      </c>
      <c r="W110" s="3" t="s">
        <v>81</v>
      </c>
      <c r="X110" s="3" t="s">
        <v>81</v>
      </c>
      <c r="Y110" s="3" t="s">
        <v>81</v>
      </c>
      <c r="Z110" s="3" t="s">
        <v>81</v>
      </c>
      <c r="AA110" s="3" t="s">
        <v>81</v>
      </c>
      <c r="AB110" s="3">
        <v>32.466999999999999</v>
      </c>
      <c r="AC110" s="3">
        <v>0</v>
      </c>
      <c r="AD110" s="3" t="s">
        <v>81</v>
      </c>
      <c r="AE110" s="3" t="s">
        <v>81</v>
      </c>
      <c r="AF110" s="3" t="s">
        <v>81</v>
      </c>
      <c r="AG110" s="3" t="s">
        <v>81</v>
      </c>
      <c r="AH110" s="3" t="s">
        <v>81</v>
      </c>
      <c r="AI110" s="3" t="s">
        <v>81</v>
      </c>
      <c r="AJ110" s="3" t="s">
        <v>81</v>
      </c>
      <c r="AK110" s="3" t="s">
        <v>81</v>
      </c>
      <c r="AL110" s="3" t="s">
        <v>81</v>
      </c>
      <c r="AM110" s="3">
        <v>32.313000000000002</v>
      </c>
      <c r="AN110" s="3">
        <v>0</v>
      </c>
      <c r="AO110" s="3" t="s">
        <v>81</v>
      </c>
      <c r="AP110" s="3" t="s">
        <v>81</v>
      </c>
      <c r="AQ110" s="3" t="s">
        <v>81</v>
      </c>
      <c r="AR110" s="3" t="s">
        <v>81</v>
      </c>
      <c r="AS110" s="3" t="s">
        <v>81</v>
      </c>
      <c r="AT110" s="3" t="s">
        <v>81</v>
      </c>
      <c r="AU110" s="3" t="s">
        <v>81</v>
      </c>
      <c r="AV110" s="3" t="s">
        <v>81</v>
      </c>
      <c r="AW110" s="3" t="s">
        <v>81</v>
      </c>
      <c r="AX110" s="3">
        <v>24.858000000000001</v>
      </c>
      <c r="AY110" s="3">
        <v>0</v>
      </c>
      <c r="AZ110" s="3" t="s">
        <v>81</v>
      </c>
      <c r="BA110" s="3" t="s">
        <v>81</v>
      </c>
      <c r="BB110" s="3" t="s">
        <v>81</v>
      </c>
      <c r="BC110" s="3" t="s">
        <v>81</v>
      </c>
      <c r="BD110" s="3" t="s">
        <v>81</v>
      </c>
      <c r="BE110" s="3" t="s">
        <v>81</v>
      </c>
      <c r="BF110" s="3" t="s">
        <v>81</v>
      </c>
      <c r="BG110" s="3" t="s">
        <v>81</v>
      </c>
      <c r="BH110" s="3" t="s">
        <v>81</v>
      </c>
      <c r="BI110" s="3" t="s">
        <v>84</v>
      </c>
      <c r="BJ110" s="3" t="s">
        <v>84</v>
      </c>
      <c r="BK110" s="3" t="s">
        <v>84</v>
      </c>
      <c r="BL110" s="3" t="s">
        <v>82</v>
      </c>
      <c r="BM110" s="3" t="s">
        <v>83</v>
      </c>
      <c r="BN110" s="3" t="s">
        <v>84</v>
      </c>
      <c r="BO110" s="3" t="s">
        <v>83</v>
      </c>
      <c r="BP110" s="3" t="s">
        <v>81</v>
      </c>
      <c r="BQ110" s="3" t="s">
        <v>81</v>
      </c>
      <c r="BR110" s="3" t="s">
        <v>81</v>
      </c>
      <c r="BS110" s="3" t="s">
        <v>81</v>
      </c>
      <c r="BT110" s="3" t="s">
        <v>81</v>
      </c>
      <c r="BU110" s="3" t="s">
        <v>81</v>
      </c>
      <c r="BV110" s="3" t="s">
        <v>83</v>
      </c>
      <c r="BW110" s="3" t="s">
        <v>83</v>
      </c>
      <c r="BX110" s="3" t="s">
        <v>83</v>
      </c>
      <c r="BY110" s="3" t="s">
        <v>267</v>
      </c>
      <c r="BZ110" s="3" t="s">
        <v>86</v>
      </c>
    </row>
    <row r="111" spans="1:87" x14ac:dyDescent="0.15">
      <c r="A111" s="3">
        <v>2643318876</v>
      </c>
      <c r="B111" s="3" t="s">
        <v>266</v>
      </c>
      <c r="C111" s="3" t="s">
        <v>266</v>
      </c>
      <c r="D111" s="3">
        <v>6</v>
      </c>
      <c r="E111" s="3">
        <v>6</v>
      </c>
      <c r="F111" s="3">
        <v>36.225000000000001</v>
      </c>
      <c r="G111" s="3">
        <v>0</v>
      </c>
      <c r="H111" s="3" t="s">
        <v>81</v>
      </c>
      <c r="I111" s="3" t="s">
        <v>81</v>
      </c>
      <c r="J111" s="3" t="s">
        <v>81</v>
      </c>
      <c r="K111" s="3" t="s">
        <v>81</v>
      </c>
      <c r="L111" s="3" t="s">
        <v>81</v>
      </c>
      <c r="M111" s="3" t="s">
        <v>81</v>
      </c>
      <c r="N111" s="3" t="s">
        <v>81</v>
      </c>
      <c r="O111" s="3" t="s">
        <v>81</v>
      </c>
      <c r="P111" s="3" t="s">
        <v>81</v>
      </c>
      <c r="Q111" s="3">
        <v>33.148000000000003</v>
      </c>
      <c r="R111" s="3">
        <v>0</v>
      </c>
      <c r="S111" s="3" t="s">
        <v>81</v>
      </c>
      <c r="T111" s="3" t="s">
        <v>81</v>
      </c>
      <c r="U111" s="3" t="s">
        <v>81</v>
      </c>
      <c r="V111" s="3" t="s">
        <v>81</v>
      </c>
      <c r="W111" s="3" t="s">
        <v>81</v>
      </c>
      <c r="X111" s="3" t="s">
        <v>81</v>
      </c>
      <c r="Y111" s="3" t="s">
        <v>81</v>
      </c>
      <c r="Z111" s="3" t="s">
        <v>81</v>
      </c>
      <c r="AA111" s="3" t="s">
        <v>81</v>
      </c>
      <c r="AB111" s="3">
        <v>36.639000000000003</v>
      </c>
      <c r="AC111" s="3">
        <v>0</v>
      </c>
      <c r="AD111" s="3" t="s">
        <v>81</v>
      </c>
      <c r="AE111" s="3" t="s">
        <v>81</v>
      </c>
      <c r="AF111" s="3" t="s">
        <v>81</v>
      </c>
      <c r="AG111" s="3" t="s">
        <v>81</v>
      </c>
      <c r="AH111" s="3" t="s">
        <v>81</v>
      </c>
      <c r="AI111" s="3" t="s">
        <v>81</v>
      </c>
      <c r="AJ111" s="3" t="s">
        <v>81</v>
      </c>
      <c r="AK111" s="3" t="s">
        <v>81</v>
      </c>
      <c r="AL111" s="3" t="s">
        <v>81</v>
      </c>
      <c r="AM111" s="3">
        <v>34.186999999999998</v>
      </c>
      <c r="AN111" s="3">
        <v>0</v>
      </c>
      <c r="AO111" s="3" t="s">
        <v>81</v>
      </c>
      <c r="AP111" s="3" t="s">
        <v>81</v>
      </c>
      <c r="AQ111" s="3" t="s">
        <v>81</v>
      </c>
      <c r="AR111" s="3" t="s">
        <v>81</v>
      </c>
      <c r="AS111" s="3" t="s">
        <v>81</v>
      </c>
      <c r="AT111" s="3" t="s">
        <v>81</v>
      </c>
      <c r="AU111" s="3" t="s">
        <v>81</v>
      </c>
      <c r="AV111" s="3" t="s">
        <v>81</v>
      </c>
      <c r="AW111" s="3" t="s">
        <v>81</v>
      </c>
      <c r="AX111" s="3" t="s">
        <v>81</v>
      </c>
      <c r="AY111" s="3">
        <v>0</v>
      </c>
      <c r="AZ111" s="3" t="s">
        <v>81</v>
      </c>
      <c r="BA111" s="3" t="s">
        <v>81</v>
      </c>
      <c r="BB111" s="3" t="s">
        <v>81</v>
      </c>
      <c r="BC111" s="3" t="s">
        <v>81</v>
      </c>
      <c r="BD111" s="3" t="s">
        <v>81</v>
      </c>
      <c r="BE111" s="3" t="s">
        <v>81</v>
      </c>
      <c r="BF111" s="3" t="s">
        <v>81</v>
      </c>
      <c r="BG111" s="3" t="s">
        <v>81</v>
      </c>
      <c r="BH111" s="3" t="s">
        <v>81</v>
      </c>
      <c r="BI111" s="3" t="s">
        <v>84</v>
      </c>
      <c r="BJ111" s="3" t="s">
        <v>82</v>
      </c>
      <c r="BK111" s="3" t="s">
        <v>83</v>
      </c>
      <c r="BL111" s="3" t="s">
        <v>84</v>
      </c>
      <c r="BM111" s="3" t="s">
        <v>84</v>
      </c>
      <c r="BN111" s="3" t="s">
        <v>84</v>
      </c>
      <c r="BO111" s="3" t="s">
        <v>82</v>
      </c>
      <c r="BP111" s="3" t="s">
        <v>239</v>
      </c>
      <c r="BQ111" s="3" t="s">
        <v>239</v>
      </c>
      <c r="BR111" s="3" t="s">
        <v>239</v>
      </c>
      <c r="BS111" s="3" t="s">
        <v>239</v>
      </c>
      <c r="BT111" s="3" t="s">
        <v>87</v>
      </c>
      <c r="BU111" s="3" t="s">
        <v>81</v>
      </c>
      <c r="BV111" s="3" t="s">
        <v>84</v>
      </c>
      <c r="BW111" s="3" t="s">
        <v>83</v>
      </c>
      <c r="BX111" s="3" t="s">
        <v>82</v>
      </c>
      <c r="BY111" s="3" t="s">
        <v>201</v>
      </c>
      <c r="BZ111" s="3" t="s">
        <v>86</v>
      </c>
    </row>
    <row r="112" spans="1:87" x14ac:dyDescent="0.15">
      <c r="A112" s="3">
        <v>1228402683</v>
      </c>
      <c r="B112" s="3" t="s">
        <v>268</v>
      </c>
      <c r="C112" s="3" t="s">
        <v>268</v>
      </c>
      <c r="D112" s="3" t="s">
        <v>81</v>
      </c>
      <c r="E112" s="3">
        <v>6</v>
      </c>
      <c r="F112" s="3">
        <v>26.599</v>
      </c>
      <c r="G112" s="3">
        <v>0</v>
      </c>
      <c r="H112" s="3" t="s">
        <v>81</v>
      </c>
      <c r="I112" s="3" t="s">
        <v>81</v>
      </c>
      <c r="J112" s="3" t="s">
        <v>81</v>
      </c>
      <c r="K112" s="3" t="s">
        <v>81</v>
      </c>
      <c r="L112" s="3" t="s">
        <v>81</v>
      </c>
      <c r="M112" s="3" t="s">
        <v>81</v>
      </c>
      <c r="N112" s="3" t="s">
        <v>81</v>
      </c>
      <c r="O112" s="3" t="s">
        <v>81</v>
      </c>
      <c r="P112" s="3" t="s">
        <v>81</v>
      </c>
      <c r="Q112" s="3">
        <v>26.263000000000002</v>
      </c>
      <c r="R112" s="3">
        <v>0</v>
      </c>
      <c r="S112" s="3" t="s">
        <v>81</v>
      </c>
      <c r="T112" s="3" t="s">
        <v>81</v>
      </c>
      <c r="U112" s="3" t="s">
        <v>81</v>
      </c>
      <c r="V112" s="3" t="s">
        <v>81</v>
      </c>
      <c r="W112" s="3" t="s">
        <v>81</v>
      </c>
      <c r="X112" s="3" t="s">
        <v>81</v>
      </c>
      <c r="Y112" s="3" t="s">
        <v>81</v>
      </c>
      <c r="Z112" s="3" t="s">
        <v>81</v>
      </c>
      <c r="AA112" s="3" t="s">
        <v>81</v>
      </c>
      <c r="AB112" s="3">
        <v>24.309000000000001</v>
      </c>
      <c r="AC112" s="3">
        <v>0</v>
      </c>
      <c r="AD112" s="3" t="s">
        <v>81</v>
      </c>
      <c r="AE112" s="3" t="s">
        <v>81</v>
      </c>
      <c r="AF112" s="3" t="s">
        <v>81</v>
      </c>
      <c r="AG112" s="3" t="s">
        <v>81</v>
      </c>
      <c r="AH112" s="3" t="s">
        <v>81</v>
      </c>
      <c r="AI112" s="3" t="s">
        <v>81</v>
      </c>
      <c r="AJ112" s="3" t="s">
        <v>81</v>
      </c>
      <c r="AK112" s="3" t="s">
        <v>81</v>
      </c>
      <c r="AL112" s="3" t="s">
        <v>81</v>
      </c>
      <c r="AM112" s="3">
        <v>23.919</v>
      </c>
      <c r="AN112" s="3">
        <v>0</v>
      </c>
      <c r="AO112" s="3" t="s">
        <v>81</v>
      </c>
      <c r="AP112" s="3" t="s">
        <v>81</v>
      </c>
      <c r="AQ112" s="3" t="s">
        <v>81</v>
      </c>
      <c r="AR112" s="3" t="s">
        <v>81</v>
      </c>
      <c r="AS112" s="3" t="s">
        <v>81</v>
      </c>
      <c r="AT112" s="3" t="s">
        <v>81</v>
      </c>
      <c r="AU112" s="3" t="s">
        <v>81</v>
      </c>
      <c r="AV112" s="3" t="s">
        <v>81</v>
      </c>
      <c r="AW112" s="3" t="s">
        <v>81</v>
      </c>
      <c r="AX112" s="3">
        <v>24.46</v>
      </c>
      <c r="AY112" s="3">
        <v>0</v>
      </c>
      <c r="AZ112" s="3" t="s">
        <v>81</v>
      </c>
      <c r="BA112" s="3" t="s">
        <v>81</v>
      </c>
      <c r="BB112" s="3" t="s">
        <v>81</v>
      </c>
      <c r="BC112" s="3" t="s">
        <v>81</v>
      </c>
      <c r="BD112" s="3" t="s">
        <v>81</v>
      </c>
      <c r="BE112" s="3" t="s">
        <v>81</v>
      </c>
      <c r="BF112" s="3" t="s">
        <v>81</v>
      </c>
      <c r="BG112" s="3" t="s">
        <v>81</v>
      </c>
      <c r="BH112" s="3" t="s">
        <v>81</v>
      </c>
      <c r="BI112" s="3" t="s">
        <v>82</v>
      </c>
      <c r="BJ112" s="3" t="s">
        <v>82</v>
      </c>
      <c r="BK112" s="3" t="s">
        <v>83</v>
      </c>
      <c r="BL112" s="3" t="s">
        <v>84</v>
      </c>
      <c r="BM112" s="3" t="s">
        <v>84</v>
      </c>
      <c r="BN112" s="3" t="s">
        <v>84</v>
      </c>
      <c r="BO112" s="3" t="s">
        <v>82</v>
      </c>
      <c r="BP112" s="3" t="s">
        <v>87</v>
      </c>
      <c r="BQ112" s="3" t="s">
        <v>87</v>
      </c>
      <c r="BR112" s="3" t="s">
        <v>85</v>
      </c>
      <c r="BS112" s="3" t="s">
        <v>85</v>
      </c>
      <c r="BT112" s="3" t="s">
        <v>87</v>
      </c>
      <c r="BU112" s="3" t="s">
        <v>85</v>
      </c>
      <c r="BV112" s="3" t="s">
        <v>84</v>
      </c>
      <c r="BW112" s="3" t="s">
        <v>83</v>
      </c>
      <c r="BX112" s="3" t="s">
        <v>82</v>
      </c>
      <c r="BY112" s="3" t="s">
        <v>269</v>
      </c>
      <c r="BZ112" s="3" t="s">
        <v>93</v>
      </c>
      <c r="CA112" s="3" t="s">
        <v>232</v>
      </c>
      <c r="CB112" s="3" t="s">
        <v>84</v>
      </c>
    </row>
    <row r="113" spans="1:87" x14ac:dyDescent="0.15">
      <c r="A113" s="3">
        <v>1228514570</v>
      </c>
      <c r="B113" s="3" t="s">
        <v>268</v>
      </c>
      <c r="C113" s="3" t="s">
        <v>268</v>
      </c>
      <c r="D113" s="3" t="s">
        <v>81</v>
      </c>
      <c r="E113" s="3">
        <v>7</v>
      </c>
      <c r="F113" s="3">
        <v>15.12</v>
      </c>
      <c r="G113" s="3">
        <v>0</v>
      </c>
      <c r="H113" s="3" t="s">
        <v>81</v>
      </c>
      <c r="I113" s="3" t="s">
        <v>81</v>
      </c>
      <c r="J113" s="3" t="s">
        <v>81</v>
      </c>
      <c r="K113" s="3" t="s">
        <v>81</v>
      </c>
      <c r="L113" s="3" t="s">
        <v>81</v>
      </c>
      <c r="M113" s="3" t="s">
        <v>81</v>
      </c>
      <c r="N113" s="3" t="s">
        <v>81</v>
      </c>
      <c r="O113" s="3" t="s">
        <v>81</v>
      </c>
      <c r="P113" s="3" t="s">
        <v>81</v>
      </c>
      <c r="Q113" s="3">
        <v>17.175999999999998</v>
      </c>
      <c r="R113" s="3">
        <v>0</v>
      </c>
      <c r="S113" s="3" t="s">
        <v>81</v>
      </c>
      <c r="T113" s="3" t="s">
        <v>81</v>
      </c>
      <c r="U113" s="3" t="s">
        <v>81</v>
      </c>
      <c r="V113" s="3" t="s">
        <v>81</v>
      </c>
      <c r="W113" s="3" t="s">
        <v>81</v>
      </c>
      <c r="X113" s="3" t="s">
        <v>81</v>
      </c>
      <c r="Y113" s="3" t="s">
        <v>81</v>
      </c>
      <c r="Z113" s="3" t="s">
        <v>81</v>
      </c>
      <c r="AA113" s="3" t="s">
        <v>81</v>
      </c>
      <c r="AB113" s="3">
        <v>18.393000000000001</v>
      </c>
      <c r="AC113" s="3">
        <v>0</v>
      </c>
      <c r="AD113" s="3" t="s">
        <v>81</v>
      </c>
      <c r="AE113" s="3" t="s">
        <v>81</v>
      </c>
      <c r="AF113" s="3" t="s">
        <v>81</v>
      </c>
      <c r="AG113" s="3" t="s">
        <v>81</v>
      </c>
      <c r="AH113" s="3" t="s">
        <v>81</v>
      </c>
      <c r="AI113" s="3" t="s">
        <v>81</v>
      </c>
      <c r="AJ113" s="3" t="s">
        <v>81</v>
      </c>
      <c r="AK113" s="3" t="s">
        <v>81</v>
      </c>
      <c r="AL113" s="3" t="s">
        <v>81</v>
      </c>
      <c r="AM113" s="3">
        <v>16.420999999999999</v>
      </c>
      <c r="AN113" s="3">
        <v>0</v>
      </c>
      <c r="AO113" s="3" t="s">
        <v>81</v>
      </c>
      <c r="AP113" s="3" t="s">
        <v>81</v>
      </c>
      <c r="AQ113" s="3" t="s">
        <v>81</v>
      </c>
      <c r="AR113" s="3" t="s">
        <v>81</v>
      </c>
      <c r="AS113" s="3" t="s">
        <v>81</v>
      </c>
      <c r="AT113" s="3" t="s">
        <v>81</v>
      </c>
      <c r="AU113" s="3" t="s">
        <v>81</v>
      </c>
      <c r="AV113" s="3" t="s">
        <v>81</v>
      </c>
      <c r="AW113" s="3" t="s">
        <v>81</v>
      </c>
      <c r="AX113" s="3">
        <v>17.652999999999999</v>
      </c>
      <c r="AY113" s="3">
        <v>0</v>
      </c>
      <c r="AZ113" s="3" t="s">
        <v>81</v>
      </c>
      <c r="BA113" s="3" t="s">
        <v>81</v>
      </c>
      <c r="BB113" s="3" t="s">
        <v>81</v>
      </c>
      <c r="BC113" s="3" t="s">
        <v>81</v>
      </c>
      <c r="BD113" s="3" t="s">
        <v>81</v>
      </c>
      <c r="BE113" s="3" t="s">
        <v>81</v>
      </c>
      <c r="BF113" s="3" t="s">
        <v>81</v>
      </c>
      <c r="BG113" s="3" t="s">
        <v>81</v>
      </c>
      <c r="BH113" s="3" t="s">
        <v>81</v>
      </c>
      <c r="BI113" s="3" t="s">
        <v>82</v>
      </c>
      <c r="BJ113" s="3" t="s">
        <v>84</v>
      </c>
      <c r="BK113" s="3" t="s">
        <v>84</v>
      </c>
      <c r="BL113" s="3" t="s">
        <v>84</v>
      </c>
      <c r="BM113" s="3" t="s">
        <v>84</v>
      </c>
      <c r="BN113" s="3" t="s">
        <v>84</v>
      </c>
      <c r="BO113" s="3" t="s">
        <v>82</v>
      </c>
      <c r="BP113" s="3" t="s">
        <v>270</v>
      </c>
      <c r="BQ113" s="3" t="s">
        <v>270</v>
      </c>
      <c r="BR113" s="3" t="s">
        <v>270</v>
      </c>
      <c r="BS113" s="3" t="s">
        <v>270</v>
      </c>
      <c r="BT113" s="3" t="s">
        <v>85</v>
      </c>
      <c r="BU113" s="3" t="s">
        <v>81</v>
      </c>
      <c r="BV113" s="3" t="s">
        <v>84</v>
      </c>
      <c r="BW113" s="3" t="s">
        <v>83</v>
      </c>
      <c r="BX113" s="3" t="s">
        <v>82</v>
      </c>
      <c r="BY113" s="3" t="s">
        <v>269</v>
      </c>
      <c r="BZ113" s="3" t="s">
        <v>93</v>
      </c>
      <c r="CB113" s="3" t="s">
        <v>84</v>
      </c>
    </row>
    <row r="114" spans="1:87" x14ac:dyDescent="0.15">
      <c r="A114" s="3">
        <v>1319018918</v>
      </c>
      <c r="B114" s="3" t="s">
        <v>268</v>
      </c>
      <c r="C114" s="3" t="s">
        <v>268</v>
      </c>
      <c r="D114" s="3" t="s">
        <v>81</v>
      </c>
      <c r="E114" s="3">
        <v>3</v>
      </c>
      <c r="F114" s="3">
        <v>15.439</v>
      </c>
      <c r="G114" s="3">
        <v>0</v>
      </c>
      <c r="H114" s="3" t="s">
        <v>81</v>
      </c>
      <c r="I114" s="3" t="s">
        <v>81</v>
      </c>
      <c r="J114" s="3" t="s">
        <v>81</v>
      </c>
      <c r="K114" s="3" t="s">
        <v>81</v>
      </c>
      <c r="L114" s="3" t="s">
        <v>81</v>
      </c>
      <c r="M114" s="3" t="s">
        <v>81</v>
      </c>
      <c r="N114" s="3" t="s">
        <v>81</v>
      </c>
      <c r="O114" s="3" t="s">
        <v>81</v>
      </c>
      <c r="P114" s="3" t="s">
        <v>81</v>
      </c>
      <c r="Q114" s="3">
        <v>15.785</v>
      </c>
      <c r="R114" s="3">
        <v>0</v>
      </c>
      <c r="S114" s="3" t="s">
        <v>81</v>
      </c>
      <c r="T114" s="3" t="s">
        <v>81</v>
      </c>
      <c r="U114" s="3" t="s">
        <v>81</v>
      </c>
      <c r="V114" s="3" t="s">
        <v>81</v>
      </c>
      <c r="W114" s="3" t="s">
        <v>81</v>
      </c>
      <c r="X114" s="3" t="s">
        <v>81</v>
      </c>
      <c r="Y114" s="3" t="s">
        <v>81</v>
      </c>
      <c r="Z114" s="3" t="s">
        <v>81</v>
      </c>
      <c r="AA114" s="3" t="s">
        <v>81</v>
      </c>
      <c r="AB114" s="3">
        <v>16.558</v>
      </c>
      <c r="AC114" s="3">
        <v>0</v>
      </c>
      <c r="AD114" s="3" t="s">
        <v>81</v>
      </c>
      <c r="AE114" s="3" t="s">
        <v>81</v>
      </c>
      <c r="AF114" s="3" t="s">
        <v>81</v>
      </c>
      <c r="AG114" s="3" t="s">
        <v>81</v>
      </c>
      <c r="AH114" s="3" t="s">
        <v>81</v>
      </c>
      <c r="AI114" s="3" t="s">
        <v>81</v>
      </c>
      <c r="AJ114" s="3" t="s">
        <v>81</v>
      </c>
      <c r="AK114" s="3" t="s">
        <v>81</v>
      </c>
      <c r="AL114" s="3" t="s">
        <v>81</v>
      </c>
      <c r="AM114" s="3" t="s">
        <v>81</v>
      </c>
      <c r="AN114" s="3" t="s">
        <v>81</v>
      </c>
      <c r="AO114" s="3" t="s">
        <v>81</v>
      </c>
      <c r="AP114" s="3" t="s">
        <v>81</v>
      </c>
      <c r="AQ114" s="3" t="s">
        <v>81</v>
      </c>
      <c r="AR114" s="3" t="s">
        <v>81</v>
      </c>
      <c r="AS114" s="3" t="s">
        <v>81</v>
      </c>
      <c r="AT114" s="3" t="s">
        <v>81</v>
      </c>
      <c r="AU114" s="3" t="s">
        <v>81</v>
      </c>
      <c r="AV114" s="3" t="s">
        <v>81</v>
      </c>
      <c r="AW114" s="3" t="s">
        <v>81</v>
      </c>
      <c r="AX114" s="3" t="s">
        <v>81</v>
      </c>
      <c r="AY114" s="3" t="s">
        <v>81</v>
      </c>
      <c r="AZ114" s="3" t="s">
        <v>81</v>
      </c>
      <c r="BA114" s="3" t="s">
        <v>81</v>
      </c>
      <c r="BB114" s="3" t="s">
        <v>81</v>
      </c>
      <c r="BC114" s="3" t="s">
        <v>81</v>
      </c>
      <c r="BD114" s="3" t="s">
        <v>81</v>
      </c>
      <c r="BE114" s="3" t="s">
        <v>81</v>
      </c>
      <c r="BF114" s="3" t="s">
        <v>81</v>
      </c>
      <c r="BG114" s="3" t="s">
        <v>81</v>
      </c>
      <c r="BH114" s="3" t="s">
        <v>81</v>
      </c>
      <c r="BI114" s="3" t="s">
        <v>82</v>
      </c>
      <c r="BJ114" s="3" t="s">
        <v>84</v>
      </c>
      <c r="BK114" s="3" t="s">
        <v>82</v>
      </c>
      <c r="BL114" s="3" t="s">
        <v>84</v>
      </c>
      <c r="BM114" s="3" t="s">
        <v>84</v>
      </c>
      <c r="BN114" s="3" t="s">
        <v>84</v>
      </c>
      <c r="BO114" s="3" t="s">
        <v>82</v>
      </c>
      <c r="BP114" s="3" t="s">
        <v>271</v>
      </c>
      <c r="BQ114" s="3" t="s">
        <v>271</v>
      </c>
      <c r="BR114" s="3" t="s">
        <v>271</v>
      </c>
      <c r="BS114" s="3" t="s">
        <v>271</v>
      </c>
      <c r="BT114" s="3" t="s">
        <v>87</v>
      </c>
      <c r="BU114" s="3" t="s">
        <v>81</v>
      </c>
      <c r="BV114" s="3" t="s">
        <v>84</v>
      </c>
      <c r="BW114" s="3" t="s">
        <v>83</v>
      </c>
      <c r="BX114" s="3" t="s">
        <v>82</v>
      </c>
      <c r="BY114" s="3" t="s">
        <v>272</v>
      </c>
      <c r="BZ114" s="3" t="s">
        <v>86</v>
      </c>
      <c r="CB114" s="3" t="s">
        <v>84</v>
      </c>
    </row>
    <row r="115" spans="1:87" x14ac:dyDescent="0.15">
      <c r="A115" s="3">
        <v>2625840813</v>
      </c>
      <c r="B115" s="3" t="s">
        <v>268</v>
      </c>
      <c r="C115" s="3" t="s">
        <v>268</v>
      </c>
      <c r="D115" s="3">
        <v>2</v>
      </c>
      <c r="E115" s="3">
        <v>6</v>
      </c>
      <c r="F115" s="3">
        <v>22.285</v>
      </c>
      <c r="G115" s="3">
        <v>0</v>
      </c>
      <c r="H115" s="3" t="s">
        <v>81</v>
      </c>
      <c r="I115" s="3" t="s">
        <v>81</v>
      </c>
      <c r="J115" s="3" t="s">
        <v>81</v>
      </c>
      <c r="K115" s="3" t="s">
        <v>81</v>
      </c>
      <c r="L115" s="3" t="s">
        <v>81</v>
      </c>
      <c r="M115" s="3" t="s">
        <v>81</v>
      </c>
      <c r="N115" s="3" t="s">
        <v>81</v>
      </c>
      <c r="O115" s="3" t="s">
        <v>81</v>
      </c>
      <c r="P115" s="3" t="s">
        <v>81</v>
      </c>
      <c r="Q115" s="3">
        <v>22.187999999999999</v>
      </c>
      <c r="R115" s="3">
        <v>0</v>
      </c>
      <c r="S115" s="3" t="s">
        <v>81</v>
      </c>
      <c r="T115" s="3" t="s">
        <v>81</v>
      </c>
      <c r="U115" s="3" t="s">
        <v>81</v>
      </c>
      <c r="V115" s="3" t="s">
        <v>81</v>
      </c>
      <c r="W115" s="3" t="s">
        <v>81</v>
      </c>
      <c r="X115" s="3" t="s">
        <v>81</v>
      </c>
      <c r="Y115" s="3" t="s">
        <v>81</v>
      </c>
      <c r="Z115" s="3" t="s">
        <v>81</v>
      </c>
      <c r="AA115" s="3" t="s">
        <v>81</v>
      </c>
      <c r="AB115" s="3">
        <v>22.558</v>
      </c>
      <c r="AC115" s="3">
        <v>0</v>
      </c>
      <c r="AD115" s="3" t="s">
        <v>81</v>
      </c>
      <c r="AE115" s="3" t="s">
        <v>81</v>
      </c>
      <c r="AF115" s="3" t="s">
        <v>81</v>
      </c>
      <c r="AG115" s="3" t="s">
        <v>81</v>
      </c>
      <c r="AH115" s="3" t="s">
        <v>81</v>
      </c>
      <c r="AI115" s="3" t="s">
        <v>81</v>
      </c>
      <c r="AJ115" s="3" t="s">
        <v>81</v>
      </c>
      <c r="AK115" s="3" t="s">
        <v>81</v>
      </c>
      <c r="AL115" s="3" t="s">
        <v>81</v>
      </c>
      <c r="AM115" s="3">
        <v>25.178999999999998</v>
      </c>
      <c r="AN115" s="3">
        <v>0</v>
      </c>
      <c r="AO115" s="3" t="s">
        <v>81</v>
      </c>
      <c r="AP115" s="3" t="s">
        <v>81</v>
      </c>
      <c r="AQ115" s="3" t="s">
        <v>81</v>
      </c>
      <c r="AR115" s="3" t="s">
        <v>81</v>
      </c>
      <c r="AS115" s="3" t="s">
        <v>81</v>
      </c>
      <c r="AT115" s="3" t="s">
        <v>81</v>
      </c>
      <c r="AU115" s="3" t="s">
        <v>81</v>
      </c>
      <c r="AV115" s="3" t="s">
        <v>81</v>
      </c>
      <c r="AW115" s="3" t="s">
        <v>81</v>
      </c>
      <c r="AX115" s="3">
        <v>25.082000000000001</v>
      </c>
      <c r="AY115" s="3">
        <v>0</v>
      </c>
      <c r="AZ115" s="3" t="s">
        <v>81</v>
      </c>
      <c r="BA115" s="3" t="s">
        <v>81</v>
      </c>
      <c r="BB115" s="3" t="s">
        <v>81</v>
      </c>
      <c r="BC115" s="3" t="s">
        <v>81</v>
      </c>
      <c r="BD115" s="3" t="s">
        <v>81</v>
      </c>
      <c r="BE115" s="3" t="s">
        <v>81</v>
      </c>
      <c r="BF115" s="3" t="s">
        <v>81</v>
      </c>
      <c r="BG115" s="3" t="s">
        <v>81</v>
      </c>
      <c r="BH115" s="3" t="s">
        <v>81</v>
      </c>
      <c r="BI115" s="3" t="s">
        <v>84</v>
      </c>
      <c r="BJ115" s="3" t="s">
        <v>84</v>
      </c>
      <c r="BK115" s="3" t="s">
        <v>82</v>
      </c>
      <c r="BL115" s="3" t="s">
        <v>84</v>
      </c>
      <c r="BM115" s="3" t="s">
        <v>84</v>
      </c>
      <c r="BN115" s="3" t="s">
        <v>84</v>
      </c>
      <c r="BO115" s="3" t="s">
        <v>82</v>
      </c>
      <c r="BP115" s="3" t="s">
        <v>81</v>
      </c>
      <c r="BQ115" s="3" t="s">
        <v>81</v>
      </c>
      <c r="BR115" s="3" t="s">
        <v>81</v>
      </c>
      <c r="BS115" s="3" t="s">
        <v>81</v>
      </c>
      <c r="BT115" s="3" t="s">
        <v>81</v>
      </c>
      <c r="BU115" s="3" t="s">
        <v>81</v>
      </c>
      <c r="BV115" s="3" t="s">
        <v>84</v>
      </c>
      <c r="BW115" s="3" t="s">
        <v>83</v>
      </c>
      <c r="BX115" s="3" t="s">
        <v>82</v>
      </c>
      <c r="BZ115" s="3" t="s">
        <v>86</v>
      </c>
      <c r="CB115" s="3" t="s">
        <v>84</v>
      </c>
    </row>
    <row r="116" spans="1:87" x14ac:dyDescent="0.15">
      <c r="A116" s="3">
        <v>2625901049</v>
      </c>
      <c r="B116" s="3" t="s">
        <v>268</v>
      </c>
      <c r="C116" s="3" t="s">
        <v>268</v>
      </c>
      <c r="D116" s="3">
        <v>1</v>
      </c>
      <c r="E116" s="3">
        <v>4</v>
      </c>
      <c r="F116" s="3">
        <v>21.292999999999999</v>
      </c>
      <c r="G116" s="3">
        <v>0</v>
      </c>
      <c r="H116" s="3" t="s">
        <v>81</v>
      </c>
      <c r="I116" s="3" t="s">
        <v>81</v>
      </c>
      <c r="J116" s="3" t="s">
        <v>81</v>
      </c>
      <c r="K116" s="3" t="s">
        <v>81</v>
      </c>
      <c r="L116" s="3" t="s">
        <v>81</v>
      </c>
      <c r="M116" s="3" t="s">
        <v>81</v>
      </c>
      <c r="N116" s="3" t="s">
        <v>81</v>
      </c>
      <c r="O116" s="3" t="s">
        <v>81</v>
      </c>
      <c r="P116" s="3" t="s">
        <v>81</v>
      </c>
      <c r="Q116" s="3">
        <v>20.523</v>
      </c>
      <c r="R116" s="3">
        <v>0</v>
      </c>
      <c r="S116" s="3" t="s">
        <v>81</v>
      </c>
      <c r="T116" s="3" t="s">
        <v>81</v>
      </c>
      <c r="U116" s="3" t="s">
        <v>81</v>
      </c>
      <c r="V116" s="3" t="s">
        <v>81</v>
      </c>
      <c r="W116" s="3" t="s">
        <v>81</v>
      </c>
      <c r="X116" s="3" t="s">
        <v>81</v>
      </c>
      <c r="Y116" s="3" t="s">
        <v>81</v>
      </c>
      <c r="Z116" s="3" t="s">
        <v>81</v>
      </c>
      <c r="AA116" s="3" t="s">
        <v>81</v>
      </c>
      <c r="AB116" s="3">
        <v>20.824999999999999</v>
      </c>
      <c r="AC116" s="3">
        <v>0</v>
      </c>
      <c r="AD116" s="3" t="s">
        <v>81</v>
      </c>
      <c r="AE116" s="3" t="s">
        <v>81</v>
      </c>
      <c r="AF116" s="3" t="s">
        <v>81</v>
      </c>
      <c r="AG116" s="3" t="s">
        <v>81</v>
      </c>
      <c r="AH116" s="3" t="s">
        <v>81</v>
      </c>
      <c r="AI116" s="3" t="s">
        <v>81</v>
      </c>
      <c r="AJ116" s="3" t="s">
        <v>81</v>
      </c>
      <c r="AK116" s="3" t="s">
        <v>81</v>
      </c>
      <c r="AL116" s="3" t="s">
        <v>81</v>
      </c>
      <c r="AM116" s="3">
        <v>20.003</v>
      </c>
      <c r="AN116" s="3">
        <v>0</v>
      </c>
      <c r="AO116" s="3" t="s">
        <v>81</v>
      </c>
      <c r="AP116" s="3" t="s">
        <v>81</v>
      </c>
      <c r="AQ116" s="3" t="s">
        <v>81</v>
      </c>
      <c r="AR116" s="3" t="s">
        <v>81</v>
      </c>
      <c r="AS116" s="3" t="s">
        <v>81</v>
      </c>
      <c r="AT116" s="3" t="s">
        <v>81</v>
      </c>
      <c r="AU116" s="3" t="s">
        <v>81</v>
      </c>
      <c r="AV116" s="3" t="s">
        <v>81</v>
      </c>
      <c r="AW116" s="3" t="s">
        <v>81</v>
      </c>
      <c r="AX116" s="3" t="s">
        <v>81</v>
      </c>
      <c r="AY116" s="3" t="s">
        <v>81</v>
      </c>
      <c r="AZ116" s="3" t="s">
        <v>81</v>
      </c>
      <c r="BA116" s="3" t="s">
        <v>81</v>
      </c>
      <c r="BB116" s="3" t="s">
        <v>81</v>
      </c>
      <c r="BC116" s="3" t="s">
        <v>81</v>
      </c>
      <c r="BD116" s="3" t="s">
        <v>81</v>
      </c>
      <c r="BE116" s="3" t="s">
        <v>81</v>
      </c>
      <c r="BF116" s="3" t="s">
        <v>81</v>
      </c>
      <c r="BG116" s="3" t="s">
        <v>81</v>
      </c>
      <c r="BH116" s="3" t="s">
        <v>81</v>
      </c>
      <c r="BI116" s="3" t="s">
        <v>84</v>
      </c>
      <c r="BJ116" s="3" t="s">
        <v>84</v>
      </c>
      <c r="BK116" s="3" t="s">
        <v>84</v>
      </c>
      <c r="BL116" s="3" t="s">
        <v>82</v>
      </c>
      <c r="BM116" s="3" t="s">
        <v>83</v>
      </c>
      <c r="BN116" s="3" t="s">
        <v>84</v>
      </c>
      <c r="BO116" s="3" t="s">
        <v>83</v>
      </c>
      <c r="BP116" s="3" t="s">
        <v>273</v>
      </c>
      <c r="BQ116" s="3" t="s">
        <v>273</v>
      </c>
      <c r="BR116" s="3" t="s">
        <v>273</v>
      </c>
      <c r="BS116" s="3" t="s">
        <v>273</v>
      </c>
      <c r="BT116" s="3" t="s">
        <v>85</v>
      </c>
      <c r="BU116" s="3" t="s">
        <v>81</v>
      </c>
      <c r="BV116" s="3" t="s">
        <v>84</v>
      </c>
      <c r="BW116" s="3" t="s">
        <v>83</v>
      </c>
      <c r="BX116" s="3" t="s">
        <v>82</v>
      </c>
      <c r="BZ116" s="3" t="s">
        <v>86</v>
      </c>
      <c r="CB116" s="3" t="s">
        <v>84</v>
      </c>
    </row>
    <row r="117" spans="1:87" x14ac:dyDescent="0.15">
      <c r="A117" s="3">
        <v>1318016369</v>
      </c>
      <c r="B117" s="3" t="s">
        <v>274</v>
      </c>
      <c r="C117" s="3" t="s">
        <v>274</v>
      </c>
      <c r="D117" s="3">
        <v>2</v>
      </c>
      <c r="E117" s="3">
        <v>6</v>
      </c>
      <c r="F117" s="3">
        <v>19.817</v>
      </c>
      <c r="G117" s="3">
        <v>0</v>
      </c>
      <c r="H117" s="3" t="s">
        <v>81</v>
      </c>
      <c r="I117" s="3" t="s">
        <v>81</v>
      </c>
      <c r="J117" s="3" t="s">
        <v>81</v>
      </c>
      <c r="K117" s="3" t="s">
        <v>81</v>
      </c>
      <c r="L117" s="3" t="s">
        <v>81</v>
      </c>
      <c r="M117" s="3" t="s">
        <v>81</v>
      </c>
      <c r="N117" s="3" t="s">
        <v>81</v>
      </c>
      <c r="O117" s="3" t="s">
        <v>81</v>
      </c>
      <c r="P117" s="3" t="s">
        <v>81</v>
      </c>
      <c r="Q117" s="3">
        <v>18.239999999999998</v>
      </c>
      <c r="R117" s="3">
        <v>0</v>
      </c>
      <c r="S117" s="3" t="s">
        <v>81</v>
      </c>
      <c r="T117" s="3" t="s">
        <v>81</v>
      </c>
      <c r="U117" s="3" t="s">
        <v>81</v>
      </c>
      <c r="V117" s="3" t="s">
        <v>81</v>
      </c>
      <c r="W117" s="3" t="s">
        <v>81</v>
      </c>
      <c r="X117" s="3" t="s">
        <v>81</v>
      </c>
      <c r="Y117" s="3" t="s">
        <v>81</v>
      </c>
      <c r="Z117" s="3" t="s">
        <v>81</v>
      </c>
      <c r="AA117" s="3" t="s">
        <v>81</v>
      </c>
      <c r="AB117" s="3">
        <v>17.312000000000001</v>
      </c>
      <c r="AC117" s="3">
        <v>0</v>
      </c>
      <c r="AD117" s="3" t="s">
        <v>81</v>
      </c>
      <c r="AE117" s="3" t="s">
        <v>81</v>
      </c>
      <c r="AF117" s="3" t="s">
        <v>81</v>
      </c>
      <c r="AG117" s="3" t="s">
        <v>81</v>
      </c>
      <c r="AH117" s="3" t="s">
        <v>81</v>
      </c>
      <c r="AI117" s="3" t="s">
        <v>81</v>
      </c>
      <c r="AJ117" s="3" t="s">
        <v>81</v>
      </c>
      <c r="AK117" s="3" t="s">
        <v>81</v>
      </c>
      <c r="AL117" s="3" t="s">
        <v>81</v>
      </c>
      <c r="AM117" s="3">
        <v>18.201000000000001</v>
      </c>
      <c r="AN117" s="3">
        <v>0</v>
      </c>
      <c r="AO117" s="3" t="s">
        <v>81</v>
      </c>
      <c r="AP117" s="3" t="s">
        <v>81</v>
      </c>
      <c r="AQ117" s="3" t="s">
        <v>81</v>
      </c>
      <c r="AR117" s="3" t="s">
        <v>81</v>
      </c>
      <c r="AS117" s="3" t="s">
        <v>81</v>
      </c>
      <c r="AT117" s="3" t="s">
        <v>81</v>
      </c>
      <c r="AU117" s="3" t="s">
        <v>81</v>
      </c>
      <c r="AV117" s="3" t="s">
        <v>81</v>
      </c>
      <c r="AW117" s="3" t="s">
        <v>81</v>
      </c>
      <c r="AX117" s="3">
        <v>17.861000000000001</v>
      </c>
      <c r="AY117" s="3">
        <v>0</v>
      </c>
      <c r="AZ117" s="3" t="s">
        <v>81</v>
      </c>
      <c r="BA117" s="3" t="s">
        <v>81</v>
      </c>
      <c r="BB117" s="3" t="s">
        <v>81</v>
      </c>
      <c r="BC117" s="3" t="s">
        <v>81</v>
      </c>
      <c r="BD117" s="3" t="s">
        <v>81</v>
      </c>
      <c r="BE117" s="3" t="s">
        <v>81</v>
      </c>
      <c r="BF117" s="3" t="s">
        <v>81</v>
      </c>
      <c r="BG117" s="3" t="s">
        <v>81</v>
      </c>
      <c r="BH117" s="3" t="s">
        <v>81</v>
      </c>
      <c r="BI117" s="3" t="s">
        <v>82</v>
      </c>
      <c r="BJ117" s="3" t="s">
        <v>84</v>
      </c>
      <c r="BK117" s="3" t="s">
        <v>82</v>
      </c>
      <c r="BL117" s="3" t="s">
        <v>84</v>
      </c>
      <c r="BM117" s="3" t="s">
        <v>84</v>
      </c>
      <c r="BN117" s="3" t="s">
        <v>84</v>
      </c>
      <c r="BO117" s="3" t="s">
        <v>82</v>
      </c>
      <c r="BP117" s="3" t="s">
        <v>129</v>
      </c>
      <c r="BQ117" s="3" t="s">
        <v>129</v>
      </c>
      <c r="BR117" s="3" t="s">
        <v>188</v>
      </c>
      <c r="BS117" s="3" t="s">
        <v>188</v>
      </c>
      <c r="BT117" s="3" t="s">
        <v>85</v>
      </c>
      <c r="BU117" s="3" t="s">
        <v>129</v>
      </c>
      <c r="BV117" s="3" t="s">
        <v>84</v>
      </c>
      <c r="BW117" s="3" t="s">
        <v>83</v>
      </c>
      <c r="BX117" s="3" t="s">
        <v>82</v>
      </c>
      <c r="BY117" s="3"/>
      <c r="BZ117" s="3" t="s">
        <v>86</v>
      </c>
      <c r="CA117" s="3"/>
      <c r="CB117" s="3" t="s">
        <v>84</v>
      </c>
      <c r="CC117" s="3"/>
      <c r="CD117" s="3"/>
      <c r="CE117" s="3"/>
      <c r="CF117" s="3"/>
      <c r="CG117" s="3"/>
      <c r="CH117" s="3"/>
      <c r="CI117" s="3"/>
    </row>
    <row r="118" spans="1:87" x14ac:dyDescent="0.15">
      <c r="A118" s="3">
        <v>1320565470</v>
      </c>
      <c r="B118" s="3" t="s">
        <v>274</v>
      </c>
      <c r="C118" s="3" t="s">
        <v>274</v>
      </c>
      <c r="D118" s="3">
        <v>3</v>
      </c>
      <c r="E118" s="3">
        <v>3</v>
      </c>
      <c r="F118" s="3">
        <v>21.794</v>
      </c>
      <c r="G118" s="3">
        <v>0</v>
      </c>
      <c r="H118" s="3" t="s">
        <v>81</v>
      </c>
      <c r="I118" s="3" t="s">
        <v>81</v>
      </c>
      <c r="J118" s="3" t="s">
        <v>81</v>
      </c>
      <c r="K118" s="3" t="s">
        <v>81</v>
      </c>
      <c r="L118" s="3" t="s">
        <v>81</v>
      </c>
      <c r="M118" s="3" t="s">
        <v>81</v>
      </c>
      <c r="N118" s="3" t="s">
        <v>81</v>
      </c>
      <c r="O118" s="3" t="s">
        <v>81</v>
      </c>
      <c r="P118" s="3" t="s">
        <v>81</v>
      </c>
      <c r="Q118" s="3">
        <v>19.228000000000002</v>
      </c>
      <c r="R118" s="3">
        <v>0</v>
      </c>
      <c r="S118" s="3" t="s">
        <v>81</v>
      </c>
      <c r="T118" s="3" t="s">
        <v>81</v>
      </c>
      <c r="U118" s="3" t="s">
        <v>81</v>
      </c>
      <c r="V118" s="3" t="s">
        <v>81</v>
      </c>
      <c r="W118" s="3" t="s">
        <v>81</v>
      </c>
      <c r="X118" s="3" t="s">
        <v>81</v>
      </c>
      <c r="Y118" s="3" t="s">
        <v>81</v>
      </c>
      <c r="Z118" s="3" t="s">
        <v>81</v>
      </c>
      <c r="AA118" s="3" t="s">
        <v>81</v>
      </c>
      <c r="AB118" s="3">
        <v>20.873999999999999</v>
      </c>
      <c r="AC118" s="3">
        <v>0</v>
      </c>
      <c r="AD118" s="3" t="s">
        <v>81</v>
      </c>
      <c r="AE118" s="3" t="s">
        <v>81</v>
      </c>
      <c r="AF118" s="3" t="s">
        <v>81</v>
      </c>
      <c r="AG118" s="3" t="s">
        <v>81</v>
      </c>
      <c r="AH118" s="3" t="s">
        <v>81</v>
      </c>
      <c r="AI118" s="3" t="s">
        <v>81</v>
      </c>
      <c r="AJ118" s="3" t="s">
        <v>81</v>
      </c>
      <c r="AK118" s="3" t="s">
        <v>81</v>
      </c>
      <c r="AL118" s="3" t="s">
        <v>81</v>
      </c>
      <c r="AM118" s="3" t="s">
        <v>81</v>
      </c>
      <c r="AN118" s="3" t="s">
        <v>81</v>
      </c>
      <c r="AO118" s="3" t="s">
        <v>81</v>
      </c>
      <c r="AP118" s="3" t="s">
        <v>81</v>
      </c>
      <c r="AQ118" s="3" t="s">
        <v>81</v>
      </c>
      <c r="AR118" s="3" t="s">
        <v>81</v>
      </c>
      <c r="AS118" s="3" t="s">
        <v>81</v>
      </c>
      <c r="AT118" s="3" t="s">
        <v>81</v>
      </c>
      <c r="AU118" s="3" t="s">
        <v>81</v>
      </c>
      <c r="AV118" s="3" t="s">
        <v>81</v>
      </c>
      <c r="AW118" s="3" t="s">
        <v>81</v>
      </c>
      <c r="AX118" s="3" t="s">
        <v>81</v>
      </c>
      <c r="AY118" s="3" t="s">
        <v>81</v>
      </c>
      <c r="AZ118" s="3" t="s">
        <v>81</v>
      </c>
      <c r="BA118" s="3" t="s">
        <v>81</v>
      </c>
      <c r="BB118" s="3" t="s">
        <v>81</v>
      </c>
      <c r="BC118" s="3" t="s">
        <v>81</v>
      </c>
      <c r="BD118" s="3" t="s">
        <v>81</v>
      </c>
      <c r="BE118" s="3" t="s">
        <v>81</v>
      </c>
      <c r="BF118" s="3" t="s">
        <v>81</v>
      </c>
      <c r="BG118" s="3" t="s">
        <v>81</v>
      </c>
      <c r="BH118" s="3" t="s">
        <v>81</v>
      </c>
      <c r="BI118" s="3" t="s">
        <v>82</v>
      </c>
      <c r="BJ118" s="3" t="s">
        <v>84</v>
      </c>
      <c r="BK118" s="3" t="s">
        <v>82</v>
      </c>
      <c r="BL118" s="3" t="s">
        <v>82</v>
      </c>
      <c r="BM118" s="3" t="s">
        <v>83</v>
      </c>
      <c r="BN118" s="3" t="s">
        <v>84</v>
      </c>
      <c r="BO118" s="3" t="s">
        <v>82</v>
      </c>
      <c r="BP118" s="3" t="s">
        <v>87</v>
      </c>
      <c r="BQ118" s="3" t="s">
        <v>87</v>
      </c>
      <c r="BR118" s="3" t="s">
        <v>87</v>
      </c>
      <c r="BS118" s="3" t="s">
        <v>87</v>
      </c>
      <c r="BT118" s="3" t="s">
        <v>87</v>
      </c>
      <c r="BU118" s="3" t="s">
        <v>81</v>
      </c>
      <c r="BV118" s="3" t="s">
        <v>83</v>
      </c>
      <c r="BW118" s="3" t="s">
        <v>83</v>
      </c>
      <c r="BX118" s="3" t="s">
        <v>83</v>
      </c>
      <c r="BZ118" s="3" t="s">
        <v>86</v>
      </c>
      <c r="CB118" s="3" t="s">
        <v>84</v>
      </c>
    </row>
    <row r="119" spans="1:87" x14ac:dyDescent="0.15">
      <c r="A119" s="3">
        <v>1320921389</v>
      </c>
      <c r="B119" s="3" t="s">
        <v>274</v>
      </c>
      <c r="C119" s="3" t="s">
        <v>274</v>
      </c>
      <c r="D119" s="3">
        <v>2</v>
      </c>
      <c r="E119" s="3">
        <v>3</v>
      </c>
      <c r="F119" s="3">
        <v>15.051</v>
      </c>
      <c r="G119" s="3">
        <v>0</v>
      </c>
      <c r="H119" s="3" t="s">
        <v>81</v>
      </c>
      <c r="I119" s="3" t="s">
        <v>81</v>
      </c>
      <c r="J119" s="3" t="s">
        <v>81</v>
      </c>
      <c r="K119" s="3" t="s">
        <v>81</v>
      </c>
      <c r="L119" s="3" t="s">
        <v>81</v>
      </c>
      <c r="M119" s="3" t="s">
        <v>81</v>
      </c>
      <c r="N119" s="3" t="s">
        <v>81</v>
      </c>
      <c r="O119" s="3" t="s">
        <v>81</v>
      </c>
      <c r="P119" s="3" t="s">
        <v>81</v>
      </c>
      <c r="Q119" s="3">
        <v>17.367999999999999</v>
      </c>
      <c r="R119" s="3">
        <v>0</v>
      </c>
      <c r="S119" s="3" t="s">
        <v>81</v>
      </c>
      <c r="T119" s="3" t="s">
        <v>81</v>
      </c>
      <c r="U119" s="3" t="s">
        <v>81</v>
      </c>
      <c r="V119" s="3" t="s">
        <v>81</v>
      </c>
      <c r="W119" s="3" t="s">
        <v>81</v>
      </c>
      <c r="X119" s="3" t="s">
        <v>81</v>
      </c>
      <c r="Y119" s="3" t="s">
        <v>81</v>
      </c>
      <c r="Z119" s="3" t="s">
        <v>81</v>
      </c>
      <c r="AA119" s="3" t="s">
        <v>81</v>
      </c>
      <c r="AB119" s="3">
        <v>16.111999999999998</v>
      </c>
      <c r="AC119" s="3">
        <v>0</v>
      </c>
      <c r="AD119" s="3" t="s">
        <v>81</v>
      </c>
      <c r="AE119" s="3" t="s">
        <v>81</v>
      </c>
      <c r="AF119" s="3" t="s">
        <v>81</v>
      </c>
      <c r="AG119" s="3" t="s">
        <v>81</v>
      </c>
      <c r="AH119" s="3" t="s">
        <v>81</v>
      </c>
      <c r="AI119" s="3" t="s">
        <v>81</v>
      </c>
      <c r="AJ119" s="3" t="s">
        <v>81</v>
      </c>
      <c r="AK119" s="3" t="s">
        <v>81</v>
      </c>
      <c r="AL119" s="3" t="s">
        <v>81</v>
      </c>
      <c r="AM119" s="3" t="s">
        <v>81</v>
      </c>
      <c r="AN119" s="3" t="s">
        <v>81</v>
      </c>
      <c r="AO119" s="3" t="s">
        <v>81</v>
      </c>
      <c r="AP119" s="3" t="s">
        <v>81</v>
      </c>
      <c r="AQ119" s="3" t="s">
        <v>81</v>
      </c>
      <c r="AR119" s="3" t="s">
        <v>81</v>
      </c>
      <c r="AS119" s="3" t="s">
        <v>81</v>
      </c>
      <c r="AT119" s="3" t="s">
        <v>81</v>
      </c>
      <c r="AU119" s="3" t="s">
        <v>81</v>
      </c>
      <c r="AV119" s="3" t="s">
        <v>81</v>
      </c>
      <c r="AW119" s="3" t="s">
        <v>81</v>
      </c>
      <c r="AX119" s="3" t="s">
        <v>81</v>
      </c>
      <c r="AY119" s="3" t="s">
        <v>81</v>
      </c>
      <c r="AZ119" s="3" t="s">
        <v>81</v>
      </c>
      <c r="BA119" s="3" t="s">
        <v>81</v>
      </c>
      <c r="BB119" s="3" t="s">
        <v>81</v>
      </c>
      <c r="BC119" s="3" t="s">
        <v>81</v>
      </c>
      <c r="BD119" s="3" t="s">
        <v>81</v>
      </c>
      <c r="BE119" s="3" t="s">
        <v>81</v>
      </c>
      <c r="BF119" s="3" t="s">
        <v>81</v>
      </c>
      <c r="BG119" s="3" t="s">
        <v>81</v>
      </c>
      <c r="BH119" s="3" t="s">
        <v>81</v>
      </c>
      <c r="BI119" s="3" t="s">
        <v>82</v>
      </c>
      <c r="BJ119" s="3" t="s">
        <v>84</v>
      </c>
      <c r="BK119" s="3" t="s">
        <v>82</v>
      </c>
      <c r="BL119" s="3" t="s">
        <v>84</v>
      </c>
      <c r="BM119" s="3" t="s">
        <v>84</v>
      </c>
      <c r="BN119" s="3" t="s">
        <v>84</v>
      </c>
      <c r="BO119" s="3" t="s">
        <v>82</v>
      </c>
      <c r="BP119" s="3" t="s">
        <v>87</v>
      </c>
      <c r="BQ119" s="3" t="s">
        <v>87</v>
      </c>
      <c r="BR119" s="3" t="s">
        <v>87</v>
      </c>
      <c r="BS119" s="3" t="s">
        <v>87</v>
      </c>
      <c r="BT119" s="3" t="s">
        <v>87</v>
      </c>
      <c r="BU119" s="3" t="s">
        <v>81</v>
      </c>
      <c r="BV119" s="3" t="s">
        <v>84</v>
      </c>
      <c r="BW119" s="3" t="s">
        <v>83</v>
      </c>
      <c r="BX119" s="3" t="s">
        <v>82</v>
      </c>
      <c r="BZ119" s="3" t="s">
        <v>86</v>
      </c>
      <c r="CB119" s="3" t="s">
        <v>84</v>
      </c>
    </row>
    <row r="120" spans="1:87" x14ac:dyDescent="0.15">
      <c r="A120" s="3">
        <v>1228312568</v>
      </c>
      <c r="B120" s="3" t="s">
        <v>372</v>
      </c>
      <c r="C120" s="3" t="s">
        <v>372</v>
      </c>
      <c r="D120" s="3">
        <v>3</v>
      </c>
      <c r="E120" s="3">
        <v>7</v>
      </c>
      <c r="F120" s="3">
        <v>25.117000000000001</v>
      </c>
      <c r="G120" s="3">
        <v>0</v>
      </c>
      <c r="H120" s="3" t="s">
        <v>81</v>
      </c>
      <c r="I120" s="3" t="s">
        <v>81</v>
      </c>
      <c r="J120" s="3" t="s">
        <v>81</v>
      </c>
      <c r="K120" s="3" t="s">
        <v>81</v>
      </c>
      <c r="L120" s="3" t="s">
        <v>81</v>
      </c>
      <c r="M120" s="3" t="s">
        <v>81</v>
      </c>
      <c r="N120" s="3" t="s">
        <v>81</v>
      </c>
      <c r="O120" s="3" t="s">
        <v>81</v>
      </c>
      <c r="P120" s="3" t="s">
        <v>81</v>
      </c>
      <c r="Q120" s="3">
        <v>26.907</v>
      </c>
      <c r="R120" s="3">
        <v>0</v>
      </c>
      <c r="S120" s="3" t="s">
        <v>81</v>
      </c>
      <c r="T120" s="3" t="s">
        <v>81</v>
      </c>
      <c r="U120" s="3" t="s">
        <v>81</v>
      </c>
      <c r="V120" s="3" t="s">
        <v>81</v>
      </c>
      <c r="W120" s="3" t="s">
        <v>81</v>
      </c>
      <c r="X120" s="3" t="s">
        <v>81</v>
      </c>
      <c r="Y120" s="3" t="s">
        <v>81</v>
      </c>
      <c r="Z120" s="3" t="s">
        <v>81</v>
      </c>
      <c r="AA120" s="3" t="s">
        <v>81</v>
      </c>
      <c r="AB120" s="3">
        <v>25.294</v>
      </c>
      <c r="AC120" s="3">
        <v>0</v>
      </c>
      <c r="AD120" s="3" t="s">
        <v>81</v>
      </c>
      <c r="AE120" s="3" t="s">
        <v>81</v>
      </c>
      <c r="AF120" s="3" t="s">
        <v>81</v>
      </c>
      <c r="AG120" s="3" t="s">
        <v>81</v>
      </c>
      <c r="AH120" s="3" t="s">
        <v>81</v>
      </c>
      <c r="AI120" s="3" t="s">
        <v>81</v>
      </c>
      <c r="AJ120" s="3" t="s">
        <v>81</v>
      </c>
      <c r="AK120" s="3" t="s">
        <v>81</v>
      </c>
      <c r="AL120" s="3" t="s">
        <v>81</v>
      </c>
      <c r="AM120" s="3">
        <v>30.125</v>
      </c>
      <c r="AN120" s="3">
        <v>0</v>
      </c>
      <c r="AO120" s="3" t="s">
        <v>81</v>
      </c>
      <c r="AP120" s="3" t="s">
        <v>81</v>
      </c>
      <c r="AQ120" s="3" t="s">
        <v>81</v>
      </c>
      <c r="AR120" s="3" t="s">
        <v>81</v>
      </c>
      <c r="AS120" s="3" t="s">
        <v>81</v>
      </c>
      <c r="AT120" s="3" t="s">
        <v>81</v>
      </c>
      <c r="AU120" s="3" t="s">
        <v>81</v>
      </c>
      <c r="AV120" s="3" t="s">
        <v>81</v>
      </c>
      <c r="AW120" s="3" t="s">
        <v>81</v>
      </c>
      <c r="AX120" s="3">
        <v>31.263000000000002</v>
      </c>
      <c r="AY120" s="3">
        <v>0</v>
      </c>
      <c r="AZ120" s="3" t="s">
        <v>81</v>
      </c>
      <c r="BA120" s="3" t="s">
        <v>81</v>
      </c>
      <c r="BB120" s="3" t="s">
        <v>81</v>
      </c>
      <c r="BC120" s="3" t="s">
        <v>81</v>
      </c>
      <c r="BD120" s="3" t="s">
        <v>81</v>
      </c>
      <c r="BE120" s="3" t="s">
        <v>81</v>
      </c>
      <c r="BF120" s="3" t="s">
        <v>81</v>
      </c>
      <c r="BG120" s="3" t="s">
        <v>81</v>
      </c>
      <c r="BH120" s="3" t="s">
        <v>81</v>
      </c>
      <c r="BI120" s="3" t="s">
        <v>82</v>
      </c>
      <c r="BJ120" s="3" t="s">
        <v>84</v>
      </c>
      <c r="BK120" s="3" t="s">
        <v>84</v>
      </c>
      <c r="BL120" s="3" t="s">
        <v>83</v>
      </c>
      <c r="BM120" s="3" t="s">
        <v>83</v>
      </c>
      <c r="BN120" s="3" t="s">
        <v>83</v>
      </c>
      <c r="BO120" s="3" t="s">
        <v>82</v>
      </c>
      <c r="BP120" s="3" t="s">
        <v>85</v>
      </c>
      <c r="BQ120" s="3" t="s">
        <v>85</v>
      </c>
      <c r="BR120" s="3" t="s">
        <v>85</v>
      </c>
      <c r="BS120" s="3" t="s">
        <v>85</v>
      </c>
      <c r="BT120" s="3" t="s">
        <v>85</v>
      </c>
      <c r="BU120" s="3" t="s">
        <v>81</v>
      </c>
      <c r="BV120" s="3" t="s">
        <v>83</v>
      </c>
      <c r="BW120" s="3" t="s">
        <v>83</v>
      </c>
      <c r="BX120" s="3" t="s">
        <v>83</v>
      </c>
      <c r="BY120" s="3" t="s">
        <v>373</v>
      </c>
      <c r="BZ120" s="3" t="s">
        <v>93</v>
      </c>
      <c r="CB120" s="3" t="s">
        <v>84</v>
      </c>
    </row>
    <row r="121" spans="1:87" x14ac:dyDescent="0.15">
      <c r="A121" s="3">
        <v>1228490871</v>
      </c>
      <c r="B121" s="3" t="s">
        <v>372</v>
      </c>
      <c r="C121" s="3" t="s">
        <v>372</v>
      </c>
      <c r="D121" s="3">
        <v>3</v>
      </c>
      <c r="E121" s="3">
        <v>10</v>
      </c>
      <c r="F121" s="3">
        <v>27.803000000000001</v>
      </c>
      <c r="G121" s="3">
        <v>0</v>
      </c>
      <c r="H121" s="3" t="s">
        <v>81</v>
      </c>
      <c r="I121" s="3" t="s">
        <v>81</v>
      </c>
      <c r="J121" s="3" t="s">
        <v>81</v>
      </c>
      <c r="K121" s="3" t="s">
        <v>81</v>
      </c>
      <c r="L121" s="3" t="s">
        <v>81</v>
      </c>
      <c r="M121" s="3" t="s">
        <v>81</v>
      </c>
      <c r="N121" s="3" t="s">
        <v>81</v>
      </c>
      <c r="O121" s="3" t="s">
        <v>81</v>
      </c>
      <c r="P121" s="3" t="s">
        <v>81</v>
      </c>
      <c r="Q121" s="3">
        <v>26.687000000000001</v>
      </c>
      <c r="R121" s="3">
        <v>0</v>
      </c>
      <c r="S121" s="3" t="s">
        <v>81</v>
      </c>
      <c r="T121" s="3" t="s">
        <v>81</v>
      </c>
      <c r="U121" s="3" t="s">
        <v>81</v>
      </c>
      <c r="V121" s="3" t="s">
        <v>81</v>
      </c>
      <c r="W121" s="3" t="s">
        <v>81</v>
      </c>
      <c r="X121" s="3" t="s">
        <v>81</v>
      </c>
      <c r="Y121" s="3" t="s">
        <v>81</v>
      </c>
      <c r="Z121" s="3" t="s">
        <v>81</v>
      </c>
      <c r="AA121" s="3" t="s">
        <v>81</v>
      </c>
      <c r="AB121" s="3">
        <v>23.422999999999998</v>
      </c>
      <c r="AC121" s="3">
        <v>0</v>
      </c>
      <c r="AD121" s="3" t="s">
        <v>81</v>
      </c>
      <c r="AE121" s="3" t="s">
        <v>81</v>
      </c>
      <c r="AF121" s="3" t="s">
        <v>81</v>
      </c>
      <c r="AG121" s="3" t="s">
        <v>81</v>
      </c>
      <c r="AH121" s="3" t="s">
        <v>81</v>
      </c>
      <c r="AI121" s="3" t="s">
        <v>81</v>
      </c>
      <c r="AJ121" s="3" t="s">
        <v>81</v>
      </c>
      <c r="AK121" s="3" t="s">
        <v>81</v>
      </c>
      <c r="AL121" s="3" t="s">
        <v>81</v>
      </c>
      <c r="AM121" s="3">
        <v>24.754000000000001</v>
      </c>
      <c r="AN121" s="3">
        <v>0</v>
      </c>
      <c r="AO121" s="3" t="s">
        <v>81</v>
      </c>
      <c r="AP121" s="3" t="s">
        <v>81</v>
      </c>
      <c r="AQ121" s="3" t="s">
        <v>81</v>
      </c>
      <c r="AR121" s="3" t="s">
        <v>81</v>
      </c>
      <c r="AS121" s="3" t="s">
        <v>81</v>
      </c>
      <c r="AT121" s="3" t="s">
        <v>81</v>
      </c>
      <c r="AU121" s="3" t="s">
        <v>81</v>
      </c>
      <c r="AV121" s="3" t="s">
        <v>81</v>
      </c>
      <c r="AW121" s="3" t="s">
        <v>81</v>
      </c>
      <c r="AX121" s="3">
        <v>24.527999999999999</v>
      </c>
      <c r="AY121" s="3">
        <v>0</v>
      </c>
      <c r="AZ121" s="3" t="s">
        <v>81</v>
      </c>
      <c r="BA121" s="3" t="s">
        <v>81</v>
      </c>
      <c r="BB121" s="3" t="s">
        <v>81</v>
      </c>
      <c r="BC121" s="3" t="s">
        <v>81</v>
      </c>
      <c r="BD121" s="3" t="s">
        <v>81</v>
      </c>
      <c r="BE121" s="3" t="s">
        <v>81</v>
      </c>
      <c r="BF121" s="3" t="s">
        <v>81</v>
      </c>
      <c r="BG121" s="3" t="s">
        <v>81</v>
      </c>
      <c r="BH121" s="3" t="s">
        <v>81</v>
      </c>
      <c r="BI121" s="3" t="s">
        <v>82</v>
      </c>
      <c r="BJ121" s="3" t="s">
        <v>84</v>
      </c>
      <c r="BK121" s="3" t="s">
        <v>84</v>
      </c>
      <c r="BL121" s="3" t="s">
        <v>84</v>
      </c>
      <c r="BM121" s="3" t="s">
        <v>84</v>
      </c>
      <c r="BN121" s="3" t="s">
        <v>84</v>
      </c>
      <c r="BO121" s="3" t="s">
        <v>82</v>
      </c>
      <c r="BP121" s="3" t="s">
        <v>218</v>
      </c>
      <c r="BQ121" s="3" t="s">
        <v>218</v>
      </c>
      <c r="BR121" s="3" t="s">
        <v>218</v>
      </c>
      <c r="BS121" s="3" t="s">
        <v>218</v>
      </c>
      <c r="BT121" s="3" t="s">
        <v>85</v>
      </c>
      <c r="BU121" s="3" t="s">
        <v>81</v>
      </c>
      <c r="BV121" s="3" t="s">
        <v>84</v>
      </c>
      <c r="BW121" s="3" t="s">
        <v>83</v>
      </c>
      <c r="BX121" s="3" t="s">
        <v>82</v>
      </c>
      <c r="BZ121" s="3" t="s">
        <v>93</v>
      </c>
      <c r="CB121" s="3" t="s">
        <v>84</v>
      </c>
    </row>
    <row r="122" spans="1:87" x14ac:dyDescent="0.15">
      <c r="A122" s="3">
        <v>2625868839</v>
      </c>
      <c r="B122" s="3" t="s">
        <v>372</v>
      </c>
      <c r="C122" s="3" t="s">
        <v>372</v>
      </c>
      <c r="D122" s="3">
        <v>4</v>
      </c>
      <c r="E122" s="3">
        <v>5</v>
      </c>
      <c r="F122" s="3">
        <v>21.073</v>
      </c>
      <c r="G122" s="3">
        <v>0</v>
      </c>
      <c r="H122" s="3" t="s">
        <v>81</v>
      </c>
      <c r="I122" s="3" t="s">
        <v>81</v>
      </c>
      <c r="J122" s="3" t="s">
        <v>81</v>
      </c>
      <c r="K122" s="3" t="s">
        <v>81</v>
      </c>
      <c r="L122" s="3" t="s">
        <v>81</v>
      </c>
      <c r="M122" s="3" t="s">
        <v>81</v>
      </c>
      <c r="N122" s="3" t="s">
        <v>81</v>
      </c>
      <c r="O122" s="3" t="s">
        <v>81</v>
      </c>
      <c r="P122" s="3" t="s">
        <v>81</v>
      </c>
      <c r="Q122" s="3">
        <v>20.811</v>
      </c>
      <c r="R122" s="3">
        <v>0</v>
      </c>
      <c r="S122" s="3" t="s">
        <v>81</v>
      </c>
      <c r="T122" s="3" t="s">
        <v>81</v>
      </c>
      <c r="U122" s="3" t="s">
        <v>81</v>
      </c>
      <c r="V122" s="3" t="s">
        <v>81</v>
      </c>
      <c r="W122" s="3" t="s">
        <v>81</v>
      </c>
      <c r="X122" s="3" t="s">
        <v>81</v>
      </c>
      <c r="Y122" s="3" t="s">
        <v>81</v>
      </c>
      <c r="Z122" s="3" t="s">
        <v>81</v>
      </c>
      <c r="AA122" s="3" t="s">
        <v>81</v>
      </c>
      <c r="AB122" s="3">
        <v>21.244</v>
      </c>
      <c r="AC122" s="3">
        <v>0</v>
      </c>
      <c r="AD122" s="3" t="s">
        <v>81</v>
      </c>
      <c r="AE122" s="3" t="s">
        <v>81</v>
      </c>
      <c r="AF122" s="3" t="s">
        <v>81</v>
      </c>
      <c r="AG122" s="3" t="s">
        <v>81</v>
      </c>
      <c r="AH122" s="3" t="s">
        <v>81</v>
      </c>
      <c r="AI122" s="3" t="s">
        <v>81</v>
      </c>
      <c r="AJ122" s="3" t="s">
        <v>81</v>
      </c>
      <c r="AK122" s="3" t="s">
        <v>81</v>
      </c>
      <c r="AL122" s="3" t="s">
        <v>81</v>
      </c>
      <c r="AM122" s="3">
        <v>21.228000000000002</v>
      </c>
      <c r="AN122" s="3">
        <v>0</v>
      </c>
      <c r="AO122" s="3" t="s">
        <v>81</v>
      </c>
      <c r="AP122" s="3" t="s">
        <v>81</v>
      </c>
      <c r="AQ122" s="3" t="s">
        <v>81</v>
      </c>
      <c r="AR122" s="3" t="s">
        <v>81</v>
      </c>
      <c r="AS122" s="3" t="s">
        <v>81</v>
      </c>
      <c r="AT122" s="3" t="s">
        <v>81</v>
      </c>
      <c r="AU122" s="3" t="s">
        <v>81</v>
      </c>
      <c r="AV122" s="3" t="s">
        <v>81</v>
      </c>
      <c r="AW122" s="3" t="s">
        <v>81</v>
      </c>
      <c r="AX122" s="3">
        <v>21.177</v>
      </c>
      <c r="AY122" s="3">
        <v>0</v>
      </c>
      <c r="AZ122" s="3" t="s">
        <v>81</v>
      </c>
      <c r="BA122" s="3" t="s">
        <v>81</v>
      </c>
      <c r="BB122" s="3" t="s">
        <v>81</v>
      </c>
      <c r="BC122" s="3" t="s">
        <v>81</v>
      </c>
      <c r="BD122" s="3" t="s">
        <v>81</v>
      </c>
      <c r="BE122" s="3" t="s">
        <v>81</v>
      </c>
      <c r="BF122" s="3" t="s">
        <v>81</v>
      </c>
      <c r="BG122" s="3" t="s">
        <v>81</v>
      </c>
      <c r="BH122" s="3" t="s">
        <v>81</v>
      </c>
      <c r="BI122" s="3" t="s">
        <v>84</v>
      </c>
      <c r="BJ122" s="3" t="s">
        <v>82</v>
      </c>
      <c r="BK122" s="3" t="s">
        <v>83</v>
      </c>
      <c r="BL122" s="3" t="s">
        <v>84</v>
      </c>
      <c r="BM122" s="3" t="s">
        <v>84</v>
      </c>
      <c r="BN122" s="3" t="s">
        <v>84</v>
      </c>
      <c r="BO122" s="3" t="s">
        <v>82</v>
      </c>
      <c r="BP122" s="3" t="s">
        <v>188</v>
      </c>
      <c r="BQ122" s="3" t="s">
        <v>188</v>
      </c>
      <c r="BR122" s="3" t="s">
        <v>188</v>
      </c>
      <c r="BS122" s="3" t="s">
        <v>188</v>
      </c>
      <c r="BT122" s="3" t="s">
        <v>85</v>
      </c>
      <c r="BU122" s="3" t="s">
        <v>81</v>
      </c>
      <c r="BV122" s="3" t="s">
        <v>84</v>
      </c>
      <c r="BW122" s="3" t="s">
        <v>83</v>
      </c>
      <c r="BX122" s="3" t="s">
        <v>82</v>
      </c>
      <c r="BZ122" s="3" t="s">
        <v>86</v>
      </c>
      <c r="CB122" s="3" t="s">
        <v>84</v>
      </c>
    </row>
    <row r="123" spans="1:87" x14ac:dyDescent="0.15">
      <c r="A123" s="3">
        <v>2643347323</v>
      </c>
      <c r="B123" s="3" t="s">
        <v>372</v>
      </c>
      <c r="C123" s="3" t="s">
        <v>372</v>
      </c>
      <c r="D123" s="3">
        <v>7</v>
      </c>
      <c r="E123" s="3">
        <v>11</v>
      </c>
      <c r="F123" s="3">
        <v>30.475999999999999</v>
      </c>
      <c r="G123" s="3">
        <v>0</v>
      </c>
      <c r="H123" s="3" t="s">
        <v>81</v>
      </c>
      <c r="I123" s="3" t="s">
        <v>81</v>
      </c>
      <c r="J123" s="3" t="s">
        <v>81</v>
      </c>
      <c r="K123" s="3" t="s">
        <v>81</v>
      </c>
      <c r="L123" s="3" t="s">
        <v>81</v>
      </c>
      <c r="M123" s="3" t="s">
        <v>81</v>
      </c>
      <c r="N123" s="3" t="s">
        <v>81</v>
      </c>
      <c r="O123" s="3" t="s">
        <v>81</v>
      </c>
      <c r="P123" s="3" t="s">
        <v>81</v>
      </c>
      <c r="Q123" s="3">
        <v>30.648</v>
      </c>
      <c r="R123" s="3">
        <v>0</v>
      </c>
      <c r="S123" s="3" t="s">
        <v>81</v>
      </c>
      <c r="T123" s="3" t="s">
        <v>81</v>
      </c>
      <c r="U123" s="3" t="s">
        <v>81</v>
      </c>
      <c r="V123" s="3" t="s">
        <v>81</v>
      </c>
      <c r="W123" s="3" t="s">
        <v>81</v>
      </c>
      <c r="X123" s="3" t="s">
        <v>81</v>
      </c>
      <c r="Y123" s="3" t="s">
        <v>81</v>
      </c>
      <c r="Z123" s="3" t="s">
        <v>81</v>
      </c>
      <c r="AA123" s="3" t="s">
        <v>81</v>
      </c>
      <c r="AB123" s="3">
        <v>30.88</v>
      </c>
      <c r="AC123" s="3">
        <v>0</v>
      </c>
      <c r="AD123" s="3" t="s">
        <v>81</v>
      </c>
      <c r="AE123" s="3" t="s">
        <v>81</v>
      </c>
      <c r="AF123" s="3" t="s">
        <v>81</v>
      </c>
      <c r="AG123" s="3" t="s">
        <v>81</v>
      </c>
      <c r="AH123" s="3" t="s">
        <v>81</v>
      </c>
      <c r="AI123" s="3" t="s">
        <v>81</v>
      </c>
      <c r="AJ123" s="3" t="s">
        <v>81</v>
      </c>
      <c r="AK123" s="3" t="s">
        <v>81</v>
      </c>
      <c r="AL123" s="3" t="s">
        <v>81</v>
      </c>
      <c r="AM123" s="3">
        <v>29.399000000000001</v>
      </c>
      <c r="AN123" s="3">
        <v>0</v>
      </c>
      <c r="AO123" s="3" t="s">
        <v>81</v>
      </c>
      <c r="AP123" s="3" t="s">
        <v>81</v>
      </c>
      <c r="AQ123" s="3" t="s">
        <v>81</v>
      </c>
      <c r="AR123" s="3" t="s">
        <v>81</v>
      </c>
      <c r="AS123" s="3" t="s">
        <v>81</v>
      </c>
      <c r="AT123" s="3" t="s">
        <v>81</v>
      </c>
      <c r="AU123" s="3" t="s">
        <v>81</v>
      </c>
      <c r="AV123" s="3" t="s">
        <v>81</v>
      </c>
      <c r="AW123" s="3" t="s">
        <v>81</v>
      </c>
      <c r="AX123" s="3">
        <v>31.692</v>
      </c>
      <c r="AY123" s="3">
        <v>0</v>
      </c>
      <c r="AZ123" s="3" t="s">
        <v>81</v>
      </c>
      <c r="BA123" s="3" t="s">
        <v>81</v>
      </c>
      <c r="BB123" s="3" t="s">
        <v>81</v>
      </c>
      <c r="BC123" s="3" t="s">
        <v>81</v>
      </c>
      <c r="BD123" s="3" t="s">
        <v>81</v>
      </c>
      <c r="BE123" s="3" t="s">
        <v>81</v>
      </c>
      <c r="BF123" s="3" t="s">
        <v>81</v>
      </c>
      <c r="BG123" s="3" t="s">
        <v>81</v>
      </c>
      <c r="BH123" s="3" t="s">
        <v>81</v>
      </c>
      <c r="BI123" s="3" t="s">
        <v>82</v>
      </c>
      <c r="BJ123" s="3" t="s">
        <v>84</v>
      </c>
      <c r="BK123" s="3" t="s">
        <v>82</v>
      </c>
      <c r="BL123" s="3" t="s">
        <v>84</v>
      </c>
      <c r="BM123" s="3" t="s">
        <v>84</v>
      </c>
      <c r="BN123" s="3" t="s">
        <v>84</v>
      </c>
      <c r="BO123" s="3" t="s">
        <v>83</v>
      </c>
      <c r="BP123" s="3" t="s">
        <v>81</v>
      </c>
      <c r="BQ123" s="3" t="s">
        <v>81</v>
      </c>
      <c r="BR123" s="3" t="s">
        <v>81</v>
      </c>
      <c r="BS123" s="3" t="s">
        <v>81</v>
      </c>
      <c r="BT123" s="3" t="s">
        <v>81</v>
      </c>
      <c r="BU123" s="3" t="s">
        <v>81</v>
      </c>
      <c r="BV123" s="3" t="s">
        <v>83</v>
      </c>
      <c r="BW123" s="3" t="s">
        <v>83</v>
      </c>
      <c r="BX123" s="3" t="s">
        <v>82</v>
      </c>
      <c r="BY123" s="3" t="s">
        <v>374</v>
      </c>
      <c r="BZ123" s="3" t="s">
        <v>86</v>
      </c>
      <c r="CB123" s="3" t="s">
        <v>84</v>
      </c>
    </row>
    <row r="124" spans="1:87" x14ac:dyDescent="0.15">
      <c r="A124" s="3">
        <v>1228451100</v>
      </c>
      <c r="B124" s="3" t="s">
        <v>250</v>
      </c>
      <c r="C124" s="3" t="s">
        <v>250</v>
      </c>
      <c r="D124" s="3" t="s">
        <v>81</v>
      </c>
      <c r="E124" s="3">
        <v>9</v>
      </c>
      <c r="F124" s="3">
        <v>20.544</v>
      </c>
      <c r="G124" s="3">
        <v>0</v>
      </c>
      <c r="H124" s="3" t="s">
        <v>81</v>
      </c>
      <c r="I124" s="3" t="s">
        <v>81</v>
      </c>
      <c r="J124" s="3" t="s">
        <v>81</v>
      </c>
      <c r="K124" s="3" t="s">
        <v>81</v>
      </c>
      <c r="L124" s="3" t="s">
        <v>81</v>
      </c>
      <c r="M124" s="3" t="s">
        <v>81</v>
      </c>
      <c r="N124" s="3" t="s">
        <v>81</v>
      </c>
      <c r="O124" s="3" t="s">
        <v>81</v>
      </c>
      <c r="P124" s="3" t="s">
        <v>81</v>
      </c>
      <c r="Q124" s="3">
        <v>23.85</v>
      </c>
      <c r="R124" s="3">
        <v>0</v>
      </c>
      <c r="S124" s="3" t="s">
        <v>81</v>
      </c>
      <c r="T124" s="3" t="s">
        <v>81</v>
      </c>
      <c r="U124" s="3" t="s">
        <v>81</v>
      </c>
      <c r="V124" s="3" t="s">
        <v>81</v>
      </c>
      <c r="W124" s="3" t="s">
        <v>81</v>
      </c>
      <c r="X124" s="3" t="s">
        <v>81</v>
      </c>
      <c r="Y124" s="3" t="s">
        <v>81</v>
      </c>
      <c r="Z124" s="3" t="s">
        <v>81</v>
      </c>
      <c r="AA124" s="3" t="s">
        <v>81</v>
      </c>
      <c r="AB124" s="3">
        <v>24.663</v>
      </c>
      <c r="AC124" s="3">
        <v>0</v>
      </c>
      <c r="AD124" s="3" t="s">
        <v>81</v>
      </c>
      <c r="AE124" s="3" t="s">
        <v>81</v>
      </c>
      <c r="AF124" s="3" t="s">
        <v>81</v>
      </c>
      <c r="AG124" s="3" t="s">
        <v>81</v>
      </c>
      <c r="AH124" s="3" t="s">
        <v>81</v>
      </c>
      <c r="AI124" s="3" t="s">
        <v>81</v>
      </c>
      <c r="AJ124" s="3" t="s">
        <v>81</v>
      </c>
      <c r="AK124" s="3" t="s">
        <v>81</v>
      </c>
      <c r="AL124" s="3" t="s">
        <v>81</v>
      </c>
      <c r="AM124" s="3">
        <v>22.672000000000001</v>
      </c>
      <c r="AN124" s="3">
        <v>0</v>
      </c>
      <c r="AO124" s="3" t="s">
        <v>81</v>
      </c>
      <c r="AP124" s="3" t="s">
        <v>81</v>
      </c>
      <c r="AQ124" s="3" t="s">
        <v>81</v>
      </c>
      <c r="AR124" s="3" t="s">
        <v>81</v>
      </c>
      <c r="AS124" s="3" t="s">
        <v>81</v>
      </c>
      <c r="AT124" s="3" t="s">
        <v>81</v>
      </c>
      <c r="AU124" s="3" t="s">
        <v>81</v>
      </c>
      <c r="AV124" s="3" t="s">
        <v>81</v>
      </c>
      <c r="AW124" s="3" t="s">
        <v>81</v>
      </c>
      <c r="AX124" s="3">
        <v>19.050999999999998</v>
      </c>
      <c r="AY124" s="3">
        <v>0</v>
      </c>
      <c r="AZ124" s="3" t="s">
        <v>81</v>
      </c>
      <c r="BA124" s="3" t="s">
        <v>81</v>
      </c>
      <c r="BB124" s="3" t="s">
        <v>81</v>
      </c>
      <c r="BC124" s="3" t="s">
        <v>81</v>
      </c>
      <c r="BD124" s="3" t="s">
        <v>81</v>
      </c>
      <c r="BE124" s="3" t="s">
        <v>81</v>
      </c>
      <c r="BF124" s="3" t="s">
        <v>81</v>
      </c>
      <c r="BG124" s="3" t="s">
        <v>81</v>
      </c>
      <c r="BH124" s="3" t="s">
        <v>81</v>
      </c>
      <c r="BI124" s="3" t="s">
        <v>84</v>
      </c>
      <c r="BJ124" s="3" t="s">
        <v>84</v>
      </c>
      <c r="BK124" s="3" t="s">
        <v>84</v>
      </c>
      <c r="BL124" s="3" t="s">
        <v>84</v>
      </c>
      <c r="BM124" s="3" t="s">
        <v>84</v>
      </c>
      <c r="BN124" s="3" t="s">
        <v>84</v>
      </c>
      <c r="BO124" s="3" t="s">
        <v>82</v>
      </c>
      <c r="BP124" s="3" t="s">
        <v>87</v>
      </c>
      <c r="BQ124" s="3" t="s">
        <v>87</v>
      </c>
      <c r="BR124" s="3" t="s">
        <v>87</v>
      </c>
      <c r="BS124" s="3" t="s">
        <v>87</v>
      </c>
      <c r="BT124" s="3" t="s">
        <v>87</v>
      </c>
      <c r="BU124" s="3" t="s">
        <v>81</v>
      </c>
      <c r="BV124" s="3" t="s">
        <v>84</v>
      </c>
      <c r="BW124" s="3" t="s">
        <v>83</v>
      </c>
      <c r="BX124" s="3" t="s">
        <v>82</v>
      </c>
      <c r="BY124" s="3" t="s">
        <v>251</v>
      </c>
      <c r="BZ124" s="3" t="s">
        <v>93</v>
      </c>
      <c r="CA124" s="3" t="s">
        <v>232</v>
      </c>
      <c r="CB124" s="3" t="s">
        <v>84</v>
      </c>
    </row>
    <row r="125" spans="1:87" x14ac:dyDescent="0.15">
      <c r="A125" s="3">
        <v>1228474463</v>
      </c>
      <c r="B125" s="3" t="s">
        <v>250</v>
      </c>
      <c r="C125" s="3" t="s">
        <v>250</v>
      </c>
      <c r="D125" s="3" t="s">
        <v>81</v>
      </c>
      <c r="E125" s="3">
        <v>33</v>
      </c>
      <c r="F125" s="3">
        <v>28.876000000000001</v>
      </c>
      <c r="G125" s="3">
        <v>0</v>
      </c>
      <c r="H125" s="3" t="s">
        <v>81</v>
      </c>
      <c r="I125" s="3" t="s">
        <v>81</v>
      </c>
      <c r="J125" s="3" t="s">
        <v>81</v>
      </c>
      <c r="K125" s="3" t="s">
        <v>81</v>
      </c>
      <c r="L125" s="3" t="s">
        <v>81</v>
      </c>
      <c r="M125" s="3" t="s">
        <v>81</v>
      </c>
      <c r="N125" s="3" t="s">
        <v>81</v>
      </c>
      <c r="O125" s="3" t="s">
        <v>81</v>
      </c>
      <c r="P125" s="3" t="s">
        <v>81</v>
      </c>
      <c r="Q125" s="3">
        <v>26.556999999999999</v>
      </c>
      <c r="R125" s="3">
        <v>0</v>
      </c>
      <c r="S125" s="3" t="s">
        <v>81</v>
      </c>
      <c r="T125" s="3" t="s">
        <v>81</v>
      </c>
      <c r="U125" s="3" t="s">
        <v>81</v>
      </c>
      <c r="V125" s="3" t="s">
        <v>81</v>
      </c>
      <c r="W125" s="3" t="s">
        <v>81</v>
      </c>
      <c r="X125" s="3" t="s">
        <v>81</v>
      </c>
      <c r="Y125" s="3" t="s">
        <v>81</v>
      </c>
      <c r="Z125" s="3" t="s">
        <v>81</v>
      </c>
      <c r="AA125" s="3" t="s">
        <v>81</v>
      </c>
      <c r="AB125" s="3">
        <v>33.177999999999997</v>
      </c>
      <c r="AC125" s="3">
        <v>0</v>
      </c>
      <c r="AD125" s="3" t="s">
        <v>81</v>
      </c>
      <c r="AE125" s="3" t="s">
        <v>81</v>
      </c>
      <c r="AF125" s="3" t="s">
        <v>81</v>
      </c>
      <c r="AG125" s="3" t="s">
        <v>81</v>
      </c>
      <c r="AH125" s="3" t="s">
        <v>81</v>
      </c>
      <c r="AI125" s="3" t="s">
        <v>81</v>
      </c>
      <c r="AJ125" s="3" t="s">
        <v>81</v>
      </c>
      <c r="AK125" s="3" t="s">
        <v>81</v>
      </c>
      <c r="AL125" s="3" t="s">
        <v>81</v>
      </c>
      <c r="AM125" s="3">
        <v>28.754999999999999</v>
      </c>
      <c r="AN125" s="3">
        <v>0</v>
      </c>
      <c r="AO125" s="3" t="s">
        <v>81</v>
      </c>
      <c r="AP125" s="3" t="s">
        <v>81</v>
      </c>
      <c r="AQ125" s="3" t="s">
        <v>81</v>
      </c>
      <c r="AR125" s="3" t="s">
        <v>81</v>
      </c>
      <c r="AS125" s="3" t="s">
        <v>81</v>
      </c>
      <c r="AT125" s="3" t="s">
        <v>81</v>
      </c>
      <c r="AU125" s="3" t="s">
        <v>81</v>
      </c>
      <c r="AV125" s="3" t="s">
        <v>81</v>
      </c>
      <c r="AW125" s="3" t="s">
        <v>81</v>
      </c>
      <c r="AX125" s="3">
        <v>26.931000000000001</v>
      </c>
      <c r="AY125" s="3">
        <v>0</v>
      </c>
      <c r="AZ125" s="3" t="s">
        <v>81</v>
      </c>
      <c r="BA125" s="3" t="s">
        <v>81</v>
      </c>
      <c r="BB125" s="3" t="s">
        <v>81</v>
      </c>
      <c r="BC125" s="3" t="s">
        <v>81</v>
      </c>
      <c r="BD125" s="3" t="s">
        <v>81</v>
      </c>
      <c r="BE125" s="3" t="s">
        <v>81</v>
      </c>
      <c r="BF125" s="3" t="s">
        <v>81</v>
      </c>
      <c r="BG125" s="3" t="s">
        <v>81</v>
      </c>
      <c r="BH125" s="3" t="s">
        <v>81</v>
      </c>
      <c r="BI125" s="3" t="s">
        <v>84</v>
      </c>
      <c r="BJ125" s="3" t="s">
        <v>82</v>
      </c>
      <c r="BK125" s="3" t="s">
        <v>83</v>
      </c>
      <c r="BL125" s="3" t="s">
        <v>84</v>
      </c>
      <c r="BM125" s="3" t="s">
        <v>84</v>
      </c>
      <c r="BN125" s="3" t="s">
        <v>84</v>
      </c>
      <c r="BO125" s="3" t="s">
        <v>82</v>
      </c>
      <c r="BP125" s="3" t="s">
        <v>87</v>
      </c>
      <c r="BQ125" s="3" t="s">
        <v>87</v>
      </c>
      <c r="BR125" s="3" t="s">
        <v>87</v>
      </c>
      <c r="BS125" s="3" t="s">
        <v>87</v>
      </c>
      <c r="BT125" s="3" t="s">
        <v>87</v>
      </c>
      <c r="BU125" s="3" t="s">
        <v>81</v>
      </c>
      <c r="BV125" s="3" t="s">
        <v>84</v>
      </c>
      <c r="BW125" s="3" t="s">
        <v>83</v>
      </c>
      <c r="BX125" s="3" t="s">
        <v>82</v>
      </c>
      <c r="BY125" s="3" t="s">
        <v>159</v>
      </c>
      <c r="BZ125" s="3" t="s">
        <v>93</v>
      </c>
      <c r="CB125" s="3" t="s">
        <v>84</v>
      </c>
    </row>
    <row r="126" spans="1:87" x14ac:dyDescent="0.15">
      <c r="A126" s="3">
        <v>2625849416</v>
      </c>
      <c r="B126" s="3" t="s">
        <v>250</v>
      </c>
      <c r="C126" s="3" t="s">
        <v>250</v>
      </c>
      <c r="D126" s="3" t="s">
        <v>81</v>
      </c>
      <c r="E126" s="3">
        <v>62</v>
      </c>
      <c r="F126" s="3">
        <v>30.358000000000001</v>
      </c>
      <c r="G126" s="3">
        <v>0</v>
      </c>
      <c r="H126" s="3" t="s">
        <v>81</v>
      </c>
      <c r="I126" s="3" t="s">
        <v>81</v>
      </c>
      <c r="J126" s="3" t="s">
        <v>81</v>
      </c>
      <c r="K126" s="3" t="s">
        <v>81</v>
      </c>
      <c r="L126" s="3" t="s">
        <v>81</v>
      </c>
      <c r="M126" s="3" t="s">
        <v>81</v>
      </c>
      <c r="N126" s="3" t="s">
        <v>81</v>
      </c>
      <c r="O126" s="3" t="s">
        <v>81</v>
      </c>
      <c r="P126" s="3" t="s">
        <v>81</v>
      </c>
      <c r="Q126" s="3">
        <v>31.202999999999999</v>
      </c>
      <c r="R126" s="3">
        <v>0</v>
      </c>
      <c r="S126" s="3" t="s">
        <v>81</v>
      </c>
      <c r="T126" s="3" t="s">
        <v>81</v>
      </c>
      <c r="U126" s="3" t="s">
        <v>81</v>
      </c>
      <c r="V126" s="3" t="s">
        <v>81</v>
      </c>
      <c r="W126" s="3" t="s">
        <v>81</v>
      </c>
      <c r="X126" s="3" t="s">
        <v>81</v>
      </c>
      <c r="Y126" s="3" t="s">
        <v>81</v>
      </c>
      <c r="Z126" s="3" t="s">
        <v>81</v>
      </c>
      <c r="AA126" s="3" t="s">
        <v>81</v>
      </c>
      <c r="AB126" s="3">
        <v>30.797000000000001</v>
      </c>
      <c r="AC126" s="3">
        <v>0</v>
      </c>
      <c r="AD126" s="3" t="s">
        <v>81</v>
      </c>
      <c r="AE126" s="3" t="s">
        <v>81</v>
      </c>
      <c r="AF126" s="3" t="s">
        <v>81</v>
      </c>
      <c r="AG126" s="3" t="s">
        <v>81</v>
      </c>
      <c r="AH126" s="3" t="s">
        <v>81</v>
      </c>
      <c r="AI126" s="3" t="s">
        <v>81</v>
      </c>
      <c r="AJ126" s="3" t="s">
        <v>81</v>
      </c>
      <c r="AK126" s="3" t="s">
        <v>81</v>
      </c>
      <c r="AL126" s="3" t="s">
        <v>81</v>
      </c>
      <c r="AM126" s="3">
        <v>27.039000000000001</v>
      </c>
      <c r="AN126" s="3">
        <v>0</v>
      </c>
      <c r="AO126" s="3" t="s">
        <v>81</v>
      </c>
      <c r="AP126" s="3" t="s">
        <v>81</v>
      </c>
      <c r="AQ126" s="3" t="s">
        <v>81</v>
      </c>
      <c r="AR126" s="3" t="s">
        <v>81</v>
      </c>
      <c r="AS126" s="3" t="s">
        <v>81</v>
      </c>
      <c r="AT126" s="3" t="s">
        <v>81</v>
      </c>
      <c r="AU126" s="3" t="s">
        <v>81</v>
      </c>
      <c r="AV126" s="3" t="s">
        <v>81</v>
      </c>
      <c r="AW126" s="3" t="s">
        <v>81</v>
      </c>
      <c r="AX126" s="3">
        <v>37.518000000000001</v>
      </c>
      <c r="AY126" s="3">
        <v>0</v>
      </c>
      <c r="AZ126" s="3" t="s">
        <v>81</v>
      </c>
      <c r="BA126" s="3" t="s">
        <v>81</v>
      </c>
      <c r="BB126" s="3" t="s">
        <v>81</v>
      </c>
      <c r="BC126" s="3" t="s">
        <v>81</v>
      </c>
      <c r="BD126" s="3" t="s">
        <v>81</v>
      </c>
      <c r="BE126" s="3" t="s">
        <v>81</v>
      </c>
      <c r="BF126" s="3" t="s">
        <v>81</v>
      </c>
      <c r="BG126" s="3" t="s">
        <v>81</v>
      </c>
      <c r="BH126" s="3" t="s">
        <v>81</v>
      </c>
      <c r="BI126" s="3" t="s">
        <v>84</v>
      </c>
      <c r="BJ126" s="3" t="s">
        <v>82</v>
      </c>
      <c r="BK126" s="3" t="s">
        <v>83</v>
      </c>
      <c r="BL126" s="3" t="s">
        <v>84</v>
      </c>
      <c r="BM126" s="3" t="s">
        <v>84</v>
      </c>
      <c r="BN126" s="3" t="s">
        <v>82</v>
      </c>
      <c r="BO126" s="3" t="s">
        <v>84</v>
      </c>
      <c r="BP126" s="3" t="s">
        <v>87</v>
      </c>
      <c r="BQ126" s="3" t="s">
        <v>87</v>
      </c>
      <c r="BR126" s="3" t="s">
        <v>87</v>
      </c>
      <c r="BS126" s="3" t="s">
        <v>87</v>
      </c>
      <c r="BT126" s="3" t="s">
        <v>87</v>
      </c>
      <c r="BU126" s="3" t="s">
        <v>81</v>
      </c>
      <c r="BV126" s="3" t="s">
        <v>84</v>
      </c>
      <c r="BW126" s="3" t="s">
        <v>83</v>
      </c>
      <c r="BX126" s="3" t="s">
        <v>82</v>
      </c>
      <c r="BY126" s="3" t="s">
        <v>252</v>
      </c>
      <c r="BZ126" s="3" t="s">
        <v>86</v>
      </c>
      <c r="CB126" s="3" t="s">
        <v>84</v>
      </c>
    </row>
    <row r="127" spans="1:87" x14ac:dyDescent="0.15">
      <c r="A127" s="3">
        <v>2625910617</v>
      </c>
      <c r="B127" s="3" t="s">
        <v>250</v>
      </c>
      <c r="C127" s="3" t="s">
        <v>250</v>
      </c>
      <c r="D127" s="3">
        <v>6</v>
      </c>
      <c r="E127" s="3">
        <v>16</v>
      </c>
      <c r="F127" s="3">
        <v>20.175000000000001</v>
      </c>
      <c r="G127" s="3">
        <v>0</v>
      </c>
      <c r="H127" s="3" t="s">
        <v>81</v>
      </c>
      <c r="I127" s="3" t="s">
        <v>81</v>
      </c>
      <c r="J127" s="3" t="s">
        <v>81</v>
      </c>
      <c r="K127" s="3" t="s">
        <v>81</v>
      </c>
      <c r="L127" s="3" t="s">
        <v>81</v>
      </c>
      <c r="M127" s="3" t="s">
        <v>81</v>
      </c>
      <c r="N127" s="3" t="s">
        <v>81</v>
      </c>
      <c r="O127" s="3" t="s">
        <v>81</v>
      </c>
      <c r="P127" s="3" t="s">
        <v>81</v>
      </c>
      <c r="Q127" s="3">
        <v>17.369</v>
      </c>
      <c r="R127" s="3">
        <v>0</v>
      </c>
      <c r="S127" s="3" t="s">
        <v>81</v>
      </c>
      <c r="T127" s="3" t="s">
        <v>81</v>
      </c>
      <c r="U127" s="3" t="s">
        <v>81</v>
      </c>
      <c r="V127" s="3" t="s">
        <v>81</v>
      </c>
      <c r="W127" s="3" t="s">
        <v>81</v>
      </c>
      <c r="X127" s="3" t="s">
        <v>81</v>
      </c>
      <c r="Y127" s="3" t="s">
        <v>81</v>
      </c>
      <c r="Z127" s="3" t="s">
        <v>81</v>
      </c>
      <c r="AA127" s="3" t="s">
        <v>81</v>
      </c>
      <c r="AB127" s="3">
        <v>17.638999999999999</v>
      </c>
      <c r="AC127" s="3">
        <v>0</v>
      </c>
      <c r="AD127" s="3" t="s">
        <v>81</v>
      </c>
      <c r="AE127" s="3" t="s">
        <v>81</v>
      </c>
      <c r="AF127" s="3" t="s">
        <v>81</v>
      </c>
      <c r="AG127" s="3" t="s">
        <v>81</v>
      </c>
      <c r="AH127" s="3" t="s">
        <v>81</v>
      </c>
      <c r="AI127" s="3" t="s">
        <v>81</v>
      </c>
      <c r="AJ127" s="3" t="s">
        <v>81</v>
      </c>
      <c r="AK127" s="3" t="s">
        <v>81</v>
      </c>
      <c r="AL127" s="3" t="s">
        <v>81</v>
      </c>
      <c r="AM127" s="3">
        <v>21.327999999999999</v>
      </c>
      <c r="AN127" s="3">
        <v>0</v>
      </c>
      <c r="AO127" s="3" t="s">
        <v>81</v>
      </c>
      <c r="AP127" s="3" t="s">
        <v>81</v>
      </c>
      <c r="AQ127" s="3" t="s">
        <v>81</v>
      </c>
      <c r="AR127" s="3" t="s">
        <v>81</v>
      </c>
      <c r="AS127" s="3" t="s">
        <v>81</v>
      </c>
      <c r="AT127" s="3" t="s">
        <v>81</v>
      </c>
      <c r="AU127" s="3" t="s">
        <v>81</v>
      </c>
      <c r="AV127" s="3" t="s">
        <v>81</v>
      </c>
      <c r="AW127" s="3" t="s">
        <v>81</v>
      </c>
      <c r="AX127" s="3">
        <v>18.163</v>
      </c>
      <c r="AY127" s="3">
        <v>0</v>
      </c>
      <c r="AZ127" s="3" t="s">
        <v>81</v>
      </c>
      <c r="BA127" s="3" t="s">
        <v>81</v>
      </c>
      <c r="BB127" s="3" t="s">
        <v>81</v>
      </c>
      <c r="BC127" s="3" t="s">
        <v>81</v>
      </c>
      <c r="BD127" s="3" t="s">
        <v>81</v>
      </c>
      <c r="BE127" s="3" t="s">
        <v>81</v>
      </c>
      <c r="BF127" s="3" t="s">
        <v>81</v>
      </c>
      <c r="BG127" s="3" t="s">
        <v>81</v>
      </c>
      <c r="BH127" s="3" t="s">
        <v>81</v>
      </c>
      <c r="BI127" s="3" t="s">
        <v>84</v>
      </c>
      <c r="BJ127" s="3" t="s">
        <v>82</v>
      </c>
      <c r="BK127" s="3" t="s">
        <v>83</v>
      </c>
      <c r="BL127" s="3" t="s">
        <v>84</v>
      </c>
      <c r="BM127" s="3" t="s">
        <v>84</v>
      </c>
      <c r="BN127" s="3" t="s">
        <v>84</v>
      </c>
      <c r="BO127" s="3" t="s">
        <v>82</v>
      </c>
      <c r="BP127" s="3" t="s">
        <v>87</v>
      </c>
      <c r="BQ127" s="3" t="s">
        <v>87</v>
      </c>
      <c r="BR127" s="3" t="s">
        <v>87</v>
      </c>
      <c r="BS127" s="3" t="s">
        <v>87</v>
      </c>
      <c r="BT127" s="3" t="s">
        <v>87</v>
      </c>
      <c r="BU127" s="3" t="s">
        <v>81</v>
      </c>
      <c r="BV127" s="3" t="s">
        <v>84</v>
      </c>
      <c r="BW127" s="3" t="s">
        <v>83</v>
      </c>
      <c r="BX127" s="3" t="s">
        <v>82</v>
      </c>
      <c r="BZ127" s="3" t="s">
        <v>86</v>
      </c>
      <c r="CB127" s="3" t="s">
        <v>84</v>
      </c>
    </row>
    <row r="128" spans="1:87" x14ac:dyDescent="0.15">
      <c r="A128" s="3">
        <v>2625861943</v>
      </c>
      <c r="B128" s="3" t="s">
        <v>250</v>
      </c>
      <c r="C128" s="3" t="s">
        <v>250</v>
      </c>
      <c r="D128" s="3" t="s">
        <v>81</v>
      </c>
      <c r="E128" s="3">
        <v>14</v>
      </c>
      <c r="F128" s="3">
        <v>19.661999999999999</v>
      </c>
      <c r="G128" s="3">
        <v>0</v>
      </c>
      <c r="H128" s="3" t="s">
        <v>81</v>
      </c>
      <c r="I128" s="3" t="s">
        <v>81</v>
      </c>
      <c r="J128" s="3" t="s">
        <v>81</v>
      </c>
      <c r="K128" s="3" t="s">
        <v>81</v>
      </c>
      <c r="L128" s="3" t="s">
        <v>81</v>
      </c>
      <c r="M128" s="3" t="s">
        <v>81</v>
      </c>
      <c r="N128" s="3" t="s">
        <v>81</v>
      </c>
      <c r="O128" s="3" t="s">
        <v>81</v>
      </c>
      <c r="P128" s="3" t="s">
        <v>81</v>
      </c>
      <c r="Q128" s="3">
        <v>17.756</v>
      </c>
      <c r="R128" s="3">
        <v>0</v>
      </c>
      <c r="S128" s="3" t="s">
        <v>81</v>
      </c>
      <c r="T128" s="3" t="s">
        <v>81</v>
      </c>
      <c r="U128" s="3" t="s">
        <v>81</v>
      </c>
      <c r="V128" s="3" t="s">
        <v>81</v>
      </c>
      <c r="W128" s="3" t="s">
        <v>81</v>
      </c>
      <c r="X128" s="3" t="s">
        <v>81</v>
      </c>
      <c r="Y128" s="3" t="s">
        <v>81</v>
      </c>
      <c r="Z128" s="3" t="s">
        <v>81</v>
      </c>
      <c r="AA128" s="3" t="s">
        <v>81</v>
      </c>
      <c r="AB128" s="3">
        <v>19.474</v>
      </c>
      <c r="AC128" s="3">
        <v>0</v>
      </c>
      <c r="AD128" s="3" t="s">
        <v>81</v>
      </c>
      <c r="AE128" s="3" t="s">
        <v>81</v>
      </c>
      <c r="AF128" s="3" t="s">
        <v>81</v>
      </c>
      <c r="AG128" s="3" t="s">
        <v>81</v>
      </c>
      <c r="AH128" s="3" t="s">
        <v>81</v>
      </c>
      <c r="AI128" s="3" t="s">
        <v>81</v>
      </c>
      <c r="AJ128" s="3" t="s">
        <v>81</v>
      </c>
      <c r="AK128" s="3" t="s">
        <v>81</v>
      </c>
      <c r="AL128" s="3" t="s">
        <v>81</v>
      </c>
      <c r="AM128" s="3">
        <v>16.968</v>
      </c>
      <c r="AN128" s="3">
        <v>0</v>
      </c>
      <c r="AO128" s="3" t="s">
        <v>81</v>
      </c>
      <c r="AP128" s="3" t="s">
        <v>81</v>
      </c>
      <c r="AQ128" s="3" t="s">
        <v>81</v>
      </c>
      <c r="AR128" s="3" t="s">
        <v>81</v>
      </c>
      <c r="AS128" s="3" t="s">
        <v>81</v>
      </c>
      <c r="AT128" s="3" t="s">
        <v>81</v>
      </c>
      <c r="AU128" s="3" t="s">
        <v>81</v>
      </c>
      <c r="AV128" s="3" t="s">
        <v>81</v>
      </c>
      <c r="AW128" s="3" t="s">
        <v>81</v>
      </c>
      <c r="AX128" s="3">
        <v>17.286999999999999</v>
      </c>
      <c r="AY128" s="3">
        <v>0</v>
      </c>
      <c r="AZ128" s="3" t="s">
        <v>81</v>
      </c>
      <c r="BA128" s="3" t="s">
        <v>81</v>
      </c>
      <c r="BB128" s="3" t="s">
        <v>81</v>
      </c>
      <c r="BC128" s="3" t="s">
        <v>81</v>
      </c>
      <c r="BD128" s="3" t="s">
        <v>81</v>
      </c>
      <c r="BE128" s="3" t="s">
        <v>81</v>
      </c>
      <c r="BF128" s="3" t="s">
        <v>81</v>
      </c>
      <c r="BG128" s="3" t="s">
        <v>81</v>
      </c>
      <c r="BH128" s="3" t="s">
        <v>81</v>
      </c>
      <c r="BI128" s="3" t="s">
        <v>84</v>
      </c>
      <c r="BJ128" s="3" t="s">
        <v>82</v>
      </c>
      <c r="BK128" s="3" t="s">
        <v>83</v>
      </c>
      <c r="BL128" s="3" t="s">
        <v>84</v>
      </c>
      <c r="BM128" s="3" t="s">
        <v>84</v>
      </c>
      <c r="BN128" s="3" t="s">
        <v>84</v>
      </c>
      <c r="BO128" s="3" t="s">
        <v>82</v>
      </c>
      <c r="BP128" s="3" t="s">
        <v>87</v>
      </c>
      <c r="BQ128" s="3" t="s">
        <v>87</v>
      </c>
      <c r="BR128" s="3" t="s">
        <v>87</v>
      </c>
      <c r="BS128" s="3" t="s">
        <v>87</v>
      </c>
      <c r="BT128" s="3" t="s">
        <v>87</v>
      </c>
      <c r="BU128" s="3" t="s">
        <v>81</v>
      </c>
      <c r="BV128" s="3" t="s">
        <v>84</v>
      </c>
      <c r="BW128" s="3" t="s">
        <v>83</v>
      </c>
      <c r="BX128" s="3" t="s">
        <v>82</v>
      </c>
      <c r="BZ128" s="3" t="s">
        <v>86</v>
      </c>
      <c r="CB128" s="3" t="s">
        <v>84</v>
      </c>
    </row>
    <row r="129" spans="1:87" ht="15.75" customHeight="1" x14ac:dyDescent="0.15">
      <c r="A129" s="3">
        <v>1228607592</v>
      </c>
      <c r="B129" s="3" t="s">
        <v>104</v>
      </c>
      <c r="C129" s="3" t="s">
        <v>104</v>
      </c>
      <c r="D129" s="3">
        <v>2</v>
      </c>
      <c r="E129" s="3">
        <v>4</v>
      </c>
      <c r="F129" s="3">
        <v>28.545999999999999</v>
      </c>
      <c r="G129" s="3">
        <v>0</v>
      </c>
      <c r="H129" s="3" t="s">
        <v>81</v>
      </c>
      <c r="I129" s="3" t="s">
        <v>81</v>
      </c>
      <c r="J129" s="3" t="s">
        <v>81</v>
      </c>
      <c r="K129" s="3" t="s">
        <v>81</v>
      </c>
      <c r="L129" s="3" t="s">
        <v>81</v>
      </c>
      <c r="M129" s="3" t="s">
        <v>81</v>
      </c>
      <c r="N129" s="3" t="s">
        <v>81</v>
      </c>
      <c r="O129" s="3" t="s">
        <v>81</v>
      </c>
      <c r="P129" s="3" t="s">
        <v>81</v>
      </c>
      <c r="Q129" s="3">
        <v>31.123000000000001</v>
      </c>
      <c r="R129" s="3">
        <v>0</v>
      </c>
      <c r="S129" s="3" t="s">
        <v>81</v>
      </c>
      <c r="T129" s="3" t="s">
        <v>81</v>
      </c>
      <c r="U129" s="3" t="s">
        <v>81</v>
      </c>
      <c r="V129" s="3" t="s">
        <v>81</v>
      </c>
      <c r="W129" s="3" t="s">
        <v>81</v>
      </c>
      <c r="X129" s="3" t="s">
        <v>81</v>
      </c>
      <c r="Y129" s="3" t="s">
        <v>81</v>
      </c>
      <c r="Z129" s="3" t="s">
        <v>81</v>
      </c>
      <c r="AA129" s="3" t="s">
        <v>81</v>
      </c>
      <c r="AB129" s="3">
        <v>29.957999999999998</v>
      </c>
      <c r="AC129" s="3">
        <v>0</v>
      </c>
      <c r="AD129" s="3" t="s">
        <v>81</v>
      </c>
      <c r="AE129" s="3" t="s">
        <v>81</v>
      </c>
      <c r="AF129" s="3" t="s">
        <v>81</v>
      </c>
      <c r="AG129" s="3" t="s">
        <v>81</v>
      </c>
      <c r="AH129" s="3" t="s">
        <v>81</v>
      </c>
      <c r="AI129" s="3" t="s">
        <v>81</v>
      </c>
      <c r="AJ129" s="3" t="s">
        <v>81</v>
      </c>
      <c r="AK129" s="3" t="s">
        <v>81</v>
      </c>
      <c r="AL129" s="3" t="s">
        <v>81</v>
      </c>
      <c r="AM129" s="3" t="s">
        <v>81</v>
      </c>
      <c r="AN129" s="3" t="s">
        <v>81</v>
      </c>
      <c r="AO129" s="3" t="s">
        <v>81</v>
      </c>
      <c r="AP129" s="3" t="s">
        <v>81</v>
      </c>
      <c r="AQ129" s="3" t="s">
        <v>81</v>
      </c>
      <c r="AR129" s="3" t="s">
        <v>81</v>
      </c>
      <c r="AS129" s="3" t="s">
        <v>81</v>
      </c>
      <c r="AT129" s="3" t="s">
        <v>81</v>
      </c>
      <c r="AU129" s="3" t="s">
        <v>81</v>
      </c>
      <c r="AV129" s="3" t="s">
        <v>81</v>
      </c>
      <c r="AW129" s="3" t="s">
        <v>81</v>
      </c>
      <c r="AX129" s="3" t="s">
        <v>81</v>
      </c>
      <c r="AY129" s="3" t="s">
        <v>81</v>
      </c>
      <c r="AZ129" s="3" t="s">
        <v>81</v>
      </c>
      <c r="BA129" s="3" t="s">
        <v>81</v>
      </c>
      <c r="BB129" s="3" t="s">
        <v>81</v>
      </c>
      <c r="BC129" s="3" t="s">
        <v>81</v>
      </c>
      <c r="BD129" s="3" t="s">
        <v>81</v>
      </c>
      <c r="BE129" s="3" t="s">
        <v>81</v>
      </c>
      <c r="BF129" s="3" t="s">
        <v>81</v>
      </c>
      <c r="BG129" s="3" t="s">
        <v>81</v>
      </c>
      <c r="BH129" s="3" t="s">
        <v>81</v>
      </c>
      <c r="BI129" s="3" t="s">
        <v>82</v>
      </c>
      <c r="BJ129" s="3" t="s">
        <v>82</v>
      </c>
      <c r="BK129" s="3" t="s">
        <v>83</v>
      </c>
      <c r="BL129" s="3" t="s">
        <v>84</v>
      </c>
      <c r="BM129" s="3" t="s">
        <v>84</v>
      </c>
      <c r="BN129" s="3" t="s">
        <v>84</v>
      </c>
      <c r="BO129" s="3" t="s">
        <v>84</v>
      </c>
      <c r="BP129" s="3" t="s">
        <v>87</v>
      </c>
      <c r="BQ129" s="3" t="s">
        <v>87</v>
      </c>
      <c r="BR129" s="3" t="s">
        <v>87</v>
      </c>
      <c r="BS129" s="3" t="s">
        <v>87</v>
      </c>
      <c r="BT129" s="3" t="s">
        <v>87</v>
      </c>
      <c r="BU129" s="3" t="s">
        <v>81</v>
      </c>
      <c r="BV129" s="3" t="s">
        <v>84</v>
      </c>
      <c r="BW129" s="3" t="s">
        <v>83</v>
      </c>
      <c r="BX129" s="3" t="s">
        <v>82</v>
      </c>
      <c r="BY129" s="3" t="s">
        <v>105</v>
      </c>
      <c r="BZ129" s="3" t="s">
        <v>93</v>
      </c>
      <c r="CA129" s="3" t="s">
        <v>103</v>
      </c>
      <c r="CB129" s="3" t="s">
        <v>84</v>
      </c>
      <c r="CC129" s="3"/>
      <c r="CD129" s="3" t="s">
        <v>83</v>
      </c>
      <c r="CE129" s="3"/>
      <c r="CF129" s="3"/>
      <c r="CG129" s="3"/>
      <c r="CH129" s="3"/>
      <c r="CI129" s="3"/>
    </row>
    <row r="130" spans="1:87" ht="15.75" customHeight="1" x14ac:dyDescent="0.15">
      <c r="A130" s="3">
        <v>1318340552</v>
      </c>
      <c r="B130" s="3" t="s">
        <v>104</v>
      </c>
      <c r="C130" s="3" t="s">
        <v>104</v>
      </c>
      <c r="D130" s="3">
        <v>3</v>
      </c>
      <c r="E130" s="3">
        <v>3</v>
      </c>
      <c r="F130" s="3">
        <v>33.643000000000001</v>
      </c>
      <c r="G130" s="3">
        <v>2</v>
      </c>
      <c r="H130" s="3">
        <v>20.204000000000001</v>
      </c>
      <c r="I130" s="3">
        <v>10.728</v>
      </c>
      <c r="J130" s="3">
        <v>10.231999999999999</v>
      </c>
      <c r="K130" s="3">
        <v>10.291</v>
      </c>
      <c r="L130" s="3">
        <v>1.556</v>
      </c>
      <c r="M130" s="3" t="s">
        <v>81</v>
      </c>
      <c r="N130" s="3" t="s">
        <v>81</v>
      </c>
      <c r="O130" s="3" t="s">
        <v>81</v>
      </c>
      <c r="P130" s="3" t="s">
        <v>81</v>
      </c>
      <c r="Q130" s="3">
        <v>35.966000000000001</v>
      </c>
      <c r="R130" s="3">
        <v>2</v>
      </c>
      <c r="S130" s="3">
        <v>22.931000000000001</v>
      </c>
      <c r="T130" s="3">
        <v>14.654</v>
      </c>
      <c r="U130" s="3">
        <v>11.795999999999999</v>
      </c>
      <c r="V130" s="3">
        <v>13.039</v>
      </c>
      <c r="W130" s="3">
        <v>1.0640000000000001</v>
      </c>
      <c r="X130" s="3" t="s">
        <v>81</v>
      </c>
      <c r="Y130" s="3" t="s">
        <v>81</v>
      </c>
      <c r="Z130" s="3" t="s">
        <v>81</v>
      </c>
      <c r="AA130" s="3" t="s">
        <v>81</v>
      </c>
      <c r="AB130" s="3">
        <v>18.452000000000002</v>
      </c>
      <c r="AC130" s="3">
        <v>1</v>
      </c>
      <c r="AD130" s="3">
        <v>16.271000000000001</v>
      </c>
      <c r="AE130" s="3">
        <v>11.247999999999999</v>
      </c>
      <c r="AF130" s="3">
        <v>1.6359999999999999</v>
      </c>
      <c r="AG130" s="3" t="s">
        <v>81</v>
      </c>
      <c r="AH130" s="3" t="s">
        <v>81</v>
      </c>
      <c r="AI130" s="3" t="s">
        <v>81</v>
      </c>
      <c r="AJ130" s="3" t="s">
        <v>81</v>
      </c>
      <c r="AK130" s="3" t="s">
        <v>81</v>
      </c>
      <c r="AL130" s="3" t="s">
        <v>81</v>
      </c>
      <c r="AM130" s="3" t="s">
        <v>81</v>
      </c>
      <c r="AN130" s="3" t="s">
        <v>81</v>
      </c>
      <c r="AO130" s="3" t="s">
        <v>81</v>
      </c>
      <c r="AP130" s="3" t="s">
        <v>81</v>
      </c>
      <c r="AQ130" s="3" t="s">
        <v>81</v>
      </c>
      <c r="AR130" s="3" t="s">
        <v>81</v>
      </c>
      <c r="AS130" s="3" t="s">
        <v>81</v>
      </c>
      <c r="AT130" s="3" t="s">
        <v>81</v>
      </c>
      <c r="AU130" s="3" t="s">
        <v>81</v>
      </c>
      <c r="AV130" s="3" t="s">
        <v>81</v>
      </c>
      <c r="AW130" s="3" t="s">
        <v>81</v>
      </c>
      <c r="AX130" s="3" t="s">
        <v>81</v>
      </c>
      <c r="AY130" s="3" t="s">
        <v>81</v>
      </c>
      <c r="AZ130" s="3" t="s">
        <v>81</v>
      </c>
      <c r="BA130" s="3" t="s">
        <v>81</v>
      </c>
      <c r="BB130" s="3" t="s">
        <v>81</v>
      </c>
      <c r="BC130" s="3" t="s">
        <v>81</v>
      </c>
      <c r="BD130" s="3" t="s">
        <v>81</v>
      </c>
      <c r="BE130" s="3" t="s">
        <v>81</v>
      </c>
      <c r="BF130" s="3" t="s">
        <v>81</v>
      </c>
      <c r="BG130" s="3" t="s">
        <v>81</v>
      </c>
      <c r="BH130" s="3" t="s">
        <v>81</v>
      </c>
      <c r="BI130" s="3" t="s">
        <v>84</v>
      </c>
      <c r="BJ130" s="3" t="s">
        <v>84</v>
      </c>
      <c r="BK130" s="3" t="s">
        <v>82</v>
      </c>
      <c r="BL130" s="3" t="s">
        <v>84</v>
      </c>
      <c r="BM130" s="3" t="s">
        <v>84</v>
      </c>
      <c r="BN130" s="3" t="s">
        <v>82</v>
      </c>
      <c r="BO130" s="3" t="s">
        <v>84</v>
      </c>
      <c r="BP130" s="3" t="s">
        <v>106</v>
      </c>
      <c r="BQ130" s="3" t="s">
        <v>106</v>
      </c>
      <c r="BR130" s="3" t="s">
        <v>106</v>
      </c>
      <c r="BS130" s="3" t="s">
        <v>106</v>
      </c>
      <c r="BT130" s="3" t="s">
        <v>106</v>
      </c>
      <c r="BU130" s="3" t="s">
        <v>81</v>
      </c>
      <c r="BV130" s="3" t="s">
        <v>84</v>
      </c>
      <c r="BW130" s="3" t="s">
        <v>83</v>
      </c>
      <c r="BX130" s="3" t="s">
        <v>82</v>
      </c>
      <c r="BY130" s="3" t="s">
        <v>107</v>
      </c>
      <c r="BZ130" s="3" t="s">
        <v>86</v>
      </c>
      <c r="CB130" s="3" t="s">
        <v>84</v>
      </c>
      <c r="CD130" s="3" t="s">
        <v>83</v>
      </c>
    </row>
    <row r="131" spans="1:87" x14ac:dyDescent="0.15">
      <c r="A131" s="3">
        <v>1228553666</v>
      </c>
      <c r="B131" s="3" t="s">
        <v>492</v>
      </c>
      <c r="C131" s="3" t="s">
        <v>492</v>
      </c>
      <c r="D131" s="3">
        <v>13</v>
      </c>
      <c r="E131" s="3">
        <v>48</v>
      </c>
      <c r="F131" s="3">
        <v>92.066000000000003</v>
      </c>
      <c r="G131" s="3">
        <v>0</v>
      </c>
      <c r="H131" s="3" t="s">
        <v>81</v>
      </c>
      <c r="I131" s="3" t="s">
        <v>81</v>
      </c>
      <c r="J131" s="3" t="s">
        <v>81</v>
      </c>
      <c r="K131" s="3" t="s">
        <v>81</v>
      </c>
      <c r="L131" s="3" t="s">
        <v>81</v>
      </c>
      <c r="M131" s="3" t="s">
        <v>81</v>
      </c>
      <c r="N131" s="3" t="s">
        <v>81</v>
      </c>
      <c r="O131" s="3" t="s">
        <v>81</v>
      </c>
      <c r="P131" s="3" t="s">
        <v>81</v>
      </c>
      <c r="Q131" s="3">
        <v>80.150000000000006</v>
      </c>
      <c r="R131" s="3">
        <v>0</v>
      </c>
      <c r="S131" s="3" t="s">
        <v>81</v>
      </c>
      <c r="T131" s="3" t="s">
        <v>81</v>
      </c>
      <c r="U131" s="3" t="s">
        <v>81</v>
      </c>
      <c r="V131" s="3" t="s">
        <v>81</v>
      </c>
      <c r="W131" s="3" t="s">
        <v>81</v>
      </c>
      <c r="X131" s="3" t="s">
        <v>81</v>
      </c>
      <c r="Y131" s="3" t="s">
        <v>81</v>
      </c>
      <c r="Z131" s="3" t="s">
        <v>81</v>
      </c>
      <c r="AA131" s="3" t="s">
        <v>81</v>
      </c>
      <c r="AB131" s="3">
        <v>83.709000000000003</v>
      </c>
      <c r="AC131" s="3">
        <v>0</v>
      </c>
      <c r="AD131" s="3" t="s">
        <v>81</v>
      </c>
      <c r="AE131" s="3" t="s">
        <v>81</v>
      </c>
      <c r="AF131" s="3" t="s">
        <v>81</v>
      </c>
      <c r="AG131" s="3" t="s">
        <v>81</v>
      </c>
      <c r="AH131" s="3" t="s">
        <v>81</v>
      </c>
      <c r="AI131" s="3" t="s">
        <v>81</v>
      </c>
      <c r="AJ131" s="3" t="s">
        <v>81</v>
      </c>
      <c r="AK131" s="3" t="s">
        <v>81</v>
      </c>
      <c r="AL131" s="3" t="s">
        <v>81</v>
      </c>
      <c r="AM131" s="3">
        <v>79.507999999999996</v>
      </c>
      <c r="AN131" s="3">
        <v>0</v>
      </c>
      <c r="AO131" s="3" t="s">
        <v>81</v>
      </c>
      <c r="AP131" s="3" t="s">
        <v>81</v>
      </c>
      <c r="AQ131" s="3" t="s">
        <v>81</v>
      </c>
      <c r="AR131" s="3" t="s">
        <v>81</v>
      </c>
      <c r="AS131" s="3" t="s">
        <v>81</v>
      </c>
      <c r="AT131" s="3" t="s">
        <v>81</v>
      </c>
      <c r="AU131" s="3" t="s">
        <v>81</v>
      </c>
      <c r="AV131" s="3" t="s">
        <v>81</v>
      </c>
      <c r="AW131" s="3" t="s">
        <v>81</v>
      </c>
      <c r="AX131" s="3">
        <v>99.488</v>
      </c>
      <c r="AY131" s="3">
        <v>0</v>
      </c>
      <c r="AZ131" s="3" t="s">
        <v>81</v>
      </c>
      <c r="BA131" s="3" t="s">
        <v>81</v>
      </c>
      <c r="BB131" s="3" t="s">
        <v>81</v>
      </c>
      <c r="BC131" s="3" t="s">
        <v>81</v>
      </c>
      <c r="BD131" s="3" t="s">
        <v>81</v>
      </c>
      <c r="BE131" s="3" t="s">
        <v>81</v>
      </c>
      <c r="BF131" s="3" t="s">
        <v>81</v>
      </c>
      <c r="BG131" s="3" t="s">
        <v>81</v>
      </c>
      <c r="BH131" s="3" t="s">
        <v>81</v>
      </c>
      <c r="BI131" s="3" t="s">
        <v>84</v>
      </c>
      <c r="BJ131" s="3" t="s">
        <v>82</v>
      </c>
      <c r="BK131" s="3" t="s">
        <v>83</v>
      </c>
      <c r="BL131" s="3" t="s">
        <v>84</v>
      </c>
      <c r="BM131" s="3" t="s">
        <v>84</v>
      </c>
      <c r="BN131" s="3" t="s">
        <v>82</v>
      </c>
      <c r="BO131" s="3" t="s">
        <v>82</v>
      </c>
      <c r="BP131" s="3" t="s">
        <v>98</v>
      </c>
      <c r="BQ131" s="3" t="s">
        <v>98</v>
      </c>
      <c r="BR131" s="3" t="s">
        <v>98</v>
      </c>
      <c r="BS131" s="3" t="s">
        <v>98</v>
      </c>
      <c r="BT131" s="3" t="s">
        <v>98</v>
      </c>
      <c r="BU131" s="3" t="s">
        <v>81</v>
      </c>
      <c r="BV131" s="3" t="s">
        <v>82</v>
      </c>
      <c r="BW131" s="3" t="s">
        <v>91</v>
      </c>
      <c r="BX131" s="3" t="s">
        <v>82</v>
      </c>
      <c r="BY131" s="3"/>
      <c r="BZ131" s="3" t="s">
        <v>93</v>
      </c>
      <c r="CA131" s="3"/>
      <c r="CB131" s="3" t="s">
        <v>84</v>
      </c>
      <c r="CC131" s="3"/>
      <c r="CD131" s="3"/>
      <c r="CE131" s="3"/>
      <c r="CF131" s="3"/>
      <c r="CG131" s="3"/>
      <c r="CH131" s="3"/>
      <c r="CI131" s="3"/>
    </row>
    <row r="132" spans="1:87" x14ac:dyDescent="0.15">
      <c r="A132" s="3">
        <v>2625876357</v>
      </c>
      <c r="B132" s="3" t="s">
        <v>492</v>
      </c>
      <c r="C132" s="3" t="s">
        <v>492</v>
      </c>
      <c r="D132" s="3" t="s">
        <v>81</v>
      </c>
      <c r="E132" s="3">
        <v>28</v>
      </c>
      <c r="F132" s="3">
        <v>44.792000000000002</v>
      </c>
      <c r="G132" s="3">
        <v>0</v>
      </c>
      <c r="H132" s="3" t="s">
        <v>81</v>
      </c>
      <c r="I132" s="3" t="s">
        <v>81</v>
      </c>
      <c r="J132" s="3" t="s">
        <v>81</v>
      </c>
      <c r="K132" s="3" t="s">
        <v>81</v>
      </c>
      <c r="L132" s="3" t="s">
        <v>81</v>
      </c>
      <c r="M132" s="3" t="s">
        <v>81</v>
      </c>
      <c r="N132" s="3" t="s">
        <v>81</v>
      </c>
      <c r="O132" s="3" t="s">
        <v>81</v>
      </c>
      <c r="P132" s="3" t="s">
        <v>81</v>
      </c>
      <c r="Q132" s="3">
        <v>38.646000000000001</v>
      </c>
      <c r="R132" s="3">
        <v>0</v>
      </c>
      <c r="S132" s="3" t="s">
        <v>81</v>
      </c>
      <c r="T132" s="3" t="s">
        <v>81</v>
      </c>
      <c r="U132" s="3" t="s">
        <v>81</v>
      </c>
      <c r="V132" s="3" t="s">
        <v>81</v>
      </c>
      <c r="W132" s="3" t="s">
        <v>81</v>
      </c>
      <c r="X132" s="3" t="s">
        <v>81</v>
      </c>
      <c r="Y132" s="3" t="s">
        <v>81</v>
      </c>
      <c r="Z132" s="3" t="s">
        <v>81</v>
      </c>
      <c r="AA132" s="3" t="s">
        <v>81</v>
      </c>
      <c r="AB132" s="3">
        <v>37.652000000000001</v>
      </c>
      <c r="AC132" s="3">
        <v>0</v>
      </c>
      <c r="AD132" s="3" t="s">
        <v>81</v>
      </c>
      <c r="AE132" s="3" t="s">
        <v>81</v>
      </c>
      <c r="AF132" s="3" t="s">
        <v>81</v>
      </c>
      <c r="AG132" s="3" t="s">
        <v>81</v>
      </c>
      <c r="AH132" s="3" t="s">
        <v>81</v>
      </c>
      <c r="AI132" s="3" t="s">
        <v>81</v>
      </c>
      <c r="AJ132" s="3" t="s">
        <v>81</v>
      </c>
      <c r="AK132" s="3" t="s">
        <v>81</v>
      </c>
      <c r="AL132" s="3" t="s">
        <v>81</v>
      </c>
      <c r="AM132" s="3">
        <v>37.243000000000002</v>
      </c>
      <c r="AN132" s="3">
        <v>0</v>
      </c>
      <c r="AO132" s="3" t="s">
        <v>81</v>
      </c>
      <c r="AP132" s="3" t="s">
        <v>81</v>
      </c>
      <c r="AQ132" s="3" t="s">
        <v>81</v>
      </c>
      <c r="AR132" s="3" t="s">
        <v>81</v>
      </c>
      <c r="AS132" s="3" t="s">
        <v>81</v>
      </c>
      <c r="AT132" s="3" t="s">
        <v>81</v>
      </c>
      <c r="AU132" s="3" t="s">
        <v>81</v>
      </c>
      <c r="AV132" s="3" t="s">
        <v>81</v>
      </c>
      <c r="AW132" s="3" t="s">
        <v>81</v>
      </c>
      <c r="AX132" s="3">
        <v>40.536999999999999</v>
      </c>
      <c r="AY132" s="3">
        <v>0</v>
      </c>
      <c r="AZ132" s="3" t="s">
        <v>81</v>
      </c>
      <c r="BA132" s="3" t="s">
        <v>81</v>
      </c>
      <c r="BB132" s="3" t="s">
        <v>81</v>
      </c>
      <c r="BC132" s="3" t="s">
        <v>81</v>
      </c>
      <c r="BD132" s="3" t="s">
        <v>81</v>
      </c>
      <c r="BE132" s="3" t="s">
        <v>81</v>
      </c>
      <c r="BF132" s="3" t="s">
        <v>81</v>
      </c>
      <c r="BG132" s="3" t="s">
        <v>81</v>
      </c>
      <c r="BH132" s="3" t="s">
        <v>81</v>
      </c>
      <c r="BI132" s="3" t="s">
        <v>82</v>
      </c>
      <c r="BJ132" s="3" t="s">
        <v>82</v>
      </c>
      <c r="BK132" s="3" t="s">
        <v>83</v>
      </c>
      <c r="BL132" s="3" t="s">
        <v>84</v>
      </c>
      <c r="BM132" s="3" t="s">
        <v>84</v>
      </c>
      <c r="BN132" s="3" t="s">
        <v>84</v>
      </c>
      <c r="BO132" s="3" t="s">
        <v>84</v>
      </c>
      <c r="BP132" s="3" t="s">
        <v>81</v>
      </c>
      <c r="BQ132" s="3" t="s">
        <v>81</v>
      </c>
      <c r="BR132" s="3" t="s">
        <v>81</v>
      </c>
      <c r="BS132" s="3" t="s">
        <v>81</v>
      </c>
      <c r="BT132" s="3" t="s">
        <v>81</v>
      </c>
      <c r="BU132" s="3" t="s">
        <v>81</v>
      </c>
      <c r="BV132" s="3" t="s">
        <v>82</v>
      </c>
      <c r="BW132" s="3" t="s">
        <v>91</v>
      </c>
      <c r="BX132" s="3" t="s">
        <v>82</v>
      </c>
      <c r="BY132" s="3" t="s">
        <v>493</v>
      </c>
      <c r="BZ132" s="3" t="s">
        <v>86</v>
      </c>
      <c r="CB132" s="3" t="s">
        <v>84</v>
      </c>
    </row>
    <row r="133" spans="1:87" x14ac:dyDescent="0.15">
      <c r="A133" s="3">
        <v>2643321389</v>
      </c>
      <c r="B133" s="3" t="s">
        <v>492</v>
      </c>
      <c r="C133" s="3" t="s">
        <v>492</v>
      </c>
      <c r="D133" s="3">
        <v>9</v>
      </c>
      <c r="E133" s="3">
        <v>52</v>
      </c>
      <c r="F133" s="3">
        <v>87.778999999999996</v>
      </c>
      <c r="G133" s="3">
        <v>0</v>
      </c>
      <c r="H133" s="3" t="s">
        <v>81</v>
      </c>
      <c r="I133" s="3" t="s">
        <v>81</v>
      </c>
      <c r="J133" s="3" t="s">
        <v>81</v>
      </c>
      <c r="K133" s="3" t="s">
        <v>81</v>
      </c>
      <c r="L133" s="3" t="s">
        <v>81</v>
      </c>
      <c r="M133" s="3" t="s">
        <v>81</v>
      </c>
      <c r="N133" s="3" t="s">
        <v>81</v>
      </c>
      <c r="O133" s="3" t="s">
        <v>81</v>
      </c>
      <c r="P133" s="3" t="s">
        <v>81</v>
      </c>
      <c r="Q133" s="3">
        <v>91.26</v>
      </c>
      <c r="R133" s="3">
        <v>0</v>
      </c>
      <c r="S133" s="3" t="s">
        <v>81</v>
      </c>
      <c r="T133" s="3" t="s">
        <v>81</v>
      </c>
      <c r="U133" s="3" t="s">
        <v>81</v>
      </c>
      <c r="V133" s="3" t="s">
        <v>81</v>
      </c>
      <c r="W133" s="3" t="s">
        <v>81</v>
      </c>
      <c r="X133" s="3" t="s">
        <v>81</v>
      </c>
      <c r="Y133" s="3" t="s">
        <v>81</v>
      </c>
      <c r="Z133" s="3" t="s">
        <v>81</v>
      </c>
      <c r="AA133" s="3" t="s">
        <v>81</v>
      </c>
      <c r="AB133" s="3">
        <v>91.528999999999996</v>
      </c>
      <c r="AC133" s="3">
        <v>0</v>
      </c>
      <c r="AD133" s="3" t="s">
        <v>81</v>
      </c>
      <c r="AE133" s="3" t="s">
        <v>81</v>
      </c>
      <c r="AF133" s="3" t="s">
        <v>81</v>
      </c>
      <c r="AG133" s="3" t="s">
        <v>81</v>
      </c>
      <c r="AH133" s="3" t="s">
        <v>81</v>
      </c>
      <c r="AI133" s="3" t="s">
        <v>81</v>
      </c>
      <c r="AJ133" s="3" t="s">
        <v>81</v>
      </c>
      <c r="AK133" s="3" t="s">
        <v>81</v>
      </c>
      <c r="AL133" s="3" t="s">
        <v>81</v>
      </c>
      <c r="AM133" s="3">
        <v>74.703999999999994</v>
      </c>
      <c r="AN133" s="3">
        <v>0</v>
      </c>
      <c r="AO133" s="3" t="s">
        <v>81</v>
      </c>
      <c r="AP133" s="3" t="s">
        <v>81</v>
      </c>
      <c r="AQ133" s="3" t="s">
        <v>81</v>
      </c>
      <c r="AR133" s="3" t="s">
        <v>81</v>
      </c>
      <c r="AS133" s="3" t="s">
        <v>81</v>
      </c>
      <c r="AT133" s="3" t="s">
        <v>81</v>
      </c>
      <c r="AU133" s="3" t="s">
        <v>81</v>
      </c>
      <c r="AV133" s="3" t="s">
        <v>81</v>
      </c>
      <c r="AW133" s="3" t="s">
        <v>81</v>
      </c>
      <c r="AX133" s="3">
        <v>85.863</v>
      </c>
      <c r="AY133" s="3">
        <v>0</v>
      </c>
      <c r="AZ133" s="3" t="s">
        <v>81</v>
      </c>
      <c r="BA133" s="3" t="s">
        <v>81</v>
      </c>
      <c r="BB133" s="3" t="s">
        <v>81</v>
      </c>
      <c r="BC133" s="3" t="s">
        <v>81</v>
      </c>
      <c r="BD133" s="3" t="s">
        <v>81</v>
      </c>
      <c r="BE133" s="3" t="s">
        <v>81</v>
      </c>
      <c r="BF133" s="3" t="s">
        <v>81</v>
      </c>
      <c r="BG133" s="3" t="s">
        <v>81</v>
      </c>
      <c r="BH133" s="3" t="s">
        <v>81</v>
      </c>
      <c r="BI133" s="3" t="s">
        <v>84</v>
      </c>
      <c r="BJ133" s="3" t="s">
        <v>82</v>
      </c>
      <c r="BK133" s="3" t="s">
        <v>83</v>
      </c>
      <c r="BL133" s="3" t="s">
        <v>84</v>
      </c>
      <c r="BM133" s="3" t="s">
        <v>84</v>
      </c>
      <c r="BN133" s="3" t="s">
        <v>84</v>
      </c>
      <c r="BO133" s="3" t="s">
        <v>82</v>
      </c>
      <c r="BP133" s="3" t="s">
        <v>98</v>
      </c>
      <c r="BQ133" s="3" t="s">
        <v>98</v>
      </c>
      <c r="BR133" s="3" t="s">
        <v>98</v>
      </c>
      <c r="BS133" s="3" t="s">
        <v>98</v>
      </c>
      <c r="BT133" s="3" t="s">
        <v>98</v>
      </c>
      <c r="BU133" s="3" t="s">
        <v>81</v>
      </c>
      <c r="BV133" s="3" t="s">
        <v>82</v>
      </c>
      <c r="BW133" s="3" t="s">
        <v>91</v>
      </c>
      <c r="BX133" s="3" t="s">
        <v>82</v>
      </c>
      <c r="BZ133" s="3" t="s">
        <v>86</v>
      </c>
      <c r="CB133" s="3" t="s">
        <v>84</v>
      </c>
    </row>
    <row r="134" spans="1:87" x14ac:dyDescent="0.15">
      <c r="A134" s="3">
        <v>2625858594</v>
      </c>
      <c r="B134" s="3" t="s">
        <v>413</v>
      </c>
      <c r="C134" s="3" t="s">
        <v>413</v>
      </c>
      <c r="D134" s="3">
        <v>11</v>
      </c>
      <c r="E134" s="3">
        <v>28</v>
      </c>
      <c r="F134" s="3">
        <v>63.253</v>
      </c>
      <c r="G134" s="3">
        <v>0</v>
      </c>
      <c r="H134" s="3" t="s">
        <v>81</v>
      </c>
      <c r="I134" s="3" t="s">
        <v>81</v>
      </c>
      <c r="J134" s="3" t="s">
        <v>81</v>
      </c>
      <c r="K134" s="3" t="s">
        <v>81</v>
      </c>
      <c r="L134" s="3" t="s">
        <v>81</v>
      </c>
      <c r="M134" s="3" t="s">
        <v>81</v>
      </c>
      <c r="N134" s="3" t="s">
        <v>81</v>
      </c>
      <c r="O134" s="3" t="s">
        <v>81</v>
      </c>
      <c r="P134" s="3" t="s">
        <v>81</v>
      </c>
      <c r="Q134" s="3">
        <v>67.495999999999995</v>
      </c>
      <c r="R134" s="3">
        <v>0</v>
      </c>
      <c r="S134" s="3" t="s">
        <v>81</v>
      </c>
      <c r="T134" s="3" t="s">
        <v>81</v>
      </c>
      <c r="U134" s="3" t="s">
        <v>81</v>
      </c>
      <c r="V134" s="3" t="s">
        <v>81</v>
      </c>
      <c r="W134" s="3" t="s">
        <v>81</v>
      </c>
      <c r="X134" s="3" t="s">
        <v>81</v>
      </c>
      <c r="Y134" s="3" t="s">
        <v>81</v>
      </c>
      <c r="Z134" s="3" t="s">
        <v>81</v>
      </c>
      <c r="AA134" s="3" t="s">
        <v>81</v>
      </c>
      <c r="AB134" s="3">
        <v>63.136000000000003</v>
      </c>
      <c r="AC134" s="3">
        <v>0</v>
      </c>
      <c r="AD134" s="3" t="s">
        <v>81</v>
      </c>
      <c r="AE134" s="3" t="s">
        <v>81</v>
      </c>
      <c r="AF134" s="3" t="s">
        <v>81</v>
      </c>
      <c r="AG134" s="3" t="s">
        <v>81</v>
      </c>
      <c r="AH134" s="3" t="s">
        <v>81</v>
      </c>
      <c r="AI134" s="3" t="s">
        <v>81</v>
      </c>
      <c r="AJ134" s="3" t="s">
        <v>81</v>
      </c>
      <c r="AK134" s="3" t="s">
        <v>81</v>
      </c>
      <c r="AL134" s="3" t="s">
        <v>81</v>
      </c>
      <c r="AM134" s="3">
        <v>67.685000000000002</v>
      </c>
      <c r="AN134" s="3">
        <v>0</v>
      </c>
      <c r="AO134" s="3" t="s">
        <v>81</v>
      </c>
      <c r="AP134" s="3" t="s">
        <v>81</v>
      </c>
      <c r="AQ134" s="3" t="s">
        <v>81</v>
      </c>
      <c r="AR134" s="3" t="s">
        <v>81</v>
      </c>
      <c r="AS134" s="3" t="s">
        <v>81</v>
      </c>
      <c r="AT134" s="3" t="s">
        <v>81</v>
      </c>
      <c r="AU134" s="3" t="s">
        <v>81</v>
      </c>
      <c r="AV134" s="3" t="s">
        <v>81</v>
      </c>
      <c r="AW134" s="3" t="s">
        <v>81</v>
      </c>
      <c r="AX134" s="3">
        <v>67.284000000000006</v>
      </c>
      <c r="AY134" s="3">
        <v>0</v>
      </c>
      <c r="AZ134" s="3" t="s">
        <v>81</v>
      </c>
      <c r="BA134" s="3" t="s">
        <v>81</v>
      </c>
      <c r="BB134" s="3" t="s">
        <v>81</v>
      </c>
      <c r="BC134" s="3" t="s">
        <v>81</v>
      </c>
      <c r="BD134" s="3" t="s">
        <v>81</v>
      </c>
      <c r="BE134" s="3" t="s">
        <v>81</v>
      </c>
      <c r="BF134" s="3" t="s">
        <v>81</v>
      </c>
      <c r="BG134" s="3" t="s">
        <v>81</v>
      </c>
      <c r="BH134" s="3" t="s">
        <v>81</v>
      </c>
      <c r="BI134" s="3" t="s">
        <v>84</v>
      </c>
      <c r="BJ134" s="3" t="s">
        <v>82</v>
      </c>
      <c r="BK134" s="3" t="s">
        <v>83</v>
      </c>
      <c r="BL134" s="3" t="s">
        <v>84</v>
      </c>
      <c r="BM134" s="3" t="s">
        <v>84</v>
      </c>
      <c r="BN134" s="3" t="s">
        <v>82</v>
      </c>
      <c r="BO134" s="3" t="s">
        <v>84</v>
      </c>
      <c r="BP134" s="3" t="s">
        <v>414</v>
      </c>
      <c r="BQ134" s="3" t="s">
        <v>414</v>
      </c>
      <c r="BR134" s="3" t="s">
        <v>415</v>
      </c>
      <c r="BS134" s="3" t="s">
        <v>415</v>
      </c>
      <c r="BT134" s="3" t="s">
        <v>85</v>
      </c>
      <c r="BU134" s="3" t="s">
        <v>81</v>
      </c>
      <c r="BV134" s="3" t="s">
        <v>82</v>
      </c>
      <c r="BW134" s="3" t="s">
        <v>91</v>
      </c>
      <c r="BX134" s="3" t="s">
        <v>82</v>
      </c>
      <c r="BY134" s="3" t="s">
        <v>416</v>
      </c>
      <c r="BZ134" s="3" t="s">
        <v>86</v>
      </c>
      <c r="CA134" s="3"/>
      <c r="CB134" s="3" t="s">
        <v>84</v>
      </c>
      <c r="CC134" s="3"/>
      <c r="CD134" s="3"/>
      <c r="CE134" s="3"/>
      <c r="CF134" s="3"/>
      <c r="CG134" s="3"/>
      <c r="CH134" s="3"/>
      <c r="CI134" s="3"/>
    </row>
    <row r="135" spans="1:87" x14ac:dyDescent="0.15">
      <c r="A135" s="3">
        <v>1318296016</v>
      </c>
      <c r="B135" s="3" t="s">
        <v>413</v>
      </c>
      <c r="C135" s="3" t="s">
        <v>413</v>
      </c>
      <c r="D135" s="3">
        <v>17</v>
      </c>
      <c r="E135" s="3">
        <v>30</v>
      </c>
      <c r="F135" s="3">
        <v>42.368000000000002</v>
      </c>
      <c r="G135" s="3">
        <v>0</v>
      </c>
      <c r="H135" s="3" t="s">
        <v>81</v>
      </c>
      <c r="I135" s="3" t="s">
        <v>81</v>
      </c>
      <c r="J135" s="3" t="s">
        <v>81</v>
      </c>
      <c r="K135" s="3" t="s">
        <v>81</v>
      </c>
      <c r="L135" s="3" t="s">
        <v>81</v>
      </c>
      <c r="M135" s="3" t="s">
        <v>81</v>
      </c>
      <c r="N135" s="3" t="s">
        <v>81</v>
      </c>
      <c r="O135" s="3" t="s">
        <v>81</v>
      </c>
      <c r="P135" s="3" t="s">
        <v>81</v>
      </c>
      <c r="Q135" s="3">
        <v>34.152000000000001</v>
      </c>
      <c r="R135" s="3">
        <v>0</v>
      </c>
      <c r="S135" s="3" t="s">
        <v>81</v>
      </c>
      <c r="T135" s="3" t="s">
        <v>81</v>
      </c>
      <c r="U135" s="3" t="s">
        <v>81</v>
      </c>
      <c r="V135" s="3" t="s">
        <v>81</v>
      </c>
      <c r="W135" s="3" t="s">
        <v>81</v>
      </c>
      <c r="X135" s="3" t="s">
        <v>81</v>
      </c>
      <c r="Y135" s="3" t="s">
        <v>81</v>
      </c>
      <c r="Z135" s="3" t="s">
        <v>81</v>
      </c>
      <c r="AA135" s="3" t="s">
        <v>81</v>
      </c>
      <c r="AB135" s="3">
        <v>50.478000000000002</v>
      </c>
      <c r="AC135" s="3">
        <v>0</v>
      </c>
      <c r="AD135" s="3" t="s">
        <v>81</v>
      </c>
      <c r="AE135" s="3" t="s">
        <v>81</v>
      </c>
      <c r="AF135" s="3" t="s">
        <v>81</v>
      </c>
      <c r="AG135" s="3" t="s">
        <v>81</v>
      </c>
      <c r="AH135" s="3" t="s">
        <v>81</v>
      </c>
      <c r="AI135" s="3" t="s">
        <v>81</v>
      </c>
      <c r="AJ135" s="3" t="s">
        <v>81</v>
      </c>
      <c r="AK135" s="3" t="s">
        <v>81</v>
      </c>
      <c r="AL135" s="3" t="s">
        <v>81</v>
      </c>
      <c r="AM135" s="3">
        <v>49.372</v>
      </c>
      <c r="AN135" s="3">
        <v>0</v>
      </c>
      <c r="AO135" s="3" t="s">
        <v>81</v>
      </c>
      <c r="AP135" s="3" t="s">
        <v>81</v>
      </c>
      <c r="AQ135" s="3" t="s">
        <v>81</v>
      </c>
      <c r="AR135" s="3" t="s">
        <v>81</v>
      </c>
      <c r="AS135" s="3" t="s">
        <v>81</v>
      </c>
      <c r="AT135" s="3" t="s">
        <v>81</v>
      </c>
      <c r="AU135" s="3" t="s">
        <v>81</v>
      </c>
      <c r="AV135" s="3" t="s">
        <v>81</v>
      </c>
      <c r="AW135" s="3" t="s">
        <v>81</v>
      </c>
      <c r="AX135" s="3">
        <v>52.826000000000001</v>
      </c>
      <c r="AY135" s="3">
        <v>0</v>
      </c>
      <c r="AZ135" s="3" t="s">
        <v>81</v>
      </c>
      <c r="BA135" s="3" t="s">
        <v>81</v>
      </c>
      <c r="BB135" s="3" t="s">
        <v>81</v>
      </c>
      <c r="BC135" s="3" t="s">
        <v>81</v>
      </c>
      <c r="BD135" s="3" t="s">
        <v>81</v>
      </c>
      <c r="BE135" s="3" t="s">
        <v>81</v>
      </c>
      <c r="BF135" s="3" t="s">
        <v>81</v>
      </c>
      <c r="BG135" s="3" t="s">
        <v>81</v>
      </c>
      <c r="BH135" s="3" t="s">
        <v>81</v>
      </c>
      <c r="BI135" s="3" t="s">
        <v>84</v>
      </c>
      <c r="BJ135" s="3" t="s">
        <v>82</v>
      </c>
      <c r="BK135" s="3" t="s">
        <v>83</v>
      </c>
      <c r="BL135" s="3" t="s">
        <v>84</v>
      </c>
      <c r="BM135" s="3" t="s">
        <v>84</v>
      </c>
      <c r="BN135" s="3" t="s">
        <v>84</v>
      </c>
      <c r="BO135" s="3" t="s">
        <v>84</v>
      </c>
      <c r="BP135" s="3" t="s">
        <v>218</v>
      </c>
      <c r="BQ135" s="3" t="s">
        <v>218</v>
      </c>
      <c r="BR135" s="3" t="s">
        <v>417</v>
      </c>
      <c r="BS135" s="3" t="s">
        <v>418</v>
      </c>
      <c r="BT135" s="3" t="s">
        <v>87</v>
      </c>
      <c r="BU135" s="3" t="s">
        <v>98</v>
      </c>
      <c r="BV135" s="3" t="s">
        <v>82</v>
      </c>
      <c r="BW135" s="3" t="s">
        <v>91</v>
      </c>
      <c r="BX135" s="3" t="s">
        <v>82</v>
      </c>
      <c r="BY135" s="3" t="s">
        <v>419</v>
      </c>
      <c r="BZ135" s="3" t="s">
        <v>86</v>
      </c>
      <c r="CB135" s="3" t="s">
        <v>84</v>
      </c>
    </row>
    <row r="136" spans="1:87" x14ac:dyDescent="0.15">
      <c r="A136" s="3">
        <v>2625916600</v>
      </c>
      <c r="B136" s="3" t="s">
        <v>413</v>
      </c>
      <c r="C136" s="3" t="s">
        <v>413</v>
      </c>
      <c r="D136" s="3">
        <v>15</v>
      </c>
      <c r="E136" s="3">
        <v>21</v>
      </c>
      <c r="F136" s="3">
        <v>48.841000000000001</v>
      </c>
      <c r="G136" s="3">
        <v>0</v>
      </c>
      <c r="H136" s="3" t="s">
        <v>81</v>
      </c>
      <c r="I136" s="3" t="s">
        <v>81</v>
      </c>
      <c r="J136" s="3" t="s">
        <v>81</v>
      </c>
      <c r="K136" s="3" t="s">
        <v>81</v>
      </c>
      <c r="L136" s="3" t="s">
        <v>81</v>
      </c>
      <c r="M136" s="3" t="s">
        <v>81</v>
      </c>
      <c r="N136" s="3" t="s">
        <v>81</v>
      </c>
      <c r="O136" s="3" t="s">
        <v>81</v>
      </c>
      <c r="P136" s="3" t="s">
        <v>81</v>
      </c>
      <c r="Q136" s="3">
        <v>44.231000000000002</v>
      </c>
      <c r="R136" s="3">
        <v>0</v>
      </c>
      <c r="S136" s="3" t="s">
        <v>81</v>
      </c>
      <c r="T136" s="3" t="s">
        <v>81</v>
      </c>
      <c r="U136" s="3" t="s">
        <v>81</v>
      </c>
      <c r="V136" s="3" t="s">
        <v>81</v>
      </c>
      <c r="W136" s="3" t="s">
        <v>81</v>
      </c>
      <c r="X136" s="3" t="s">
        <v>81</v>
      </c>
      <c r="Y136" s="3" t="s">
        <v>81</v>
      </c>
      <c r="Z136" s="3" t="s">
        <v>81</v>
      </c>
      <c r="AA136" s="3" t="s">
        <v>81</v>
      </c>
      <c r="AB136" s="3">
        <v>40.491</v>
      </c>
      <c r="AC136" s="3">
        <v>0</v>
      </c>
      <c r="AD136" s="3" t="s">
        <v>81</v>
      </c>
      <c r="AE136" s="3" t="s">
        <v>81</v>
      </c>
      <c r="AF136" s="3" t="s">
        <v>81</v>
      </c>
      <c r="AG136" s="3" t="s">
        <v>81</v>
      </c>
      <c r="AH136" s="3" t="s">
        <v>81</v>
      </c>
      <c r="AI136" s="3" t="s">
        <v>81</v>
      </c>
      <c r="AJ136" s="3" t="s">
        <v>81</v>
      </c>
      <c r="AK136" s="3" t="s">
        <v>81</v>
      </c>
      <c r="AL136" s="3" t="s">
        <v>81</v>
      </c>
      <c r="AM136" s="3">
        <v>35.935000000000002</v>
      </c>
      <c r="AN136" s="3">
        <v>0</v>
      </c>
      <c r="AO136" s="3" t="s">
        <v>81</v>
      </c>
      <c r="AP136" s="3" t="s">
        <v>81</v>
      </c>
      <c r="AQ136" s="3" t="s">
        <v>81</v>
      </c>
      <c r="AR136" s="3" t="s">
        <v>81</v>
      </c>
      <c r="AS136" s="3" t="s">
        <v>81</v>
      </c>
      <c r="AT136" s="3" t="s">
        <v>81</v>
      </c>
      <c r="AU136" s="3" t="s">
        <v>81</v>
      </c>
      <c r="AV136" s="3" t="s">
        <v>81</v>
      </c>
      <c r="AW136" s="3" t="s">
        <v>81</v>
      </c>
      <c r="AX136" s="3">
        <v>46.436999999999998</v>
      </c>
      <c r="AY136" s="3">
        <v>0</v>
      </c>
      <c r="AZ136" s="3" t="s">
        <v>81</v>
      </c>
      <c r="BA136" s="3" t="s">
        <v>81</v>
      </c>
      <c r="BB136" s="3" t="s">
        <v>81</v>
      </c>
      <c r="BC136" s="3" t="s">
        <v>81</v>
      </c>
      <c r="BD136" s="3" t="s">
        <v>81</v>
      </c>
      <c r="BE136" s="3" t="s">
        <v>81</v>
      </c>
      <c r="BF136" s="3" t="s">
        <v>81</v>
      </c>
      <c r="BG136" s="3" t="s">
        <v>81</v>
      </c>
      <c r="BH136" s="3" t="s">
        <v>81</v>
      </c>
      <c r="BI136" s="3" t="s">
        <v>84</v>
      </c>
      <c r="BJ136" s="3" t="s">
        <v>82</v>
      </c>
      <c r="BK136" s="3" t="s">
        <v>83</v>
      </c>
      <c r="BL136" s="3" t="s">
        <v>84</v>
      </c>
      <c r="BM136" s="3" t="s">
        <v>84</v>
      </c>
      <c r="BN136" s="3" t="s">
        <v>84</v>
      </c>
      <c r="BO136" s="3" t="s">
        <v>84</v>
      </c>
      <c r="BP136" s="3" t="s">
        <v>420</v>
      </c>
      <c r="BQ136" s="3" t="s">
        <v>420</v>
      </c>
      <c r="BR136" s="3" t="s">
        <v>421</v>
      </c>
      <c r="BS136" s="3" t="s">
        <v>422</v>
      </c>
      <c r="BT136" s="3" t="s">
        <v>98</v>
      </c>
      <c r="BU136" s="3" t="s">
        <v>87</v>
      </c>
      <c r="BV136" s="3" t="s">
        <v>82</v>
      </c>
      <c r="BW136" s="3" t="s">
        <v>91</v>
      </c>
      <c r="BX136" s="3" t="s">
        <v>82</v>
      </c>
      <c r="BZ136" s="3" t="s">
        <v>86</v>
      </c>
      <c r="CB136" s="3" t="s">
        <v>84</v>
      </c>
    </row>
    <row r="137" spans="1:87" x14ac:dyDescent="0.15">
      <c r="A137" s="3">
        <v>2643317434</v>
      </c>
      <c r="B137" s="3" t="s">
        <v>413</v>
      </c>
      <c r="C137" s="3" t="s">
        <v>413</v>
      </c>
      <c r="D137" s="3" t="s">
        <v>81</v>
      </c>
      <c r="E137" s="3">
        <v>47</v>
      </c>
      <c r="F137" s="3">
        <v>47.024999999999999</v>
      </c>
      <c r="G137" s="3">
        <v>0</v>
      </c>
      <c r="H137" s="3" t="s">
        <v>81</v>
      </c>
      <c r="I137" s="3" t="s">
        <v>81</v>
      </c>
      <c r="J137" s="3" t="s">
        <v>81</v>
      </c>
      <c r="K137" s="3" t="s">
        <v>81</v>
      </c>
      <c r="L137" s="3" t="s">
        <v>81</v>
      </c>
      <c r="M137" s="3" t="s">
        <v>81</v>
      </c>
      <c r="N137" s="3" t="s">
        <v>81</v>
      </c>
      <c r="O137" s="3" t="s">
        <v>81</v>
      </c>
      <c r="P137" s="3" t="s">
        <v>81</v>
      </c>
      <c r="Q137" s="3">
        <v>47.256</v>
      </c>
      <c r="R137" s="3">
        <v>0</v>
      </c>
      <c r="S137" s="3" t="s">
        <v>81</v>
      </c>
      <c r="T137" s="3" t="s">
        <v>81</v>
      </c>
      <c r="U137" s="3" t="s">
        <v>81</v>
      </c>
      <c r="V137" s="3" t="s">
        <v>81</v>
      </c>
      <c r="W137" s="3" t="s">
        <v>81</v>
      </c>
      <c r="X137" s="3" t="s">
        <v>81</v>
      </c>
      <c r="Y137" s="3" t="s">
        <v>81</v>
      </c>
      <c r="Z137" s="3" t="s">
        <v>81</v>
      </c>
      <c r="AA137" s="3" t="s">
        <v>81</v>
      </c>
      <c r="AB137" s="3">
        <v>43.363999999999997</v>
      </c>
      <c r="AC137" s="3">
        <v>0</v>
      </c>
      <c r="AD137" s="3" t="s">
        <v>81</v>
      </c>
      <c r="AE137" s="3" t="s">
        <v>81</v>
      </c>
      <c r="AF137" s="3" t="s">
        <v>81</v>
      </c>
      <c r="AG137" s="3" t="s">
        <v>81</v>
      </c>
      <c r="AH137" s="3" t="s">
        <v>81</v>
      </c>
      <c r="AI137" s="3" t="s">
        <v>81</v>
      </c>
      <c r="AJ137" s="3" t="s">
        <v>81</v>
      </c>
      <c r="AK137" s="3" t="s">
        <v>81</v>
      </c>
      <c r="AL137" s="3" t="s">
        <v>81</v>
      </c>
      <c r="AM137" s="3">
        <v>50.164999999999999</v>
      </c>
      <c r="AN137" s="3">
        <v>0</v>
      </c>
      <c r="AO137" s="3" t="s">
        <v>81</v>
      </c>
      <c r="AP137" s="3" t="s">
        <v>81</v>
      </c>
      <c r="AQ137" s="3" t="s">
        <v>81</v>
      </c>
      <c r="AR137" s="3" t="s">
        <v>81</v>
      </c>
      <c r="AS137" s="3" t="s">
        <v>81</v>
      </c>
      <c r="AT137" s="3" t="s">
        <v>81</v>
      </c>
      <c r="AU137" s="3" t="s">
        <v>81</v>
      </c>
      <c r="AV137" s="3" t="s">
        <v>81</v>
      </c>
      <c r="AW137" s="3" t="s">
        <v>81</v>
      </c>
      <c r="AX137" s="3">
        <v>44.261000000000003</v>
      </c>
      <c r="AY137" s="3">
        <v>0</v>
      </c>
      <c r="AZ137" s="3" t="s">
        <v>81</v>
      </c>
      <c r="BA137" s="3" t="s">
        <v>81</v>
      </c>
      <c r="BB137" s="3" t="s">
        <v>81</v>
      </c>
      <c r="BC137" s="3" t="s">
        <v>81</v>
      </c>
      <c r="BD137" s="3" t="s">
        <v>81</v>
      </c>
      <c r="BE137" s="3" t="s">
        <v>81</v>
      </c>
      <c r="BF137" s="3" t="s">
        <v>81</v>
      </c>
      <c r="BG137" s="3" t="s">
        <v>81</v>
      </c>
      <c r="BH137" s="3" t="s">
        <v>81</v>
      </c>
      <c r="BI137" s="3" t="s">
        <v>84</v>
      </c>
      <c r="BJ137" s="3" t="s">
        <v>82</v>
      </c>
      <c r="BK137" s="3" t="s">
        <v>83</v>
      </c>
      <c r="BL137" s="3" t="s">
        <v>84</v>
      </c>
      <c r="BM137" s="3" t="s">
        <v>84</v>
      </c>
      <c r="BN137" s="3" t="s">
        <v>84</v>
      </c>
      <c r="BO137" s="3" t="s">
        <v>84</v>
      </c>
      <c r="BP137" s="3" t="s">
        <v>85</v>
      </c>
      <c r="BQ137" s="3" t="s">
        <v>85</v>
      </c>
      <c r="BR137" s="3" t="s">
        <v>423</v>
      </c>
      <c r="BS137" s="3" t="s">
        <v>424</v>
      </c>
      <c r="BT137" s="3" t="s">
        <v>85</v>
      </c>
      <c r="BU137" s="3" t="s">
        <v>98</v>
      </c>
      <c r="BV137" s="3" t="s">
        <v>82</v>
      </c>
      <c r="BW137" s="3" t="s">
        <v>91</v>
      </c>
      <c r="BX137" s="3" t="s">
        <v>82</v>
      </c>
      <c r="BY137" s="3" t="s">
        <v>425</v>
      </c>
      <c r="BZ137" s="3" t="s">
        <v>86</v>
      </c>
      <c r="CB137" s="3" t="s">
        <v>84</v>
      </c>
    </row>
    <row r="138" spans="1:87" x14ac:dyDescent="0.15">
      <c r="A138" s="3">
        <v>2625828034</v>
      </c>
      <c r="B138" s="3" t="s">
        <v>522</v>
      </c>
      <c r="C138" s="3" t="s">
        <v>522</v>
      </c>
      <c r="D138" s="3">
        <v>6</v>
      </c>
      <c r="E138" s="3">
        <v>7</v>
      </c>
      <c r="F138" s="3">
        <v>52.057000000000002</v>
      </c>
      <c r="G138" s="3">
        <v>0</v>
      </c>
      <c r="H138" s="3" t="s">
        <v>81</v>
      </c>
      <c r="I138" s="3" t="s">
        <v>81</v>
      </c>
      <c r="J138" s="3" t="s">
        <v>81</v>
      </c>
      <c r="K138" s="3" t="s">
        <v>81</v>
      </c>
      <c r="L138" s="3" t="s">
        <v>81</v>
      </c>
      <c r="M138" s="3" t="s">
        <v>81</v>
      </c>
      <c r="N138" s="3" t="s">
        <v>81</v>
      </c>
      <c r="O138" s="3" t="s">
        <v>81</v>
      </c>
      <c r="P138" s="3" t="s">
        <v>81</v>
      </c>
      <c r="Q138" s="3">
        <v>53.088000000000001</v>
      </c>
      <c r="R138" s="3">
        <v>0</v>
      </c>
      <c r="S138" s="3" t="s">
        <v>81</v>
      </c>
      <c r="T138" s="3" t="s">
        <v>81</v>
      </c>
      <c r="U138" s="3" t="s">
        <v>81</v>
      </c>
      <c r="V138" s="3" t="s">
        <v>81</v>
      </c>
      <c r="W138" s="3" t="s">
        <v>81</v>
      </c>
      <c r="X138" s="3" t="s">
        <v>81</v>
      </c>
      <c r="Y138" s="3" t="s">
        <v>81</v>
      </c>
      <c r="Z138" s="3" t="s">
        <v>81</v>
      </c>
      <c r="AA138" s="3" t="s">
        <v>81</v>
      </c>
      <c r="AB138" s="3">
        <v>48.371000000000002</v>
      </c>
      <c r="AC138" s="3">
        <v>0</v>
      </c>
      <c r="AD138" s="3" t="s">
        <v>81</v>
      </c>
      <c r="AE138" s="3" t="s">
        <v>81</v>
      </c>
      <c r="AF138" s="3" t="s">
        <v>81</v>
      </c>
      <c r="AG138" s="3" t="s">
        <v>81</v>
      </c>
      <c r="AH138" s="3" t="s">
        <v>81</v>
      </c>
      <c r="AI138" s="3" t="s">
        <v>81</v>
      </c>
      <c r="AJ138" s="3" t="s">
        <v>81</v>
      </c>
      <c r="AK138" s="3" t="s">
        <v>81</v>
      </c>
      <c r="AL138" s="3" t="s">
        <v>81</v>
      </c>
      <c r="AM138" s="3">
        <v>53.292000000000002</v>
      </c>
      <c r="AN138" s="3">
        <v>0</v>
      </c>
      <c r="AO138" s="3" t="s">
        <v>81</v>
      </c>
      <c r="AP138" s="3" t="s">
        <v>81</v>
      </c>
      <c r="AQ138" s="3" t="s">
        <v>81</v>
      </c>
      <c r="AR138" s="3" t="s">
        <v>81</v>
      </c>
      <c r="AS138" s="3" t="s">
        <v>81</v>
      </c>
      <c r="AT138" s="3" t="s">
        <v>81</v>
      </c>
      <c r="AU138" s="3" t="s">
        <v>81</v>
      </c>
      <c r="AV138" s="3" t="s">
        <v>81</v>
      </c>
      <c r="AW138" s="3" t="s">
        <v>81</v>
      </c>
      <c r="AX138" s="3">
        <v>54.213000000000001</v>
      </c>
      <c r="AY138" s="3">
        <v>0</v>
      </c>
      <c r="AZ138" s="3" t="s">
        <v>81</v>
      </c>
      <c r="BA138" s="3" t="s">
        <v>81</v>
      </c>
      <c r="BB138" s="3" t="s">
        <v>81</v>
      </c>
      <c r="BC138" s="3" t="s">
        <v>81</v>
      </c>
      <c r="BD138" s="3" t="s">
        <v>81</v>
      </c>
      <c r="BE138" s="3" t="s">
        <v>81</v>
      </c>
      <c r="BF138" s="3" t="s">
        <v>81</v>
      </c>
      <c r="BG138" s="3" t="s">
        <v>81</v>
      </c>
      <c r="BH138" s="3" t="s">
        <v>81</v>
      </c>
      <c r="BI138" s="3" t="s">
        <v>82</v>
      </c>
      <c r="BJ138" s="3" t="s">
        <v>82</v>
      </c>
      <c r="BK138" s="3" t="s">
        <v>83</v>
      </c>
      <c r="BL138" s="3" t="s">
        <v>84</v>
      </c>
      <c r="BM138" s="3" t="s">
        <v>84</v>
      </c>
      <c r="BN138" s="3" t="s">
        <v>82</v>
      </c>
      <c r="BO138" s="3" t="s">
        <v>84</v>
      </c>
      <c r="BP138" s="3" t="s">
        <v>81</v>
      </c>
      <c r="BQ138" s="3" t="s">
        <v>81</v>
      </c>
      <c r="BR138" s="3" t="s">
        <v>81</v>
      </c>
      <c r="BS138" s="3" t="s">
        <v>81</v>
      </c>
      <c r="BT138" s="3" t="s">
        <v>81</v>
      </c>
      <c r="BU138" s="3" t="s">
        <v>81</v>
      </c>
      <c r="BV138" s="3" t="s">
        <v>84</v>
      </c>
      <c r="BW138" s="3" t="s">
        <v>83</v>
      </c>
      <c r="BX138" s="3" t="s">
        <v>82</v>
      </c>
      <c r="BY138" s="3" t="s">
        <v>173</v>
      </c>
      <c r="BZ138" s="3" t="s">
        <v>86</v>
      </c>
      <c r="CA138" s="3"/>
      <c r="CB138" s="3" t="s">
        <v>84</v>
      </c>
      <c r="CC138" s="3"/>
      <c r="CD138" s="3"/>
      <c r="CE138" s="3"/>
      <c r="CF138" s="3"/>
      <c r="CG138" s="3"/>
      <c r="CH138" s="3"/>
      <c r="CI138" s="3"/>
    </row>
    <row r="139" spans="1:87" x14ac:dyDescent="0.15">
      <c r="A139" s="3">
        <v>1321975384</v>
      </c>
      <c r="B139" s="3" t="s">
        <v>522</v>
      </c>
      <c r="C139" s="3" t="s">
        <v>522</v>
      </c>
      <c r="D139" s="3" t="s">
        <v>81</v>
      </c>
      <c r="E139" s="3">
        <v>20</v>
      </c>
      <c r="F139" s="3">
        <v>39.905999999999999</v>
      </c>
      <c r="G139" s="3">
        <v>0</v>
      </c>
      <c r="H139" s="3" t="s">
        <v>81</v>
      </c>
      <c r="I139" s="3" t="s">
        <v>81</v>
      </c>
      <c r="J139" s="3" t="s">
        <v>81</v>
      </c>
      <c r="K139" s="3" t="s">
        <v>81</v>
      </c>
      <c r="L139" s="3" t="s">
        <v>81</v>
      </c>
      <c r="M139" s="3" t="s">
        <v>81</v>
      </c>
      <c r="N139" s="3" t="s">
        <v>81</v>
      </c>
      <c r="O139" s="3" t="s">
        <v>81</v>
      </c>
      <c r="P139" s="3" t="s">
        <v>81</v>
      </c>
      <c r="Q139" s="3">
        <v>45.884999999999998</v>
      </c>
      <c r="R139" s="3">
        <v>0</v>
      </c>
      <c r="S139" s="3" t="s">
        <v>81</v>
      </c>
      <c r="T139" s="3" t="s">
        <v>81</v>
      </c>
      <c r="U139" s="3" t="s">
        <v>81</v>
      </c>
      <c r="V139" s="3" t="s">
        <v>81</v>
      </c>
      <c r="W139" s="3" t="s">
        <v>81</v>
      </c>
      <c r="X139" s="3" t="s">
        <v>81</v>
      </c>
      <c r="Y139" s="3" t="s">
        <v>81</v>
      </c>
      <c r="Z139" s="3" t="s">
        <v>81</v>
      </c>
      <c r="AA139" s="3" t="s">
        <v>81</v>
      </c>
      <c r="AB139" s="3">
        <v>37.648000000000003</v>
      </c>
      <c r="AC139" s="3">
        <v>0</v>
      </c>
      <c r="AD139" s="3" t="s">
        <v>81</v>
      </c>
      <c r="AE139" s="3" t="s">
        <v>81</v>
      </c>
      <c r="AF139" s="3" t="s">
        <v>81</v>
      </c>
      <c r="AG139" s="3" t="s">
        <v>81</v>
      </c>
      <c r="AH139" s="3" t="s">
        <v>81</v>
      </c>
      <c r="AI139" s="3" t="s">
        <v>81</v>
      </c>
      <c r="AJ139" s="3" t="s">
        <v>81</v>
      </c>
      <c r="AK139" s="3" t="s">
        <v>81</v>
      </c>
      <c r="AL139" s="3" t="s">
        <v>81</v>
      </c>
      <c r="AM139" s="3">
        <v>37.247999999999998</v>
      </c>
      <c r="AN139" s="3">
        <v>0</v>
      </c>
      <c r="AO139" s="3" t="s">
        <v>81</v>
      </c>
      <c r="AP139" s="3" t="s">
        <v>81</v>
      </c>
      <c r="AQ139" s="3" t="s">
        <v>81</v>
      </c>
      <c r="AR139" s="3" t="s">
        <v>81</v>
      </c>
      <c r="AS139" s="3" t="s">
        <v>81</v>
      </c>
      <c r="AT139" s="3" t="s">
        <v>81</v>
      </c>
      <c r="AU139" s="3" t="s">
        <v>81</v>
      </c>
      <c r="AV139" s="3" t="s">
        <v>81</v>
      </c>
      <c r="AW139" s="3" t="s">
        <v>81</v>
      </c>
      <c r="AX139" s="3">
        <v>44.322000000000003</v>
      </c>
      <c r="AY139" s="3">
        <v>0</v>
      </c>
      <c r="AZ139" s="3" t="s">
        <v>81</v>
      </c>
      <c r="BA139" s="3" t="s">
        <v>81</v>
      </c>
      <c r="BB139" s="3" t="s">
        <v>81</v>
      </c>
      <c r="BC139" s="3" t="s">
        <v>81</v>
      </c>
      <c r="BD139" s="3" t="s">
        <v>81</v>
      </c>
      <c r="BE139" s="3" t="s">
        <v>81</v>
      </c>
      <c r="BF139" s="3" t="s">
        <v>81</v>
      </c>
      <c r="BG139" s="3" t="s">
        <v>81</v>
      </c>
      <c r="BH139" s="3" t="s">
        <v>81</v>
      </c>
      <c r="BI139" s="3" t="s">
        <v>84</v>
      </c>
      <c r="BJ139" s="3" t="s">
        <v>82</v>
      </c>
      <c r="BK139" s="3" t="s">
        <v>83</v>
      </c>
      <c r="BL139" s="3" t="s">
        <v>84</v>
      </c>
      <c r="BM139" s="3" t="s">
        <v>84</v>
      </c>
      <c r="BN139" s="3" t="s">
        <v>82</v>
      </c>
      <c r="BO139" s="3" t="s">
        <v>84</v>
      </c>
      <c r="BP139" s="3" t="s">
        <v>81</v>
      </c>
      <c r="BQ139" s="3" t="s">
        <v>81</v>
      </c>
      <c r="BR139" s="3" t="s">
        <v>81</v>
      </c>
      <c r="BS139" s="3" t="s">
        <v>81</v>
      </c>
      <c r="BT139" s="3" t="s">
        <v>81</v>
      </c>
      <c r="BU139" s="3" t="s">
        <v>81</v>
      </c>
      <c r="BV139" s="3" t="s">
        <v>84</v>
      </c>
      <c r="BW139" s="3" t="s">
        <v>83</v>
      </c>
      <c r="BX139" s="3" t="s">
        <v>82</v>
      </c>
      <c r="BY139" s="3" t="s">
        <v>173</v>
      </c>
      <c r="BZ139" s="3" t="s">
        <v>86</v>
      </c>
      <c r="CB139" s="3" t="s">
        <v>84</v>
      </c>
    </row>
    <row r="140" spans="1:87" x14ac:dyDescent="0.15">
      <c r="A140" s="3">
        <v>2643313885</v>
      </c>
      <c r="B140" s="3" t="s">
        <v>522</v>
      </c>
      <c r="C140" s="3" t="s">
        <v>522</v>
      </c>
      <c r="D140" s="3" t="s">
        <v>81</v>
      </c>
      <c r="E140" s="3">
        <v>14</v>
      </c>
      <c r="F140" s="3">
        <v>25.251000000000001</v>
      </c>
      <c r="G140" s="3">
        <v>0</v>
      </c>
      <c r="H140" s="3" t="s">
        <v>81</v>
      </c>
      <c r="I140" s="3" t="s">
        <v>81</v>
      </c>
      <c r="J140" s="3" t="s">
        <v>81</v>
      </c>
      <c r="K140" s="3" t="s">
        <v>81</v>
      </c>
      <c r="L140" s="3" t="s">
        <v>81</v>
      </c>
      <c r="M140" s="3" t="s">
        <v>81</v>
      </c>
      <c r="N140" s="3" t="s">
        <v>81</v>
      </c>
      <c r="O140" s="3" t="s">
        <v>81</v>
      </c>
      <c r="P140" s="3" t="s">
        <v>81</v>
      </c>
      <c r="Q140" s="3">
        <v>22.812999999999999</v>
      </c>
      <c r="R140" s="3">
        <v>0</v>
      </c>
      <c r="S140" s="3" t="s">
        <v>81</v>
      </c>
      <c r="T140" s="3" t="s">
        <v>81</v>
      </c>
      <c r="U140" s="3" t="s">
        <v>81</v>
      </c>
      <c r="V140" s="3" t="s">
        <v>81</v>
      </c>
      <c r="W140" s="3" t="s">
        <v>81</v>
      </c>
      <c r="X140" s="3" t="s">
        <v>81</v>
      </c>
      <c r="Y140" s="3" t="s">
        <v>81</v>
      </c>
      <c r="Z140" s="3" t="s">
        <v>81</v>
      </c>
      <c r="AA140" s="3" t="s">
        <v>81</v>
      </c>
      <c r="AB140" s="3">
        <v>31.071999999999999</v>
      </c>
      <c r="AC140" s="3">
        <v>0</v>
      </c>
      <c r="AD140" s="3" t="s">
        <v>81</v>
      </c>
      <c r="AE140" s="3" t="s">
        <v>81</v>
      </c>
      <c r="AF140" s="3" t="s">
        <v>81</v>
      </c>
      <c r="AG140" s="3" t="s">
        <v>81</v>
      </c>
      <c r="AH140" s="3" t="s">
        <v>81</v>
      </c>
      <c r="AI140" s="3" t="s">
        <v>81</v>
      </c>
      <c r="AJ140" s="3" t="s">
        <v>81</v>
      </c>
      <c r="AK140" s="3" t="s">
        <v>81</v>
      </c>
      <c r="AL140" s="3" t="s">
        <v>81</v>
      </c>
      <c r="AM140" s="3">
        <v>31.741</v>
      </c>
      <c r="AN140" s="3">
        <v>0</v>
      </c>
      <c r="AO140" s="3" t="s">
        <v>81</v>
      </c>
      <c r="AP140" s="3" t="s">
        <v>81</v>
      </c>
      <c r="AQ140" s="3" t="s">
        <v>81</v>
      </c>
      <c r="AR140" s="3" t="s">
        <v>81</v>
      </c>
      <c r="AS140" s="3" t="s">
        <v>81</v>
      </c>
      <c r="AT140" s="3" t="s">
        <v>81</v>
      </c>
      <c r="AU140" s="3" t="s">
        <v>81</v>
      </c>
      <c r="AV140" s="3" t="s">
        <v>81</v>
      </c>
      <c r="AW140" s="3" t="s">
        <v>81</v>
      </c>
      <c r="AX140" s="3">
        <v>25.43</v>
      </c>
      <c r="AY140" s="3">
        <v>0</v>
      </c>
      <c r="AZ140" s="3" t="s">
        <v>81</v>
      </c>
      <c r="BA140" s="3" t="s">
        <v>81</v>
      </c>
      <c r="BB140" s="3" t="s">
        <v>81</v>
      </c>
      <c r="BC140" s="3" t="s">
        <v>81</v>
      </c>
      <c r="BD140" s="3" t="s">
        <v>81</v>
      </c>
      <c r="BE140" s="3" t="s">
        <v>81</v>
      </c>
      <c r="BF140" s="3" t="s">
        <v>81</v>
      </c>
      <c r="BG140" s="3" t="s">
        <v>81</v>
      </c>
      <c r="BH140" s="3" t="s">
        <v>81</v>
      </c>
      <c r="BI140" s="3" t="s">
        <v>84</v>
      </c>
      <c r="BJ140" s="3" t="s">
        <v>82</v>
      </c>
      <c r="BK140" s="3" t="s">
        <v>82</v>
      </c>
      <c r="BL140" s="3" t="s">
        <v>84</v>
      </c>
      <c r="BM140" s="3" t="s">
        <v>84</v>
      </c>
      <c r="BN140" s="3" t="s">
        <v>82</v>
      </c>
      <c r="BO140" s="3" t="s">
        <v>84</v>
      </c>
      <c r="BP140" s="3" t="s">
        <v>85</v>
      </c>
      <c r="BQ140" s="3" t="s">
        <v>85</v>
      </c>
      <c r="BR140" s="3" t="s">
        <v>85</v>
      </c>
      <c r="BS140" s="3" t="s">
        <v>85</v>
      </c>
      <c r="BT140" s="3" t="s">
        <v>85</v>
      </c>
      <c r="BU140" s="3" t="s">
        <v>81</v>
      </c>
      <c r="BV140" s="3" t="s">
        <v>84</v>
      </c>
      <c r="BW140" s="3" t="s">
        <v>83</v>
      </c>
      <c r="BX140" s="3" t="s">
        <v>82</v>
      </c>
      <c r="BZ140" s="3" t="s">
        <v>86</v>
      </c>
      <c r="CB140" s="3" t="s">
        <v>84</v>
      </c>
    </row>
    <row r="141" spans="1:87" x14ac:dyDescent="0.15">
      <c r="A141" s="3">
        <v>2625915416</v>
      </c>
      <c r="B141" s="3" t="s">
        <v>426</v>
      </c>
      <c r="C141" s="3" t="s">
        <v>426</v>
      </c>
      <c r="D141" s="3" t="s">
        <v>81</v>
      </c>
      <c r="E141" s="3">
        <v>38</v>
      </c>
      <c r="F141" s="3">
        <v>47.984000000000002</v>
      </c>
      <c r="G141" s="3">
        <v>0</v>
      </c>
      <c r="H141" s="3" t="s">
        <v>81</v>
      </c>
      <c r="I141" s="3" t="s">
        <v>81</v>
      </c>
      <c r="J141" s="3" t="s">
        <v>81</v>
      </c>
      <c r="K141" s="3" t="s">
        <v>81</v>
      </c>
      <c r="L141" s="3" t="s">
        <v>81</v>
      </c>
      <c r="M141" s="3" t="s">
        <v>81</v>
      </c>
      <c r="N141" s="3" t="s">
        <v>81</v>
      </c>
      <c r="O141" s="3" t="s">
        <v>81</v>
      </c>
      <c r="P141" s="3" t="s">
        <v>81</v>
      </c>
      <c r="Q141" s="3">
        <v>45.939</v>
      </c>
      <c r="R141" s="3">
        <v>0</v>
      </c>
      <c r="S141" s="3" t="s">
        <v>81</v>
      </c>
      <c r="T141" s="3" t="s">
        <v>81</v>
      </c>
      <c r="U141" s="3" t="s">
        <v>81</v>
      </c>
      <c r="V141" s="3" t="s">
        <v>81</v>
      </c>
      <c r="W141" s="3" t="s">
        <v>81</v>
      </c>
      <c r="X141" s="3" t="s">
        <v>81</v>
      </c>
      <c r="Y141" s="3" t="s">
        <v>81</v>
      </c>
      <c r="Z141" s="3" t="s">
        <v>81</v>
      </c>
      <c r="AA141" s="3" t="s">
        <v>81</v>
      </c>
      <c r="AB141" s="3">
        <v>44.985999999999997</v>
      </c>
      <c r="AC141" s="3">
        <v>0</v>
      </c>
      <c r="AD141" s="3" t="s">
        <v>81</v>
      </c>
      <c r="AE141" s="3" t="s">
        <v>81</v>
      </c>
      <c r="AF141" s="3" t="s">
        <v>81</v>
      </c>
      <c r="AG141" s="3" t="s">
        <v>81</v>
      </c>
      <c r="AH141" s="3" t="s">
        <v>81</v>
      </c>
      <c r="AI141" s="3" t="s">
        <v>81</v>
      </c>
      <c r="AJ141" s="3" t="s">
        <v>81</v>
      </c>
      <c r="AK141" s="3" t="s">
        <v>81</v>
      </c>
      <c r="AL141" s="3" t="s">
        <v>81</v>
      </c>
      <c r="AM141" s="3">
        <v>42.874000000000002</v>
      </c>
      <c r="AN141" s="3">
        <v>0</v>
      </c>
      <c r="AO141" s="3" t="s">
        <v>81</v>
      </c>
      <c r="AP141" s="3" t="s">
        <v>81</v>
      </c>
      <c r="AQ141" s="3" t="s">
        <v>81</v>
      </c>
      <c r="AR141" s="3" t="s">
        <v>81</v>
      </c>
      <c r="AS141" s="3" t="s">
        <v>81</v>
      </c>
      <c r="AT141" s="3" t="s">
        <v>81</v>
      </c>
      <c r="AU141" s="3" t="s">
        <v>81</v>
      </c>
      <c r="AV141" s="3" t="s">
        <v>81</v>
      </c>
      <c r="AW141" s="3" t="s">
        <v>81</v>
      </c>
      <c r="AX141" s="3">
        <v>49.994999999999997</v>
      </c>
      <c r="AY141" s="3">
        <v>0</v>
      </c>
      <c r="AZ141" s="3" t="s">
        <v>81</v>
      </c>
      <c r="BA141" s="3" t="s">
        <v>81</v>
      </c>
      <c r="BB141" s="3" t="s">
        <v>81</v>
      </c>
      <c r="BC141" s="3" t="s">
        <v>81</v>
      </c>
      <c r="BD141" s="3" t="s">
        <v>81</v>
      </c>
      <c r="BE141" s="3" t="s">
        <v>81</v>
      </c>
      <c r="BF141" s="3" t="s">
        <v>81</v>
      </c>
      <c r="BG141" s="3" t="s">
        <v>81</v>
      </c>
      <c r="BH141" s="3" t="s">
        <v>81</v>
      </c>
      <c r="BI141" s="3" t="s">
        <v>84</v>
      </c>
      <c r="BJ141" s="3" t="s">
        <v>82</v>
      </c>
      <c r="BK141" s="3" t="s">
        <v>83</v>
      </c>
      <c r="BL141" s="3" t="s">
        <v>84</v>
      </c>
      <c r="BM141" s="3" t="s">
        <v>84</v>
      </c>
      <c r="BN141" s="3"/>
      <c r="BO141" s="3" t="s">
        <v>82</v>
      </c>
      <c r="BP141" s="3" t="s">
        <v>113</v>
      </c>
      <c r="BQ141" s="3" t="s">
        <v>87</v>
      </c>
      <c r="BR141" s="3" t="s">
        <v>87</v>
      </c>
      <c r="BS141" s="3" t="s">
        <v>87</v>
      </c>
      <c r="BT141" s="3" t="s">
        <v>87</v>
      </c>
      <c r="BU141" s="3" t="s">
        <v>81</v>
      </c>
      <c r="BV141" s="3" t="s">
        <v>84</v>
      </c>
      <c r="BW141" s="3"/>
      <c r="BX141" s="3" t="s">
        <v>82</v>
      </c>
      <c r="BY141" s="3" t="s">
        <v>427</v>
      </c>
      <c r="BZ141" s="3" t="s">
        <v>86</v>
      </c>
      <c r="CB141" s="3" t="s">
        <v>84</v>
      </c>
    </row>
    <row r="142" spans="1:87" x14ac:dyDescent="0.15">
      <c r="A142" s="3">
        <v>1847925674</v>
      </c>
      <c r="B142" s="3" t="s">
        <v>426</v>
      </c>
      <c r="C142" s="3" t="s">
        <v>426</v>
      </c>
      <c r="D142" s="3">
        <v>13</v>
      </c>
      <c r="E142" s="3">
        <v>17</v>
      </c>
      <c r="F142" s="3">
        <v>62.209000000000003</v>
      </c>
      <c r="G142" s="3">
        <v>0</v>
      </c>
      <c r="H142" s="3" t="s">
        <v>81</v>
      </c>
      <c r="I142" s="3" t="s">
        <v>81</v>
      </c>
      <c r="J142" s="3" t="s">
        <v>81</v>
      </c>
      <c r="K142" s="3" t="s">
        <v>81</v>
      </c>
      <c r="L142" s="3" t="s">
        <v>81</v>
      </c>
      <c r="M142" s="3" t="s">
        <v>81</v>
      </c>
      <c r="N142" s="3" t="s">
        <v>81</v>
      </c>
      <c r="O142" s="3" t="s">
        <v>81</v>
      </c>
      <c r="P142" s="3" t="s">
        <v>81</v>
      </c>
      <c r="Q142" s="3">
        <v>47.508000000000003</v>
      </c>
      <c r="R142" s="3">
        <v>0</v>
      </c>
      <c r="S142" s="3" t="s">
        <v>81</v>
      </c>
      <c r="T142" s="3" t="s">
        <v>81</v>
      </c>
      <c r="U142" s="3" t="s">
        <v>81</v>
      </c>
      <c r="V142" s="3" t="s">
        <v>81</v>
      </c>
      <c r="W142" s="3" t="s">
        <v>81</v>
      </c>
      <c r="X142" s="3" t="s">
        <v>81</v>
      </c>
      <c r="Y142" s="3" t="s">
        <v>81</v>
      </c>
      <c r="Z142" s="3" t="s">
        <v>81</v>
      </c>
      <c r="AA142" s="3" t="s">
        <v>81</v>
      </c>
      <c r="AB142" s="3">
        <v>53.305999999999997</v>
      </c>
      <c r="AC142" s="3">
        <v>0</v>
      </c>
      <c r="AD142" s="3" t="s">
        <v>81</v>
      </c>
      <c r="AE142" s="3" t="s">
        <v>81</v>
      </c>
      <c r="AF142" s="3" t="s">
        <v>81</v>
      </c>
      <c r="AG142" s="3" t="s">
        <v>81</v>
      </c>
      <c r="AH142" s="3" t="s">
        <v>81</v>
      </c>
      <c r="AI142" s="3" t="s">
        <v>81</v>
      </c>
      <c r="AJ142" s="3" t="s">
        <v>81</v>
      </c>
      <c r="AK142" s="3" t="s">
        <v>81</v>
      </c>
      <c r="AL142" s="3" t="s">
        <v>81</v>
      </c>
      <c r="AM142" s="3">
        <v>50.073</v>
      </c>
      <c r="AN142" s="3">
        <v>0</v>
      </c>
      <c r="AO142" s="3" t="s">
        <v>81</v>
      </c>
      <c r="AP142" s="3" t="s">
        <v>81</v>
      </c>
      <c r="AQ142" s="3" t="s">
        <v>81</v>
      </c>
      <c r="AR142" s="3" t="s">
        <v>81</v>
      </c>
      <c r="AS142" s="3" t="s">
        <v>81</v>
      </c>
      <c r="AT142" s="3" t="s">
        <v>81</v>
      </c>
      <c r="AU142" s="3" t="s">
        <v>81</v>
      </c>
      <c r="AV142" s="3" t="s">
        <v>81</v>
      </c>
      <c r="AW142" s="3" t="s">
        <v>81</v>
      </c>
      <c r="AX142" s="3">
        <v>47.475999999999999</v>
      </c>
      <c r="AY142" s="3">
        <v>0</v>
      </c>
      <c r="AZ142" s="3" t="s">
        <v>81</v>
      </c>
      <c r="BA142" s="3" t="s">
        <v>81</v>
      </c>
      <c r="BB142" s="3" t="s">
        <v>81</v>
      </c>
      <c r="BC142" s="3" t="s">
        <v>81</v>
      </c>
      <c r="BD142" s="3" t="s">
        <v>81</v>
      </c>
      <c r="BE142" s="3" t="s">
        <v>81</v>
      </c>
      <c r="BF142" s="3" t="s">
        <v>81</v>
      </c>
      <c r="BG142" s="3" t="s">
        <v>81</v>
      </c>
      <c r="BH142" s="3" t="s">
        <v>81</v>
      </c>
      <c r="BI142" s="3" t="s">
        <v>84</v>
      </c>
      <c r="BJ142" s="3" t="s">
        <v>82</v>
      </c>
      <c r="BK142" s="3" t="s">
        <v>83</v>
      </c>
      <c r="BL142" s="3" t="s">
        <v>84</v>
      </c>
      <c r="BM142" s="3" t="s">
        <v>84</v>
      </c>
      <c r="BN142" s="3" t="s">
        <v>84</v>
      </c>
      <c r="BO142" s="3" t="s">
        <v>82</v>
      </c>
      <c r="BP142" s="3" t="s">
        <v>85</v>
      </c>
      <c r="BQ142" s="3" t="s">
        <v>85</v>
      </c>
      <c r="BR142" s="3" t="s">
        <v>85</v>
      </c>
      <c r="BS142" s="3" t="s">
        <v>85</v>
      </c>
      <c r="BT142" s="3" t="s">
        <v>85</v>
      </c>
      <c r="BU142" s="3" t="s">
        <v>81</v>
      </c>
      <c r="BV142" s="3" t="s">
        <v>82</v>
      </c>
      <c r="BW142" s="3" t="s">
        <v>91</v>
      </c>
      <c r="BX142" s="3" t="s">
        <v>82</v>
      </c>
      <c r="BY142" s="3" t="s">
        <v>428</v>
      </c>
      <c r="BZ142" s="3" t="s">
        <v>93</v>
      </c>
      <c r="CB142" s="3" t="s">
        <v>84</v>
      </c>
    </row>
    <row r="143" spans="1:87" x14ac:dyDescent="0.15">
      <c r="A143" s="3">
        <v>1847944574</v>
      </c>
      <c r="B143" s="3" t="s">
        <v>426</v>
      </c>
      <c r="C143" s="3" t="s">
        <v>426</v>
      </c>
      <c r="D143" s="3" t="s">
        <v>81</v>
      </c>
      <c r="E143" s="3">
        <v>21</v>
      </c>
      <c r="F143" s="3">
        <v>40.177</v>
      </c>
      <c r="G143" s="3">
        <v>0</v>
      </c>
      <c r="H143" s="3" t="s">
        <v>81</v>
      </c>
      <c r="I143" s="3" t="s">
        <v>81</v>
      </c>
      <c r="J143" s="3" t="s">
        <v>81</v>
      </c>
      <c r="K143" s="3" t="s">
        <v>81</v>
      </c>
      <c r="L143" s="3" t="s">
        <v>81</v>
      </c>
      <c r="M143" s="3" t="s">
        <v>81</v>
      </c>
      <c r="N143" s="3" t="s">
        <v>81</v>
      </c>
      <c r="O143" s="3" t="s">
        <v>81</v>
      </c>
      <c r="P143" s="3" t="s">
        <v>81</v>
      </c>
      <c r="Q143" s="3">
        <v>43.405999999999999</v>
      </c>
      <c r="R143" s="3">
        <v>0</v>
      </c>
      <c r="S143" s="3" t="s">
        <v>81</v>
      </c>
      <c r="T143" s="3" t="s">
        <v>81</v>
      </c>
      <c r="U143" s="3" t="s">
        <v>81</v>
      </c>
      <c r="V143" s="3" t="s">
        <v>81</v>
      </c>
      <c r="W143" s="3" t="s">
        <v>81</v>
      </c>
      <c r="X143" s="3" t="s">
        <v>81</v>
      </c>
      <c r="Y143" s="3" t="s">
        <v>81</v>
      </c>
      <c r="Z143" s="3" t="s">
        <v>81</v>
      </c>
      <c r="AA143" s="3" t="s">
        <v>81</v>
      </c>
      <c r="AB143" s="3">
        <v>29.611999999999998</v>
      </c>
      <c r="AC143" s="3">
        <v>0</v>
      </c>
      <c r="AD143" s="3" t="s">
        <v>81</v>
      </c>
      <c r="AE143" s="3" t="s">
        <v>81</v>
      </c>
      <c r="AF143" s="3" t="s">
        <v>81</v>
      </c>
      <c r="AG143" s="3" t="s">
        <v>81</v>
      </c>
      <c r="AH143" s="3" t="s">
        <v>81</v>
      </c>
      <c r="AI143" s="3" t="s">
        <v>81</v>
      </c>
      <c r="AJ143" s="3" t="s">
        <v>81</v>
      </c>
      <c r="AK143" s="3" t="s">
        <v>81</v>
      </c>
      <c r="AL143" s="3" t="s">
        <v>81</v>
      </c>
      <c r="AM143" s="3">
        <v>40.99</v>
      </c>
      <c r="AN143" s="3">
        <v>0</v>
      </c>
      <c r="AO143" s="3" t="s">
        <v>81</v>
      </c>
      <c r="AP143" s="3" t="s">
        <v>81</v>
      </c>
      <c r="AQ143" s="3" t="s">
        <v>81</v>
      </c>
      <c r="AR143" s="3" t="s">
        <v>81</v>
      </c>
      <c r="AS143" s="3" t="s">
        <v>81</v>
      </c>
      <c r="AT143" s="3" t="s">
        <v>81</v>
      </c>
      <c r="AU143" s="3" t="s">
        <v>81</v>
      </c>
      <c r="AV143" s="3" t="s">
        <v>81</v>
      </c>
      <c r="AW143" s="3" t="s">
        <v>81</v>
      </c>
      <c r="AX143" s="3">
        <v>49.654000000000003</v>
      </c>
      <c r="AY143" s="3">
        <v>0</v>
      </c>
      <c r="AZ143" s="3" t="s">
        <v>81</v>
      </c>
      <c r="BA143" s="3" t="s">
        <v>81</v>
      </c>
      <c r="BB143" s="3" t="s">
        <v>81</v>
      </c>
      <c r="BC143" s="3" t="s">
        <v>81</v>
      </c>
      <c r="BD143" s="3" t="s">
        <v>81</v>
      </c>
      <c r="BE143" s="3" t="s">
        <v>81</v>
      </c>
      <c r="BF143" s="3" t="s">
        <v>81</v>
      </c>
      <c r="BG143" s="3" t="s">
        <v>81</v>
      </c>
      <c r="BH143" s="3" t="s">
        <v>81</v>
      </c>
      <c r="BI143" s="3" t="s">
        <v>84</v>
      </c>
      <c r="BJ143" s="3" t="s">
        <v>82</v>
      </c>
      <c r="BK143" s="3" t="s">
        <v>83</v>
      </c>
      <c r="BL143" s="3" t="s">
        <v>84</v>
      </c>
      <c r="BM143" s="3" t="s">
        <v>84</v>
      </c>
      <c r="BN143" s="3" t="s">
        <v>84</v>
      </c>
      <c r="BO143" s="3" t="s">
        <v>82</v>
      </c>
      <c r="BP143" s="3" t="s">
        <v>429</v>
      </c>
      <c r="BQ143" s="3" t="s">
        <v>429</v>
      </c>
      <c r="BR143" s="3" t="s">
        <v>429</v>
      </c>
      <c r="BS143" s="3" t="s">
        <v>429</v>
      </c>
      <c r="BT143" s="3" t="s">
        <v>87</v>
      </c>
      <c r="BU143" s="3" t="s">
        <v>81</v>
      </c>
      <c r="BV143" s="3" t="s">
        <v>82</v>
      </c>
      <c r="BW143" s="3" t="s">
        <v>91</v>
      </c>
      <c r="BX143" s="3" t="s">
        <v>82</v>
      </c>
      <c r="BY143" s="3" t="s">
        <v>430</v>
      </c>
      <c r="BZ143" s="3" t="s">
        <v>93</v>
      </c>
      <c r="CB143" s="3" t="s">
        <v>84</v>
      </c>
    </row>
    <row r="144" spans="1:87" x14ac:dyDescent="0.15">
      <c r="A144" s="3">
        <v>2235977243</v>
      </c>
      <c r="B144" s="3" t="s">
        <v>426</v>
      </c>
      <c r="C144" s="3" t="s">
        <v>426</v>
      </c>
      <c r="D144" s="3" t="s">
        <v>81</v>
      </c>
      <c r="E144" s="3">
        <v>48</v>
      </c>
      <c r="F144" s="3">
        <v>60.908000000000001</v>
      </c>
      <c r="G144" s="3">
        <v>0</v>
      </c>
      <c r="H144" s="3" t="s">
        <v>81</v>
      </c>
      <c r="I144" s="3" t="s">
        <v>81</v>
      </c>
      <c r="J144" s="3" t="s">
        <v>81</v>
      </c>
      <c r="K144" s="3" t="s">
        <v>81</v>
      </c>
      <c r="L144" s="3" t="s">
        <v>81</v>
      </c>
      <c r="M144" s="3" t="s">
        <v>81</v>
      </c>
      <c r="N144" s="3" t="s">
        <v>81</v>
      </c>
      <c r="O144" s="3" t="s">
        <v>81</v>
      </c>
      <c r="P144" s="3" t="s">
        <v>81</v>
      </c>
      <c r="Q144" s="3">
        <v>60.765999999999998</v>
      </c>
      <c r="R144" s="3">
        <v>0</v>
      </c>
      <c r="S144" s="3" t="s">
        <v>81</v>
      </c>
      <c r="T144" s="3" t="s">
        <v>81</v>
      </c>
      <c r="U144" s="3" t="s">
        <v>81</v>
      </c>
      <c r="V144" s="3" t="s">
        <v>81</v>
      </c>
      <c r="W144" s="3" t="s">
        <v>81</v>
      </c>
      <c r="X144" s="3" t="s">
        <v>81</v>
      </c>
      <c r="Y144" s="3" t="s">
        <v>81</v>
      </c>
      <c r="Z144" s="3" t="s">
        <v>81</v>
      </c>
      <c r="AA144" s="3" t="s">
        <v>81</v>
      </c>
      <c r="AB144" s="3">
        <v>52.962000000000003</v>
      </c>
      <c r="AC144" s="3">
        <v>0</v>
      </c>
      <c r="AD144" s="3" t="s">
        <v>81</v>
      </c>
      <c r="AE144" s="3" t="s">
        <v>81</v>
      </c>
      <c r="AF144" s="3" t="s">
        <v>81</v>
      </c>
      <c r="AG144" s="3" t="s">
        <v>81</v>
      </c>
      <c r="AH144" s="3" t="s">
        <v>81</v>
      </c>
      <c r="AI144" s="3" t="s">
        <v>81</v>
      </c>
      <c r="AJ144" s="3" t="s">
        <v>81</v>
      </c>
      <c r="AK144" s="3" t="s">
        <v>81</v>
      </c>
      <c r="AL144" s="3" t="s">
        <v>81</v>
      </c>
      <c r="AM144" s="3">
        <v>55.457999999999998</v>
      </c>
      <c r="AN144" s="3">
        <v>0</v>
      </c>
      <c r="AO144" s="3" t="s">
        <v>81</v>
      </c>
      <c r="AP144" s="3" t="s">
        <v>81</v>
      </c>
      <c r="AQ144" s="3" t="s">
        <v>81</v>
      </c>
      <c r="AR144" s="3" t="s">
        <v>81</v>
      </c>
      <c r="AS144" s="3" t="s">
        <v>81</v>
      </c>
      <c r="AT144" s="3" t="s">
        <v>81</v>
      </c>
      <c r="AU144" s="3" t="s">
        <v>81</v>
      </c>
      <c r="AV144" s="3" t="s">
        <v>81</v>
      </c>
      <c r="AW144" s="3" t="s">
        <v>81</v>
      </c>
      <c r="AX144" s="3">
        <v>58.177</v>
      </c>
      <c r="AY144" s="3">
        <v>0</v>
      </c>
      <c r="AZ144" s="3" t="s">
        <v>81</v>
      </c>
      <c r="BA144" s="3" t="s">
        <v>81</v>
      </c>
      <c r="BB144" s="3" t="s">
        <v>81</v>
      </c>
      <c r="BC144" s="3" t="s">
        <v>81</v>
      </c>
      <c r="BD144" s="3" t="s">
        <v>81</v>
      </c>
      <c r="BE144" s="3" t="s">
        <v>81</v>
      </c>
      <c r="BF144" s="3" t="s">
        <v>81</v>
      </c>
      <c r="BG144" s="3" t="s">
        <v>81</v>
      </c>
      <c r="BH144" s="3" t="s">
        <v>81</v>
      </c>
      <c r="BI144" s="3" t="s">
        <v>84</v>
      </c>
      <c r="BJ144" s="3" t="s">
        <v>84</v>
      </c>
      <c r="BK144" s="3" t="s">
        <v>82</v>
      </c>
      <c r="BL144" s="3" t="s">
        <v>82</v>
      </c>
      <c r="BM144" s="3" t="s">
        <v>83</v>
      </c>
      <c r="BN144" s="3" t="s">
        <v>82</v>
      </c>
      <c r="BO144" s="3" t="s">
        <v>82</v>
      </c>
      <c r="BP144" s="3" t="s">
        <v>87</v>
      </c>
      <c r="BQ144" s="3" t="s">
        <v>87</v>
      </c>
      <c r="BR144" s="3" t="s">
        <v>87</v>
      </c>
      <c r="BS144" s="3" t="s">
        <v>87</v>
      </c>
      <c r="BT144" s="3" t="s">
        <v>87</v>
      </c>
      <c r="BU144" s="3" t="s">
        <v>81</v>
      </c>
      <c r="BV144" s="3" t="s">
        <v>83</v>
      </c>
      <c r="BW144" s="3" t="s">
        <v>83</v>
      </c>
      <c r="BX144" s="3" t="s">
        <v>83</v>
      </c>
      <c r="BY144" s="3" t="s">
        <v>431</v>
      </c>
      <c r="BZ144" s="3" t="s">
        <v>86</v>
      </c>
      <c r="CB144" s="3" t="s">
        <v>84</v>
      </c>
    </row>
    <row r="145" spans="1:82" x14ac:dyDescent="0.15">
      <c r="A145" s="3">
        <v>2643365696</v>
      </c>
      <c r="B145" s="3" t="s">
        <v>426</v>
      </c>
      <c r="C145" s="3" t="s">
        <v>426</v>
      </c>
      <c r="D145" s="3" t="s">
        <v>81</v>
      </c>
      <c r="E145" s="3">
        <v>22</v>
      </c>
      <c r="F145" s="3">
        <v>53.548999999999999</v>
      </c>
      <c r="G145" s="3">
        <v>0</v>
      </c>
      <c r="H145" s="3" t="s">
        <v>81</v>
      </c>
      <c r="I145" s="3" t="s">
        <v>81</v>
      </c>
      <c r="J145" s="3" t="s">
        <v>81</v>
      </c>
      <c r="K145" s="3" t="s">
        <v>81</v>
      </c>
      <c r="L145" s="3" t="s">
        <v>81</v>
      </c>
      <c r="M145" s="3" t="s">
        <v>81</v>
      </c>
      <c r="N145" s="3" t="s">
        <v>81</v>
      </c>
      <c r="O145" s="3" t="s">
        <v>81</v>
      </c>
      <c r="P145" s="3" t="s">
        <v>81</v>
      </c>
      <c r="Q145" s="3">
        <v>47.179000000000002</v>
      </c>
      <c r="R145" s="3">
        <v>0</v>
      </c>
      <c r="S145" s="3" t="s">
        <v>81</v>
      </c>
      <c r="T145" s="3" t="s">
        <v>81</v>
      </c>
      <c r="U145" s="3" t="s">
        <v>81</v>
      </c>
      <c r="V145" s="3" t="s">
        <v>81</v>
      </c>
      <c r="W145" s="3" t="s">
        <v>81</v>
      </c>
      <c r="X145" s="3" t="s">
        <v>81</v>
      </c>
      <c r="Y145" s="3" t="s">
        <v>81</v>
      </c>
      <c r="Z145" s="3" t="s">
        <v>81</v>
      </c>
      <c r="AA145" s="3" t="s">
        <v>81</v>
      </c>
      <c r="AB145" s="3">
        <v>49.616</v>
      </c>
      <c r="AC145" s="3">
        <v>0</v>
      </c>
      <c r="AD145" s="3" t="s">
        <v>81</v>
      </c>
      <c r="AE145" s="3" t="s">
        <v>81</v>
      </c>
      <c r="AF145" s="3" t="s">
        <v>81</v>
      </c>
      <c r="AG145" s="3" t="s">
        <v>81</v>
      </c>
      <c r="AH145" s="3" t="s">
        <v>81</v>
      </c>
      <c r="AI145" s="3" t="s">
        <v>81</v>
      </c>
      <c r="AJ145" s="3" t="s">
        <v>81</v>
      </c>
      <c r="AK145" s="3" t="s">
        <v>81</v>
      </c>
      <c r="AL145" s="3" t="s">
        <v>81</v>
      </c>
      <c r="AM145" s="3">
        <v>47.692999999999998</v>
      </c>
      <c r="AN145" s="3">
        <v>0</v>
      </c>
      <c r="AO145" s="3" t="s">
        <v>81</v>
      </c>
      <c r="AP145" s="3" t="s">
        <v>81</v>
      </c>
      <c r="AQ145" s="3" t="s">
        <v>81</v>
      </c>
      <c r="AR145" s="3" t="s">
        <v>81</v>
      </c>
      <c r="AS145" s="3" t="s">
        <v>81</v>
      </c>
      <c r="AT145" s="3" t="s">
        <v>81</v>
      </c>
      <c r="AU145" s="3" t="s">
        <v>81</v>
      </c>
      <c r="AV145" s="3" t="s">
        <v>81</v>
      </c>
      <c r="AW145" s="3" t="s">
        <v>81</v>
      </c>
      <c r="AX145" s="3" t="s">
        <v>81</v>
      </c>
      <c r="AY145" s="3" t="s">
        <v>81</v>
      </c>
      <c r="AZ145" s="3">
        <v>51.365000000000002</v>
      </c>
      <c r="BA145" s="3">
        <v>0</v>
      </c>
      <c r="BB145" s="3" t="s">
        <v>81</v>
      </c>
      <c r="BC145" s="3" t="s">
        <v>81</v>
      </c>
      <c r="BD145" s="3" t="s">
        <v>81</v>
      </c>
      <c r="BE145" s="3" t="s">
        <v>81</v>
      </c>
      <c r="BF145" s="3" t="s">
        <v>81</v>
      </c>
      <c r="BG145" s="3" t="s">
        <v>81</v>
      </c>
      <c r="BH145" s="3" t="s">
        <v>81</v>
      </c>
      <c r="BI145" s="3" t="s">
        <v>84</v>
      </c>
      <c r="BJ145" s="3" t="s">
        <v>84</v>
      </c>
      <c r="BK145" s="3" t="s">
        <v>84</v>
      </c>
      <c r="BL145" s="3" t="s">
        <v>82</v>
      </c>
      <c r="BM145" s="3" t="s">
        <v>83</v>
      </c>
      <c r="BN145" s="3" t="s">
        <v>82</v>
      </c>
      <c r="BO145" s="3" t="s">
        <v>83</v>
      </c>
      <c r="BP145" s="3" t="s">
        <v>81</v>
      </c>
      <c r="BQ145" s="3" t="s">
        <v>81</v>
      </c>
      <c r="BR145" s="3" t="s">
        <v>81</v>
      </c>
      <c r="BS145" s="3" t="s">
        <v>81</v>
      </c>
      <c r="BT145" s="3" t="s">
        <v>81</v>
      </c>
      <c r="BU145" s="3" t="s">
        <v>81</v>
      </c>
      <c r="BV145" s="3" t="s">
        <v>83</v>
      </c>
      <c r="BW145" s="3" t="s">
        <v>83</v>
      </c>
      <c r="BX145" s="3" t="s">
        <v>83</v>
      </c>
      <c r="BY145" s="3" t="s">
        <v>160</v>
      </c>
      <c r="BZ145" s="3" t="s">
        <v>86</v>
      </c>
      <c r="CB145" s="3" t="s">
        <v>84</v>
      </c>
    </row>
    <row r="146" spans="1:82" x14ac:dyDescent="0.15">
      <c r="A146" s="3">
        <v>1228386275</v>
      </c>
      <c r="B146" s="3" t="s">
        <v>352</v>
      </c>
      <c r="C146" s="3" t="s">
        <v>353</v>
      </c>
      <c r="D146" s="3">
        <v>2</v>
      </c>
      <c r="E146" s="3">
        <v>9</v>
      </c>
      <c r="F146" s="3">
        <v>38.094999999999999</v>
      </c>
      <c r="G146" s="3">
        <v>0</v>
      </c>
      <c r="H146" s="3" t="s">
        <v>81</v>
      </c>
      <c r="I146" s="3" t="s">
        <v>81</v>
      </c>
      <c r="J146" s="3" t="s">
        <v>81</v>
      </c>
      <c r="K146" s="3" t="s">
        <v>81</v>
      </c>
      <c r="L146" s="3" t="s">
        <v>81</v>
      </c>
      <c r="M146" s="3" t="s">
        <v>81</v>
      </c>
      <c r="N146" s="3" t="s">
        <v>81</v>
      </c>
      <c r="O146" s="3" t="s">
        <v>81</v>
      </c>
      <c r="P146" s="3" t="s">
        <v>81</v>
      </c>
      <c r="Q146" s="3">
        <v>36.47</v>
      </c>
      <c r="R146" s="3">
        <v>0</v>
      </c>
      <c r="S146" s="3" t="s">
        <v>81</v>
      </c>
      <c r="T146" s="3" t="s">
        <v>81</v>
      </c>
      <c r="U146" s="3" t="s">
        <v>81</v>
      </c>
      <c r="V146" s="3" t="s">
        <v>81</v>
      </c>
      <c r="W146" s="3" t="s">
        <v>81</v>
      </c>
      <c r="X146" s="3" t="s">
        <v>81</v>
      </c>
      <c r="Y146" s="3" t="s">
        <v>81</v>
      </c>
      <c r="Z146" s="3" t="s">
        <v>81</v>
      </c>
      <c r="AA146" s="3" t="s">
        <v>81</v>
      </c>
      <c r="AB146" s="3">
        <v>37.380000000000003</v>
      </c>
      <c r="AC146" s="3">
        <v>0</v>
      </c>
      <c r="AD146" s="3" t="s">
        <v>81</v>
      </c>
      <c r="AE146" s="3" t="s">
        <v>81</v>
      </c>
      <c r="AF146" s="3" t="s">
        <v>81</v>
      </c>
      <c r="AG146" s="3" t="s">
        <v>81</v>
      </c>
      <c r="AH146" s="3" t="s">
        <v>81</v>
      </c>
      <c r="AI146" s="3" t="s">
        <v>81</v>
      </c>
      <c r="AJ146" s="3" t="s">
        <v>81</v>
      </c>
      <c r="AK146" s="3" t="s">
        <v>81</v>
      </c>
      <c r="AL146" s="3" t="s">
        <v>81</v>
      </c>
      <c r="AM146" s="3">
        <v>38.219000000000001</v>
      </c>
      <c r="AN146" s="3">
        <v>0</v>
      </c>
      <c r="AO146" s="3" t="s">
        <v>81</v>
      </c>
      <c r="AP146" s="3" t="s">
        <v>81</v>
      </c>
      <c r="AQ146" s="3" t="s">
        <v>81</v>
      </c>
      <c r="AR146" s="3" t="s">
        <v>81</v>
      </c>
      <c r="AS146" s="3" t="s">
        <v>81</v>
      </c>
      <c r="AT146" s="3" t="s">
        <v>81</v>
      </c>
      <c r="AU146" s="3" t="s">
        <v>81</v>
      </c>
      <c r="AV146" s="3" t="s">
        <v>81</v>
      </c>
      <c r="AW146" s="3" t="s">
        <v>81</v>
      </c>
      <c r="AX146" s="3">
        <v>33.545000000000002</v>
      </c>
      <c r="AY146" s="3">
        <v>0</v>
      </c>
      <c r="AZ146" s="3" t="s">
        <v>81</v>
      </c>
      <c r="BA146" s="3" t="s">
        <v>81</v>
      </c>
      <c r="BB146" s="3" t="s">
        <v>81</v>
      </c>
      <c r="BC146" s="3" t="s">
        <v>81</v>
      </c>
      <c r="BD146" s="3" t="s">
        <v>81</v>
      </c>
      <c r="BE146" s="3" t="s">
        <v>81</v>
      </c>
      <c r="BF146" s="3" t="s">
        <v>81</v>
      </c>
      <c r="BG146" s="3" t="s">
        <v>81</v>
      </c>
      <c r="BH146" s="3" t="s">
        <v>81</v>
      </c>
      <c r="BI146" s="3" t="s">
        <v>84</v>
      </c>
      <c r="BJ146" s="3" t="s">
        <v>82</v>
      </c>
      <c r="BK146" s="3" t="s">
        <v>83</v>
      </c>
      <c r="BL146" s="3" t="s">
        <v>84</v>
      </c>
      <c r="BM146" s="3" t="s">
        <v>84</v>
      </c>
      <c r="BN146" s="3" t="s">
        <v>84</v>
      </c>
      <c r="BO146" s="3" t="s">
        <v>84</v>
      </c>
      <c r="BP146" s="3" t="s">
        <v>188</v>
      </c>
      <c r="BQ146" s="3" t="s">
        <v>188</v>
      </c>
      <c r="BR146" s="3" t="s">
        <v>188</v>
      </c>
      <c r="BS146" s="3" t="s">
        <v>97</v>
      </c>
      <c r="BT146" s="3" t="s">
        <v>85</v>
      </c>
      <c r="BU146" s="3" t="s">
        <v>98</v>
      </c>
      <c r="BV146" s="3" t="s">
        <v>82</v>
      </c>
      <c r="BW146" s="3" t="s">
        <v>91</v>
      </c>
      <c r="BX146" s="3" t="s">
        <v>82</v>
      </c>
      <c r="BZ146" s="3" t="s">
        <v>93</v>
      </c>
      <c r="CB146" s="3" t="s">
        <v>84</v>
      </c>
    </row>
    <row r="147" spans="1:82" x14ac:dyDescent="0.15">
      <c r="A147" s="3">
        <v>2625828942</v>
      </c>
      <c r="B147" s="3" t="s">
        <v>352</v>
      </c>
      <c r="C147" s="3" t="s">
        <v>353</v>
      </c>
      <c r="D147" s="3">
        <v>10</v>
      </c>
      <c r="E147" s="3">
        <v>19</v>
      </c>
      <c r="F147" s="3">
        <v>41.433999999999997</v>
      </c>
      <c r="G147" s="3">
        <v>0</v>
      </c>
      <c r="H147" s="3" t="s">
        <v>81</v>
      </c>
      <c r="I147" s="3" t="s">
        <v>81</v>
      </c>
      <c r="J147" s="3" t="s">
        <v>81</v>
      </c>
      <c r="K147" s="3" t="s">
        <v>81</v>
      </c>
      <c r="L147" s="3" t="s">
        <v>81</v>
      </c>
      <c r="M147" s="3" t="s">
        <v>81</v>
      </c>
      <c r="N147" s="3" t="s">
        <v>81</v>
      </c>
      <c r="O147" s="3" t="s">
        <v>81</v>
      </c>
      <c r="P147" s="3" t="s">
        <v>81</v>
      </c>
      <c r="Q147" s="3">
        <v>44.768000000000001</v>
      </c>
      <c r="R147" s="3">
        <v>0</v>
      </c>
      <c r="S147" s="3" t="s">
        <v>81</v>
      </c>
      <c r="T147" s="3" t="s">
        <v>81</v>
      </c>
      <c r="U147" s="3" t="s">
        <v>81</v>
      </c>
      <c r="V147" s="3" t="s">
        <v>81</v>
      </c>
      <c r="W147" s="3" t="s">
        <v>81</v>
      </c>
      <c r="X147" s="3" t="s">
        <v>81</v>
      </c>
      <c r="Y147" s="3" t="s">
        <v>81</v>
      </c>
      <c r="Z147" s="3" t="s">
        <v>81</v>
      </c>
      <c r="AA147" s="3" t="s">
        <v>81</v>
      </c>
      <c r="AB147" s="3">
        <v>44.712000000000003</v>
      </c>
      <c r="AC147" s="3">
        <v>0</v>
      </c>
      <c r="AD147" s="3" t="s">
        <v>81</v>
      </c>
      <c r="AE147" s="3" t="s">
        <v>81</v>
      </c>
      <c r="AF147" s="3" t="s">
        <v>81</v>
      </c>
      <c r="AG147" s="3" t="s">
        <v>81</v>
      </c>
      <c r="AH147" s="3" t="s">
        <v>81</v>
      </c>
      <c r="AI147" s="3" t="s">
        <v>81</v>
      </c>
      <c r="AJ147" s="3" t="s">
        <v>81</v>
      </c>
      <c r="AK147" s="3" t="s">
        <v>81</v>
      </c>
      <c r="AL147" s="3" t="s">
        <v>81</v>
      </c>
      <c r="AM147" s="3">
        <v>46.462000000000003</v>
      </c>
      <c r="AN147" s="3">
        <v>0</v>
      </c>
      <c r="AO147" s="3" t="s">
        <v>81</v>
      </c>
      <c r="AP147" s="3" t="s">
        <v>81</v>
      </c>
      <c r="AQ147" s="3" t="s">
        <v>81</v>
      </c>
      <c r="AR147" s="3" t="s">
        <v>81</v>
      </c>
      <c r="AS147" s="3" t="s">
        <v>81</v>
      </c>
      <c r="AT147" s="3" t="s">
        <v>81</v>
      </c>
      <c r="AU147" s="3" t="s">
        <v>81</v>
      </c>
      <c r="AV147" s="3" t="s">
        <v>81</v>
      </c>
      <c r="AW147" s="3" t="s">
        <v>81</v>
      </c>
      <c r="AX147" s="3">
        <v>43.927</v>
      </c>
      <c r="AY147" s="3">
        <v>0</v>
      </c>
      <c r="AZ147" s="3" t="s">
        <v>81</v>
      </c>
      <c r="BA147" s="3" t="s">
        <v>81</v>
      </c>
      <c r="BB147" s="3" t="s">
        <v>81</v>
      </c>
      <c r="BC147" s="3" t="s">
        <v>81</v>
      </c>
      <c r="BD147" s="3" t="s">
        <v>81</v>
      </c>
      <c r="BE147" s="3" t="s">
        <v>81</v>
      </c>
      <c r="BF147" s="3" t="s">
        <v>81</v>
      </c>
      <c r="BG147" s="3" t="s">
        <v>81</v>
      </c>
      <c r="BH147" s="3" t="s">
        <v>81</v>
      </c>
      <c r="BI147" s="3" t="s">
        <v>82</v>
      </c>
      <c r="BJ147" s="3" t="s">
        <v>82</v>
      </c>
      <c r="BK147" s="3" t="s">
        <v>83</v>
      </c>
      <c r="BL147" s="3" t="s">
        <v>84</v>
      </c>
      <c r="BM147" s="3" t="s">
        <v>84</v>
      </c>
      <c r="BN147" s="3" t="s">
        <v>84</v>
      </c>
      <c r="BO147" s="3" t="s">
        <v>83</v>
      </c>
      <c r="BP147" s="3" t="s">
        <v>83</v>
      </c>
      <c r="BQ147" s="3" t="s">
        <v>83</v>
      </c>
      <c r="BR147" s="3" t="s">
        <v>83</v>
      </c>
      <c r="BS147" s="3" t="s">
        <v>83</v>
      </c>
      <c r="BT147" s="3" t="s">
        <v>83</v>
      </c>
      <c r="BU147" s="3" t="s">
        <v>83</v>
      </c>
      <c r="BV147" s="3" t="s">
        <v>82</v>
      </c>
      <c r="BW147" s="3" t="s">
        <v>91</v>
      </c>
      <c r="BX147" s="3" t="s">
        <v>82</v>
      </c>
      <c r="BY147" s="3" t="s">
        <v>173</v>
      </c>
      <c r="BZ147" s="3" t="s">
        <v>86</v>
      </c>
      <c r="CB147" s="3" t="s">
        <v>84</v>
      </c>
    </row>
    <row r="148" spans="1:82" x14ac:dyDescent="0.15">
      <c r="A148" s="3">
        <v>2625837884</v>
      </c>
      <c r="B148" s="3" t="s">
        <v>352</v>
      </c>
      <c r="C148" s="3" t="s">
        <v>353</v>
      </c>
      <c r="D148" s="3">
        <v>6</v>
      </c>
      <c r="E148" s="3">
        <v>7</v>
      </c>
      <c r="F148" s="3">
        <v>23.765999999999998</v>
      </c>
      <c r="G148" s="3">
        <v>0</v>
      </c>
      <c r="H148" s="3" t="s">
        <v>81</v>
      </c>
      <c r="I148" s="3" t="s">
        <v>81</v>
      </c>
      <c r="J148" s="3" t="s">
        <v>81</v>
      </c>
      <c r="K148" s="3" t="s">
        <v>81</v>
      </c>
      <c r="L148" s="3" t="s">
        <v>81</v>
      </c>
      <c r="M148" s="3" t="s">
        <v>81</v>
      </c>
      <c r="N148" s="3" t="s">
        <v>81</v>
      </c>
      <c r="O148" s="3" t="s">
        <v>81</v>
      </c>
      <c r="P148" s="3" t="s">
        <v>81</v>
      </c>
      <c r="Q148" s="3">
        <v>23.106000000000002</v>
      </c>
      <c r="R148" s="3">
        <v>0</v>
      </c>
      <c r="S148" s="3" t="s">
        <v>81</v>
      </c>
      <c r="T148" s="3" t="s">
        <v>81</v>
      </c>
      <c r="U148" s="3" t="s">
        <v>81</v>
      </c>
      <c r="V148" s="3" t="s">
        <v>81</v>
      </c>
      <c r="W148" s="3" t="s">
        <v>81</v>
      </c>
      <c r="X148" s="3" t="s">
        <v>81</v>
      </c>
      <c r="Y148" s="3" t="s">
        <v>81</v>
      </c>
      <c r="Z148" s="3" t="s">
        <v>81</v>
      </c>
      <c r="AA148" s="3" t="s">
        <v>81</v>
      </c>
      <c r="AB148" s="3">
        <v>24.59</v>
      </c>
      <c r="AC148" s="3">
        <v>0</v>
      </c>
      <c r="AD148" s="3" t="s">
        <v>81</v>
      </c>
      <c r="AE148" s="3" t="s">
        <v>81</v>
      </c>
      <c r="AF148" s="3" t="s">
        <v>81</v>
      </c>
      <c r="AG148" s="3" t="s">
        <v>81</v>
      </c>
      <c r="AH148" s="3" t="s">
        <v>81</v>
      </c>
      <c r="AI148" s="3" t="s">
        <v>81</v>
      </c>
      <c r="AJ148" s="3" t="s">
        <v>81</v>
      </c>
      <c r="AK148" s="3" t="s">
        <v>81</v>
      </c>
      <c r="AL148" s="3" t="s">
        <v>81</v>
      </c>
      <c r="AM148" s="3">
        <v>23.733000000000001</v>
      </c>
      <c r="AN148" s="3">
        <v>0</v>
      </c>
      <c r="AO148" s="3" t="s">
        <v>81</v>
      </c>
      <c r="AP148" s="3" t="s">
        <v>81</v>
      </c>
      <c r="AQ148" s="3" t="s">
        <v>81</v>
      </c>
      <c r="AR148" s="3" t="s">
        <v>81</v>
      </c>
      <c r="AS148" s="3" t="s">
        <v>81</v>
      </c>
      <c r="AT148" s="3" t="s">
        <v>81</v>
      </c>
      <c r="AU148" s="3" t="s">
        <v>81</v>
      </c>
      <c r="AV148" s="3" t="s">
        <v>81</v>
      </c>
      <c r="AW148" s="3" t="s">
        <v>81</v>
      </c>
      <c r="AX148" s="3">
        <v>22.745999999999999</v>
      </c>
      <c r="AY148" s="3">
        <v>0</v>
      </c>
      <c r="AZ148" s="3" t="s">
        <v>81</v>
      </c>
      <c r="BA148" s="3" t="s">
        <v>81</v>
      </c>
      <c r="BB148" s="3" t="s">
        <v>81</v>
      </c>
      <c r="BC148" s="3" t="s">
        <v>81</v>
      </c>
      <c r="BD148" s="3" t="s">
        <v>81</v>
      </c>
      <c r="BE148" s="3" t="s">
        <v>81</v>
      </c>
      <c r="BF148" s="3" t="s">
        <v>81</v>
      </c>
      <c r="BG148" s="3" t="s">
        <v>81</v>
      </c>
      <c r="BH148" s="3" t="s">
        <v>81</v>
      </c>
      <c r="BI148" s="3" t="s">
        <v>82</v>
      </c>
      <c r="BJ148" s="3" t="s">
        <v>82</v>
      </c>
      <c r="BK148" s="3" t="s">
        <v>83</v>
      </c>
      <c r="BL148" s="3" t="s">
        <v>84</v>
      </c>
      <c r="BM148" s="3" t="s">
        <v>84</v>
      </c>
      <c r="BN148" s="3" t="s">
        <v>84</v>
      </c>
      <c r="BO148" s="3" t="s">
        <v>82</v>
      </c>
      <c r="BP148" s="3" t="s">
        <v>113</v>
      </c>
      <c r="BQ148" s="3" t="s">
        <v>113</v>
      </c>
      <c r="BR148" s="3" t="s">
        <v>113</v>
      </c>
      <c r="BS148" s="3" t="s">
        <v>113</v>
      </c>
      <c r="BT148" s="3" t="s">
        <v>87</v>
      </c>
      <c r="BU148" s="3" t="s">
        <v>81</v>
      </c>
      <c r="BV148" s="3" t="s">
        <v>82</v>
      </c>
      <c r="BW148" s="3" t="s">
        <v>91</v>
      </c>
      <c r="BX148" s="3" t="s">
        <v>82</v>
      </c>
      <c r="BZ148" s="3" t="s">
        <v>86</v>
      </c>
      <c r="CB148" s="3" t="s">
        <v>84</v>
      </c>
    </row>
    <row r="149" spans="1:82" x14ac:dyDescent="0.15">
      <c r="A149" s="3">
        <v>2236021192</v>
      </c>
      <c r="B149" s="3" t="s">
        <v>354</v>
      </c>
      <c r="C149" s="3" t="s">
        <v>353</v>
      </c>
      <c r="D149" s="3">
        <v>12</v>
      </c>
      <c r="E149" s="3">
        <v>20</v>
      </c>
      <c r="F149" s="3">
        <v>39.1</v>
      </c>
      <c r="G149" s="3">
        <v>0</v>
      </c>
      <c r="H149" s="3" t="s">
        <v>81</v>
      </c>
      <c r="I149" s="3" t="s">
        <v>81</v>
      </c>
      <c r="J149" s="3" t="s">
        <v>81</v>
      </c>
      <c r="K149" s="3" t="s">
        <v>81</v>
      </c>
      <c r="L149" s="3" t="s">
        <v>81</v>
      </c>
      <c r="M149" s="3" t="s">
        <v>81</v>
      </c>
      <c r="N149" s="3" t="s">
        <v>81</v>
      </c>
      <c r="O149" s="3" t="s">
        <v>81</v>
      </c>
      <c r="P149" s="3" t="s">
        <v>81</v>
      </c>
      <c r="Q149" s="3">
        <v>33.298999999999999</v>
      </c>
      <c r="R149" s="3">
        <v>0</v>
      </c>
      <c r="S149" s="3" t="s">
        <v>81</v>
      </c>
      <c r="T149" s="3" t="s">
        <v>81</v>
      </c>
      <c r="U149" s="3" t="s">
        <v>81</v>
      </c>
      <c r="V149" s="3" t="s">
        <v>81</v>
      </c>
      <c r="W149" s="3" t="s">
        <v>81</v>
      </c>
      <c r="X149" s="3" t="s">
        <v>81</v>
      </c>
      <c r="Y149" s="3" t="s">
        <v>81</v>
      </c>
      <c r="Z149" s="3" t="s">
        <v>81</v>
      </c>
      <c r="AA149" s="3" t="s">
        <v>81</v>
      </c>
      <c r="AB149" s="3">
        <v>30.283000000000001</v>
      </c>
      <c r="AC149" s="3">
        <v>0</v>
      </c>
      <c r="AD149" s="3" t="s">
        <v>81</v>
      </c>
      <c r="AE149" s="3" t="s">
        <v>81</v>
      </c>
      <c r="AF149" s="3" t="s">
        <v>81</v>
      </c>
      <c r="AG149" s="3" t="s">
        <v>81</v>
      </c>
      <c r="AH149" s="3" t="s">
        <v>81</v>
      </c>
      <c r="AI149" s="3" t="s">
        <v>81</v>
      </c>
      <c r="AJ149" s="3" t="s">
        <v>81</v>
      </c>
      <c r="AK149" s="3" t="s">
        <v>81</v>
      </c>
      <c r="AL149" s="3" t="s">
        <v>81</v>
      </c>
      <c r="AM149" s="3">
        <v>26.609000000000002</v>
      </c>
      <c r="AN149" s="3">
        <v>0</v>
      </c>
      <c r="AO149" s="3" t="s">
        <v>81</v>
      </c>
      <c r="AP149" s="3" t="s">
        <v>81</v>
      </c>
      <c r="AQ149" s="3" t="s">
        <v>81</v>
      </c>
      <c r="AR149" s="3" t="s">
        <v>81</v>
      </c>
      <c r="AS149" s="3" t="s">
        <v>81</v>
      </c>
      <c r="AT149" s="3" t="s">
        <v>81</v>
      </c>
      <c r="AU149" s="3" t="s">
        <v>81</v>
      </c>
      <c r="AV149" s="3" t="s">
        <v>81</v>
      </c>
      <c r="AW149" s="3" t="s">
        <v>81</v>
      </c>
      <c r="AX149" s="3">
        <v>25.571999999999999</v>
      </c>
      <c r="AY149" s="3">
        <v>0</v>
      </c>
      <c r="AZ149" s="3" t="s">
        <v>81</v>
      </c>
      <c r="BA149" s="3" t="s">
        <v>81</v>
      </c>
      <c r="BB149" s="3" t="s">
        <v>81</v>
      </c>
      <c r="BC149" s="3" t="s">
        <v>81</v>
      </c>
      <c r="BD149" s="3" t="s">
        <v>81</v>
      </c>
      <c r="BE149" s="3" t="s">
        <v>81</v>
      </c>
      <c r="BF149" s="3" t="s">
        <v>81</v>
      </c>
      <c r="BG149" s="3" t="s">
        <v>81</v>
      </c>
      <c r="BH149" s="3" t="s">
        <v>81</v>
      </c>
      <c r="BI149" s="3" t="s">
        <v>84</v>
      </c>
      <c r="BJ149" s="3" t="s">
        <v>84</v>
      </c>
      <c r="BK149" s="3" t="s">
        <v>82</v>
      </c>
      <c r="BL149" s="3" t="s">
        <v>84</v>
      </c>
      <c r="BM149" s="3" t="s">
        <v>84</v>
      </c>
      <c r="BN149" s="3" t="s">
        <v>84</v>
      </c>
      <c r="BO149" s="3" t="s">
        <v>84</v>
      </c>
      <c r="BP149" s="3" t="s">
        <v>87</v>
      </c>
      <c r="BQ149" s="3" t="s">
        <v>87</v>
      </c>
      <c r="BR149" s="3" t="s">
        <v>85</v>
      </c>
      <c r="BS149" s="3" t="s">
        <v>355</v>
      </c>
      <c r="BT149" s="3" t="s">
        <v>87</v>
      </c>
      <c r="BU149" s="3" t="s">
        <v>85</v>
      </c>
      <c r="BV149" s="3" t="s">
        <v>82</v>
      </c>
      <c r="BW149" s="3" t="s">
        <v>91</v>
      </c>
      <c r="BX149" s="3" t="s">
        <v>82</v>
      </c>
      <c r="BY149" s="3" t="s">
        <v>356</v>
      </c>
      <c r="BZ149" s="3" t="s">
        <v>86</v>
      </c>
      <c r="CB149" s="3" t="s">
        <v>84</v>
      </c>
    </row>
    <row r="150" spans="1:82" x14ac:dyDescent="0.15">
      <c r="A150" s="3">
        <v>2643371841</v>
      </c>
      <c r="B150" s="3" t="s">
        <v>353</v>
      </c>
      <c r="C150" s="3" t="s">
        <v>353</v>
      </c>
      <c r="D150" s="3" t="s">
        <v>81</v>
      </c>
      <c r="E150" s="3" t="s">
        <v>81</v>
      </c>
      <c r="F150" s="3">
        <v>51.692</v>
      </c>
      <c r="G150" s="3">
        <v>0</v>
      </c>
      <c r="H150" s="3" t="s">
        <v>81</v>
      </c>
      <c r="I150" s="3" t="s">
        <v>81</v>
      </c>
      <c r="J150" s="3" t="s">
        <v>81</v>
      </c>
      <c r="K150" s="3" t="s">
        <v>81</v>
      </c>
      <c r="L150" s="3" t="s">
        <v>81</v>
      </c>
      <c r="M150" s="3" t="s">
        <v>81</v>
      </c>
      <c r="N150" s="3" t="s">
        <v>81</v>
      </c>
      <c r="O150" s="3" t="s">
        <v>81</v>
      </c>
      <c r="P150" s="3" t="s">
        <v>81</v>
      </c>
      <c r="Q150" s="3">
        <v>51.89</v>
      </c>
      <c r="R150" s="3">
        <v>0</v>
      </c>
      <c r="S150" s="3" t="s">
        <v>81</v>
      </c>
      <c r="T150" s="3" t="s">
        <v>81</v>
      </c>
      <c r="U150" s="3" t="s">
        <v>81</v>
      </c>
      <c r="V150" s="3" t="s">
        <v>81</v>
      </c>
      <c r="W150" s="3" t="s">
        <v>81</v>
      </c>
      <c r="X150" s="3" t="s">
        <v>81</v>
      </c>
      <c r="Y150" s="3" t="s">
        <v>81</v>
      </c>
      <c r="Z150" s="3" t="s">
        <v>81</v>
      </c>
      <c r="AA150" s="3" t="s">
        <v>81</v>
      </c>
      <c r="AB150" s="3">
        <v>46.372999999999998</v>
      </c>
      <c r="AC150" s="3">
        <v>0</v>
      </c>
      <c r="AD150" s="3" t="s">
        <v>81</v>
      </c>
      <c r="AE150" s="3" t="s">
        <v>81</v>
      </c>
      <c r="AF150" s="3" t="s">
        <v>81</v>
      </c>
      <c r="AG150" s="3" t="s">
        <v>81</v>
      </c>
      <c r="AH150" s="3" t="s">
        <v>81</v>
      </c>
      <c r="AI150" s="3" t="s">
        <v>81</v>
      </c>
      <c r="AJ150" s="3" t="s">
        <v>81</v>
      </c>
      <c r="AK150" s="3" t="s">
        <v>81</v>
      </c>
      <c r="AL150" s="3" t="s">
        <v>81</v>
      </c>
      <c r="AM150" s="3">
        <v>37.411000000000001</v>
      </c>
      <c r="AN150" s="3">
        <v>0</v>
      </c>
      <c r="AO150" s="3" t="s">
        <v>81</v>
      </c>
      <c r="AP150" s="3" t="s">
        <v>81</v>
      </c>
      <c r="AQ150" s="3" t="s">
        <v>81</v>
      </c>
      <c r="AR150" s="3" t="s">
        <v>81</v>
      </c>
      <c r="AS150" s="3" t="s">
        <v>81</v>
      </c>
      <c r="AT150" s="3" t="s">
        <v>81</v>
      </c>
      <c r="AU150" s="3" t="s">
        <v>81</v>
      </c>
      <c r="AV150" s="3" t="s">
        <v>81</v>
      </c>
      <c r="AW150" s="3" t="s">
        <v>81</v>
      </c>
      <c r="AX150" s="3">
        <v>34.551000000000002</v>
      </c>
      <c r="AY150" s="3">
        <v>0</v>
      </c>
      <c r="AZ150" s="3" t="s">
        <v>81</v>
      </c>
      <c r="BA150" s="3" t="s">
        <v>81</v>
      </c>
      <c r="BB150" s="3" t="s">
        <v>81</v>
      </c>
      <c r="BC150" s="3" t="s">
        <v>81</v>
      </c>
      <c r="BD150" s="3" t="s">
        <v>81</v>
      </c>
      <c r="BE150" s="3" t="s">
        <v>81</v>
      </c>
      <c r="BF150" s="3" t="s">
        <v>81</v>
      </c>
      <c r="BG150" s="3" t="s">
        <v>81</v>
      </c>
      <c r="BH150" s="3" t="s">
        <v>81</v>
      </c>
      <c r="BI150" s="3" t="s">
        <v>82</v>
      </c>
      <c r="BJ150" s="3" t="s">
        <v>82</v>
      </c>
      <c r="BK150" s="3" t="s">
        <v>83</v>
      </c>
      <c r="BL150" s="3" t="s">
        <v>84</v>
      </c>
      <c r="BM150" s="3" t="s">
        <v>84</v>
      </c>
      <c r="BN150" s="3"/>
      <c r="BO150" s="3" t="s">
        <v>84</v>
      </c>
      <c r="BP150" s="3" t="s">
        <v>357</v>
      </c>
      <c r="BQ150" s="3" t="s">
        <v>98</v>
      </c>
      <c r="BR150" s="3" t="s">
        <v>218</v>
      </c>
      <c r="BS150" s="3" t="s">
        <v>358</v>
      </c>
      <c r="BT150" s="3" t="s">
        <v>85</v>
      </c>
      <c r="BU150" s="3" t="s">
        <v>98</v>
      </c>
      <c r="BV150" s="3" t="s">
        <v>84</v>
      </c>
      <c r="BW150" s="3"/>
      <c r="BX150" s="3" t="s">
        <v>82</v>
      </c>
      <c r="BY150" s="3" t="s">
        <v>359</v>
      </c>
      <c r="BZ150" s="3" t="s">
        <v>86</v>
      </c>
      <c r="CB150" s="3" t="s">
        <v>84</v>
      </c>
    </row>
    <row r="151" spans="1:82" x14ac:dyDescent="0.15">
      <c r="A151" s="3">
        <v>1228305113</v>
      </c>
      <c r="B151" s="3" t="s">
        <v>353</v>
      </c>
      <c r="C151" s="3" t="s">
        <v>353</v>
      </c>
      <c r="D151" s="3">
        <v>15</v>
      </c>
      <c r="E151" s="3">
        <v>25</v>
      </c>
      <c r="F151" s="3">
        <v>30.044</v>
      </c>
      <c r="G151" s="3">
        <v>0</v>
      </c>
      <c r="H151" s="3" t="s">
        <v>81</v>
      </c>
      <c r="I151" s="3" t="s">
        <v>81</v>
      </c>
      <c r="J151" s="3" t="s">
        <v>81</v>
      </c>
      <c r="K151" s="3" t="s">
        <v>81</v>
      </c>
      <c r="L151" s="3" t="s">
        <v>81</v>
      </c>
      <c r="M151" s="3" t="s">
        <v>81</v>
      </c>
      <c r="N151" s="3" t="s">
        <v>81</v>
      </c>
      <c r="O151" s="3" t="s">
        <v>81</v>
      </c>
      <c r="P151" s="3" t="s">
        <v>81</v>
      </c>
      <c r="Q151" s="3">
        <v>30.471</v>
      </c>
      <c r="R151" s="3">
        <v>0</v>
      </c>
      <c r="S151" s="3" t="s">
        <v>81</v>
      </c>
      <c r="T151" s="3" t="s">
        <v>81</v>
      </c>
      <c r="U151" s="3" t="s">
        <v>81</v>
      </c>
      <c r="V151" s="3" t="s">
        <v>81</v>
      </c>
      <c r="W151" s="3" t="s">
        <v>81</v>
      </c>
      <c r="X151" s="3" t="s">
        <v>81</v>
      </c>
      <c r="Y151" s="3" t="s">
        <v>81</v>
      </c>
      <c r="Z151" s="3" t="s">
        <v>81</v>
      </c>
      <c r="AA151" s="3" t="s">
        <v>81</v>
      </c>
      <c r="AB151" s="3">
        <v>29.513000000000002</v>
      </c>
      <c r="AC151" s="3">
        <v>0</v>
      </c>
      <c r="AD151" s="3" t="s">
        <v>81</v>
      </c>
      <c r="AE151" s="3" t="s">
        <v>81</v>
      </c>
      <c r="AF151" s="3" t="s">
        <v>81</v>
      </c>
      <c r="AG151" s="3" t="s">
        <v>81</v>
      </c>
      <c r="AH151" s="3" t="s">
        <v>81</v>
      </c>
      <c r="AI151" s="3" t="s">
        <v>81</v>
      </c>
      <c r="AJ151" s="3" t="s">
        <v>81</v>
      </c>
      <c r="AK151" s="3" t="s">
        <v>81</v>
      </c>
      <c r="AL151" s="3" t="s">
        <v>81</v>
      </c>
      <c r="AM151" s="3">
        <v>30.913</v>
      </c>
      <c r="AN151" s="3">
        <v>0</v>
      </c>
      <c r="AO151" s="3" t="s">
        <v>81</v>
      </c>
      <c r="AP151" s="3" t="s">
        <v>81</v>
      </c>
      <c r="AQ151" s="3" t="s">
        <v>81</v>
      </c>
      <c r="AR151" s="3" t="s">
        <v>81</v>
      </c>
      <c r="AS151" s="3" t="s">
        <v>81</v>
      </c>
      <c r="AT151" s="3" t="s">
        <v>81</v>
      </c>
      <c r="AU151" s="3" t="s">
        <v>81</v>
      </c>
      <c r="AV151" s="3" t="s">
        <v>81</v>
      </c>
      <c r="AW151" s="3" t="s">
        <v>81</v>
      </c>
      <c r="AX151" s="3">
        <v>27.690999999999999</v>
      </c>
      <c r="AY151" s="3">
        <v>0</v>
      </c>
      <c r="AZ151" s="3" t="s">
        <v>81</v>
      </c>
      <c r="BA151" s="3" t="s">
        <v>81</v>
      </c>
      <c r="BB151" s="3" t="s">
        <v>81</v>
      </c>
      <c r="BC151" s="3" t="s">
        <v>81</v>
      </c>
      <c r="BD151" s="3" t="s">
        <v>81</v>
      </c>
      <c r="BE151" s="3" t="s">
        <v>81</v>
      </c>
      <c r="BF151" s="3" t="s">
        <v>81</v>
      </c>
      <c r="BG151" s="3" t="s">
        <v>81</v>
      </c>
      <c r="BH151" s="3" t="s">
        <v>81</v>
      </c>
      <c r="BI151" s="3" t="s">
        <v>82</v>
      </c>
      <c r="BJ151" s="3" t="s">
        <v>82</v>
      </c>
      <c r="BK151" s="3" t="s">
        <v>83</v>
      </c>
      <c r="BL151" s="3" t="s">
        <v>84</v>
      </c>
      <c r="BM151" s="3" t="s">
        <v>84</v>
      </c>
      <c r="BN151" s="3" t="s">
        <v>84</v>
      </c>
      <c r="BO151" s="3" t="s">
        <v>84</v>
      </c>
      <c r="BP151" s="3" t="s">
        <v>218</v>
      </c>
      <c r="BQ151" s="3" t="s">
        <v>218</v>
      </c>
      <c r="BR151" s="3" t="s">
        <v>98</v>
      </c>
      <c r="BS151" s="3" t="s">
        <v>360</v>
      </c>
      <c r="BT151" s="3" t="s">
        <v>85</v>
      </c>
      <c r="BU151" s="3" t="s">
        <v>98</v>
      </c>
      <c r="BV151" s="3" t="s">
        <v>82</v>
      </c>
      <c r="BW151" s="3" t="s">
        <v>91</v>
      </c>
      <c r="BX151" s="3" t="s">
        <v>82</v>
      </c>
      <c r="BY151" s="3" t="s">
        <v>361</v>
      </c>
      <c r="BZ151" s="3" t="s">
        <v>93</v>
      </c>
      <c r="CB151" s="3" t="s">
        <v>84</v>
      </c>
    </row>
    <row r="152" spans="1:82" x14ac:dyDescent="0.15">
      <c r="A152" s="3">
        <v>1847922917</v>
      </c>
      <c r="B152" s="3" t="s">
        <v>353</v>
      </c>
      <c r="C152" s="3" t="s">
        <v>353</v>
      </c>
      <c r="D152" s="3" t="s">
        <v>81</v>
      </c>
      <c r="E152" s="3">
        <v>49</v>
      </c>
      <c r="F152" s="3">
        <v>34.621000000000002</v>
      </c>
      <c r="G152" s="3">
        <v>0</v>
      </c>
      <c r="H152" s="3" t="s">
        <v>81</v>
      </c>
      <c r="I152" s="3" t="s">
        <v>81</v>
      </c>
      <c r="J152" s="3" t="s">
        <v>81</v>
      </c>
      <c r="K152" s="3" t="s">
        <v>81</v>
      </c>
      <c r="L152" s="3" t="s">
        <v>81</v>
      </c>
      <c r="M152" s="3" t="s">
        <v>81</v>
      </c>
      <c r="N152" s="3" t="s">
        <v>81</v>
      </c>
      <c r="O152" s="3" t="s">
        <v>81</v>
      </c>
      <c r="P152" s="3" t="s">
        <v>81</v>
      </c>
      <c r="Q152" s="3">
        <v>41.978999999999999</v>
      </c>
      <c r="R152" s="3">
        <v>0</v>
      </c>
      <c r="S152" s="3" t="s">
        <v>81</v>
      </c>
      <c r="T152" s="3" t="s">
        <v>81</v>
      </c>
      <c r="U152" s="3" t="s">
        <v>81</v>
      </c>
      <c r="V152" s="3" t="s">
        <v>81</v>
      </c>
      <c r="W152" s="3" t="s">
        <v>81</v>
      </c>
      <c r="X152" s="3" t="s">
        <v>81</v>
      </c>
      <c r="Y152" s="3" t="s">
        <v>81</v>
      </c>
      <c r="Z152" s="3" t="s">
        <v>81</v>
      </c>
      <c r="AA152" s="3" t="s">
        <v>81</v>
      </c>
      <c r="AB152" s="3">
        <v>38.433</v>
      </c>
      <c r="AC152" s="3">
        <v>0</v>
      </c>
      <c r="AD152" s="3" t="s">
        <v>81</v>
      </c>
      <c r="AE152" s="3" t="s">
        <v>81</v>
      </c>
      <c r="AF152" s="3" t="s">
        <v>81</v>
      </c>
      <c r="AG152" s="3" t="s">
        <v>81</v>
      </c>
      <c r="AH152" s="3" t="s">
        <v>81</v>
      </c>
      <c r="AI152" s="3" t="s">
        <v>81</v>
      </c>
      <c r="AJ152" s="3" t="s">
        <v>81</v>
      </c>
      <c r="AK152" s="3" t="s">
        <v>81</v>
      </c>
      <c r="AL152" s="3" t="s">
        <v>81</v>
      </c>
      <c r="AM152" s="3">
        <v>44.75</v>
      </c>
      <c r="AN152" s="3">
        <v>0</v>
      </c>
      <c r="AO152" s="3" t="s">
        <v>81</v>
      </c>
      <c r="AP152" s="3" t="s">
        <v>81</v>
      </c>
      <c r="AQ152" s="3" t="s">
        <v>81</v>
      </c>
      <c r="AR152" s="3" t="s">
        <v>81</v>
      </c>
      <c r="AS152" s="3" t="s">
        <v>81</v>
      </c>
      <c r="AT152" s="3" t="s">
        <v>81</v>
      </c>
      <c r="AU152" s="3" t="s">
        <v>81</v>
      </c>
      <c r="AV152" s="3" t="s">
        <v>81</v>
      </c>
      <c r="AW152" s="3" t="s">
        <v>81</v>
      </c>
      <c r="AX152" s="3">
        <v>30.135000000000002</v>
      </c>
      <c r="AY152" s="3">
        <v>0</v>
      </c>
      <c r="AZ152" s="3" t="s">
        <v>81</v>
      </c>
      <c r="BA152" s="3" t="s">
        <v>81</v>
      </c>
      <c r="BB152" s="3" t="s">
        <v>81</v>
      </c>
      <c r="BC152" s="3" t="s">
        <v>81</v>
      </c>
      <c r="BD152" s="3" t="s">
        <v>81</v>
      </c>
      <c r="BE152" s="3" t="s">
        <v>81</v>
      </c>
      <c r="BF152" s="3" t="s">
        <v>81</v>
      </c>
      <c r="BG152" s="3" t="s">
        <v>81</v>
      </c>
      <c r="BH152" s="3" t="s">
        <v>81</v>
      </c>
      <c r="BI152" s="3" t="s">
        <v>82</v>
      </c>
      <c r="BJ152" s="3" t="s">
        <v>84</v>
      </c>
      <c r="BK152" s="3" t="s">
        <v>82</v>
      </c>
      <c r="BL152" s="3" t="s">
        <v>84</v>
      </c>
      <c r="BM152" s="3" t="s">
        <v>84</v>
      </c>
      <c r="BN152" s="3" t="s">
        <v>84</v>
      </c>
      <c r="BO152" s="3" t="s">
        <v>84</v>
      </c>
      <c r="BP152" s="3" t="s">
        <v>362</v>
      </c>
      <c r="BQ152" s="3" t="s">
        <v>362</v>
      </c>
      <c r="BR152" s="3" t="s">
        <v>87</v>
      </c>
      <c r="BS152" s="3" t="s">
        <v>87</v>
      </c>
      <c r="BT152" s="3" t="s">
        <v>106</v>
      </c>
      <c r="BU152" s="3" t="s">
        <v>87</v>
      </c>
      <c r="BV152" s="3" t="s">
        <v>82</v>
      </c>
      <c r="BW152" s="3" t="s">
        <v>91</v>
      </c>
      <c r="BX152" s="3" t="s">
        <v>82</v>
      </c>
      <c r="BY152" s="3" t="s">
        <v>363</v>
      </c>
      <c r="BZ152" s="3" t="s">
        <v>93</v>
      </c>
      <c r="CB152" s="3" t="s">
        <v>84</v>
      </c>
    </row>
    <row r="153" spans="1:82" x14ac:dyDescent="0.15">
      <c r="A153" s="3">
        <v>1228314680</v>
      </c>
      <c r="B153" s="3" t="s">
        <v>215</v>
      </c>
      <c r="C153" s="3" t="s">
        <v>215</v>
      </c>
      <c r="D153" s="3">
        <v>7</v>
      </c>
      <c r="E153" s="3">
        <v>15</v>
      </c>
      <c r="F153" s="3">
        <v>34.283999999999999</v>
      </c>
      <c r="G153" s="3">
        <v>0</v>
      </c>
      <c r="H153" s="3" t="s">
        <v>81</v>
      </c>
      <c r="I153" s="3" t="s">
        <v>81</v>
      </c>
      <c r="J153" s="3" t="s">
        <v>81</v>
      </c>
      <c r="K153" s="3" t="s">
        <v>81</v>
      </c>
      <c r="L153" s="3" t="s">
        <v>81</v>
      </c>
      <c r="M153" s="3" t="s">
        <v>81</v>
      </c>
      <c r="N153" s="3" t="s">
        <v>81</v>
      </c>
      <c r="O153" s="3" t="s">
        <v>81</v>
      </c>
      <c r="P153" s="3" t="s">
        <v>81</v>
      </c>
      <c r="Q153" s="3">
        <v>35.366</v>
      </c>
      <c r="R153" s="3">
        <v>0</v>
      </c>
      <c r="S153" s="3" t="s">
        <v>81</v>
      </c>
      <c r="T153" s="3" t="s">
        <v>81</v>
      </c>
      <c r="U153" s="3" t="s">
        <v>81</v>
      </c>
      <c r="V153" s="3" t="s">
        <v>81</v>
      </c>
      <c r="W153" s="3" t="s">
        <v>81</v>
      </c>
      <c r="X153" s="3" t="s">
        <v>81</v>
      </c>
      <c r="Y153" s="3" t="s">
        <v>81</v>
      </c>
      <c r="Z153" s="3" t="s">
        <v>81</v>
      </c>
      <c r="AA153" s="3" t="s">
        <v>81</v>
      </c>
      <c r="AB153" s="3">
        <v>33.901000000000003</v>
      </c>
      <c r="AC153" s="3">
        <v>0</v>
      </c>
      <c r="AD153" s="3" t="s">
        <v>81</v>
      </c>
      <c r="AE153" s="3" t="s">
        <v>81</v>
      </c>
      <c r="AF153" s="3" t="s">
        <v>81</v>
      </c>
      <c r="AG153" s="3" t="s">
        <v>81</v>
      </c>
      <c r="AH153" s="3" t="s">
        <v>81</v>
      </c>
      <c r="AI153" s="3" t="s">
        <v>81</v>
      </c>
      <c r="AJ153" s="3" t="s">
        <v>81</v>
      </c>
      <c r="AK153" s="3" t="s">
        <v>81</v>
      </c>
      <c r="AL153" s="3" t="s">
        <v>81</v>
      </c>
      <c r="AM153" s="3">
        <v>37.633000000000003</v>
      </c>
      <c r="AN153" s="3">
        <v>0</v>
      </c>
      <c r="AO153" s="3" t="s">
        <v>81</v>
      </c>
      <c r="AP153" s="3" t="s">
        <v>81</v>
      </c>
      <c r="AQ153" s="3" t="s">
        <v>81</v>
      </c>
      <c r="AR153" s="3" t="s">
        <v>81</v>
      </c>
      <c r="AS153" s="3" t="s">
        <v>81</v>
      </c>
      <c r="AT153" s="3" t="s">
        <v>81</v>
      </c>
      <c r="AU153" s="3" t="s">
        <v>81</v>
      </c>
      <c r="AV153" s="3" t="s">
        <v>81</v>
      </c>
      <c r="AW153" s="3" t="s">
        <v>81</v>
      </c>
      <c r="AX153" s="3">
        <v>35.621000000000002</v>
      </c>
      <c r="AY153" s="3">
        <v>0</v>
      </c>
      <c r="AZ153" s="3" t="s">
        <v>81</v>
      </c>
      <c r="BA153" s="3" t="s">
        <v>81</v>
      </c>
      <c r="BB153" s="3" t="s">
        <v>81</v>
      </c>
      <c r="BC153" s="3" t="s">
        <v>81</v>
      </c>
      <c r="BD153" s="3" t="s">
        <v>81</v>
      </c>
      <c r="BE153" s="3" t="s">
        <v>81</v>
      </c>
      <c r="BF153" s="3" t="s">
        <v>81</v>
      </c>
      <c r="BG153" s="3" t="s">
        <v>81</v>
      </c>
      <c r="BH153" s="3" t="s">
        <v>81</v>
      </c>
      <c r="BI153" s="3" t="s">
        <v>84</v>
      </c>
      <c r="BJ153" s="3" t="s">
        <v>82</v>
      </c>
      <c r="BK153" s="3" t="s">
        <v>83</v>
      </c>
      <c r="BL153" s="3" t="s">
        <v>84</v>
      </c>
      <c r="BM153" s="3" t="s">
        <v>84</v>
      </c>
      <c r="BN153" s="3" t="s">
        <v>84</v>
      </c>
      <c r="BO153" s="3" t="s">
        <v>84</v>
      </c>
      <c r="BP153" s="3" t="s">
        <v>188</v>
      </c>
      <c r="BQ153" s="3" t="s">
        <v>188</v>
      </c>
      <c r="BR153" s="3" t="s">
        <v>188</v>
      </c>
      <c r="BS153" s="3" t="s">
        <v>216</v>
      </c>
      <c r="BT153" s="3" t="s">
        <v>85</v>
      </c>
      <c r="BU153" s="3" t="s">
        <v>81</v>
      </c>
      <c r="BV153" s="3" t="s">
        <v>82</v>
      </c>
      <c r="BW153" s="3" t="s">
        <v>91</v>
      </c>
      <c r="BX153" s="3" t="s">
        <v>82</v>
      </c>
      <c r="BZ153" s="3" t="s">
        <v>93</v>
      </c>
      <c r="CB153" s="3" t="s">
        <v>84</v>
      </c>
    </row>
    <row r="154" spans="1:82" x14ac:dyDescent="0.15">
      <c r="A154" s="3">
        <v>1847938480</v>
      </c>
      <c r="B154" s="3" t="s">
        <v>215</v>
      </c>
      <c r="C154" s="3" t="s">
        <v>215</v>
      </c>
      <c r="D154" s="3">
        <v>5</v>
      </c>
      <c r="E154" s="3">
        <v>5</v>
      </c>
      <c r="F154" s="3">
        <v>37.984000000000002</v>
      </c>
      <c r="G154" s="3">
        <v>0</v>
      </c>
      <c r="H154" s="3" t="s">
        <v>81</v>
      </c>
      <c r="I154" s="3" t="s">
        <v>81</v>
      </c>
      <c r="J154" s="3" t="s">
        <v>81</v>
      </c>
      <c r="K154" s="3" t="s">
        <v>81</v>
      </c>
      <c r="L154" s="3" t="s">
        <v>81</v>
      </c>
      <c r="M154" s="3" t="s">
        <v>81</v>
      </c>
      <c r="N154" s="3" t="s">
        <v>81</v>
      </c>
      <c r="O154" s="3" t="s">
        <v>81</v>
      </c>
      <c r="P154" s="3" t="s">
        <v>81</v>
      </c>
      <c r="Q154" s="3">
        <v>37.585000000000001</v>
      </c>
      <c r="R154" s="3">
        <v>0</v>
      </c>
      <c r="S154" s="3" t="s">
        <v>81</v>
      </c>
      <c r="T154" s="3" t="s">
        <v>81</v>
      </c>
      <c r="U154" s="3" t="s">
        <v>81</v>
      </c>
      <c r="V154" s="3" t="s">
        <v>81</v>
      </c>
      <c r="W154" s="3" t="s">
        <v>81</v>
      </c>
      <c r="X154" s="3" t="s">
        <v>81</v>
      </c>
      <c r="Y154" s="3" t="s">
        <v>81</v>
      </c>
      <c r="Z154" s="3" t="s">
        <v>81</v>
      </c>
      <c r="AA154" s="3" t="s">
        <v>81</v>
      </c>
      <c r="AB154" s="3">
        <v>34.369</v>
      </c>
      <c r="AC154" s="3">
        <v>0</v>
      </c>
      <c r="AD154" s="3" t="s">
        <v>81</v>
      </c>
      <c r="AE154" s="3" t="s">
        <v>81</v>
      </c>
      <c r="AF154" s="3" t="s">
        <v>81</v>
      </c>
      <c r="AG154" s="3" t="s">
        <v>81</v>
      </c>
      <c r="AH154" s="3" t="s">
        <v>81</v>
      </c>
      <c r="AI154" s="3" t="s">
        <v>81</v>
      </c>
      <c r="AJ154" s="3" t="s">
        <v>81</v>
      </c>
      <c r="AK154" s="3" t="s">
        <v>81</v>
      </c>
      <c r="AL154" s="3" t="s">
        <v>81</v>
      </c>
      <c r="AM154" s="3">
        <v>42.189</v>
      </c>
      <c r="AN154" s="3">
        <v>0</v>
      </c>
      <c r="AO154" s="3" t="s">
        <v>81</v>
      </c>
      <c r="AP154" s="3" t="s">
        <v>81</v>
      </c>
      <c r="AQ154" s="3" t="s">
        <v>81</v>
      </c>
      <c r="AR154" s="3" t="s">
        <v>81</v>
      </c>
      <c r="AS154" s="3" t="s">
        <v>81</v>
      </c>
      <c r="AT154" s="3" t="s">
        <v>81</v>
      </c>
      <c r="AU154" s="3" t="s">
        <v>81</v>
      </c>
      <c r="AV154" s="3" t="s">
        <v>81</v>
      </c>
      <c r="AW154" s="3" t="s">
        <v>81</v>
      </c>
      <c r="AX154" s="3">
        <v>38.04</v>
      </c>
      <c r="AY154" s="3">
        <v>0</v>
      </c>
      <c r="AZ154" s="3" t="s">
        <v>81</v>
      </c>
      <c r="BA154" s="3" t="s">
        <v>81</v>
      </c>
      <c r="BB154" s="3" t="s">
        <v>81</v>
      </c>
      <c r="BC154" s="3" t="s">
        <v>81</v>
      </c>
      <c r="BD154" s="3" t="s">
        <v>81</v>
      </c>
      <c r="BE154" s="3" t="s">
        <v>81</v>
      </c>
      <c r="BF154" s="3" t="s">
        <v>81</v>
      </c>
      <c r="BG154" s="3" t="s">
        <v>81</v>
      </c>
      <c r="BH154" s="3" t="s">
        <v>81</v>
      </c>
      <c r="BI154" s="3" t="s">
        <v>84</v>
      </c>
      <c r="BJ154" s="3" t="s">
        <v>84</v>
      </c>
      <c r="BK154" s="3" t="s">
        <v>82</v>
      </c>
      <c r="BL154" s="3" t="s">
        <v>84</v>
      </c>
      <c r="BM154" s="3" t="s">
        <v>84</v>
      </c>
      <c r="BN154" s="3" t="s">
        <v>82</v>
      </c>
      <c r="BO154" s="3" t="s">
        <v>82</v>
      </c>
      <c r="BP154" s="3" t="s">
        <v>87</v>
      </c>
      <c r="BQ154" s="3" t="s">
        <v>87</v>
      </c>
      <c r="BR154" s="3" t="s">
        <v>87</v>
      </c>
      <c r="BS154" s="3" t="s">
        <v>87</v>
      </c>
      <c r="BT154" s="3" t="s">
        <v>87</v>
      </c>
      <c r="BU154" s="3" t="s">
        <v>81</v>
      </c>
      <c r="BV154" s="3" t="s">
        <v>83</v>
      </c>
      <c r="BW154" s="3" t="s">
        <v>83</v>
      </c>
      <c r="BX154" s="3" t="s">
        <v>82</v>
      </c>
      <c r="BY154" s="3" t="s">
        <v>217</v>
      </c>
      <c r="BZ154" s="3" t="s">
        <v>93</v>
      </c>
      <c r="CB154" s="3" t="s">
        <v>84</v>
      </c>
    </row>
    <row r="155" spans="1:82" x14ac:dyDescent="0.15">
      <c r="A155" s="3">
        <v>1318640458</v>
      </c>
      <c r="B155" s="3" t="s">
        <v>215</v>
      </c>
      <c r="C155" s="3" t="s">
        <v>215</v>
      </c>
      <c r="D155" s="3">
        <v>9</v>
      </c>
      <c r="E155" s="3">
        <v>14</v>
      </c>
      <c r="F155" s="3">
        <v>134.17400000000001</v>
      </c>
      <c r="G155" s="3">
        <v>0</v>
      </c>
      <c r="H155" s="3" t="s">
        <v>81</v>
      </c>
      <c r="I155" s="3" t="s">
        <v>81</v>
      </c>
      <c r="J155" s="3" t="s">
        <v>81</v>
      </c>
      <c r="K155" s="3" t="s">
        <v>81</v>
      </c>
      <c r="L155" s="3" t="s">
        <v>81</v>
      </c>
      <c r="M155" s="3" t="s">
        <v>81</v>
      </c>
      <c r="N155" s="3" t="s">
        <v>81</v>
      </c>
      <c r="O155" s="3" t="s">
        <v>81</v>
      </c>
      <c r="P155" s="3" t="s">
        <v>81</v>
      </c>
      <c r="Q155" s="3">
        <v>129.274</v>
      </c>
      <c r="R155" s="3">
        <v>0</v>
      </c>
      <c r="S155" s="3" t="s">
        <v>81</v>
      </c>
      <c r="T155" s="3" t="s">
        <v>81</v>
      </c>
      <c r="U155" s="3" t="s">
        <v>81</v>
      </c>
      <c r="V155" s="3" t="s">
        <v>81</v>
      </c>
      <c r="W155" s="3" t="s">
        <v>81</v>
      </c>
      <c r="X155" s="3" t="s">
        <v>81</v>
      </c>
      <c r="Y155" s="3" t="s">
        <v>81</v>
      </c>
      <c r="Z155" s="3" t="s">
        <v>81</v>
      </c>
      <c r="AA155" s="3" t="s">
        <v>81</v>
      </c>
      <c r="AB155" s="3">
        <v>125.366</v>
      </c>
      <c r="AC155" s="3">
        <v>0</v>
      </c>
      <c r="AD155" s="3" t="s">
        <v>81</v>
      </c>
      <c r="AE155" s="3" t="s">
        <v>81</v>
      </c>
      <c r="AF155" s="3" t="s">
        <v>81</v>
      </c>
      <c r="AG155" s="3" t="s">
        <v>81</v>
      </c>
      <c r="AH155" s="3" t="s">
        <v>81</v>
      </c>
      <c r="AI155" s="3" t="s">
        <v>81</v>
      </c>
      <c r="AJ155" s="3" t="s">
        <v>81</v>
      </c>
      <c r="AK155" s="3" t="s">
        <v>81</v>
      </c>
      <c r="AL155" s="3" t="s">
        <v>81</v>
      </c>
      <c r="AM155" s="3">
        <v>122.149</v>
      </c>
      <c r="AN155" s="3">
        <v>0</v>
      </c>
      <c r="AO155" s="3" t="s">
        <v>81</v>
      </c>
      <c r="AP155" s="3" t="s">
        <v>81</v>
      </c>
      <c r="AQ155" s="3" t="s">
        <v>81</v>
      </c>
      <c r="AR155" s="3" t="s">
        <v>81</v>
      </c>
      <c r="AS155" s="3" t="s">
        <v>81</v>
      </c>
      <c r="AT155" s="3" t="s">
        <v>81</v>
      </c>
      <c r="AU155" s="3" t="s">
        <v>81</v>
      </c>
      <c r="AV155" s="3" t="s">
        <v>81</v>
      </c>
      <c r="AW155" s="3" t="s">
        <v>81</v>
      </c>
      <c r="AX155" s="3">
        <v>127.10599999999999</v>
      </c>
      <c r="AY155" s="3">
        <v>0</v>
      </c>
      <c r="AZ155" s="3" t="s">
        <v>81</v>
      </c>
      <c r="BA155" s="3" t="s">
        <v>81</v>
      </c>
      <c r="BB155" s="3" t="s">
        <v>81</v>
      </c>
      <c r="BC155" s="3" t="s">
        <v>81</v>
      </c>
      <c r="BD155" s="3" t="s">
        <v>81</v>
      </c>
      <c r="BE155" s="3" t="s">
        <v>81</v>
      </c>
      <c r="BF155" s="3" t="s">
        <v>81</v>
      </c>
      <c r="BG155" s="3" t="s">
        <v>81</v>
      </c>
      <c r="BH155" s="3" t="s">
        <v>81</v>
      </c>
      <c r="BI155" s="3" t="s">
        <v>84</v>
      </c>
      <c r="BJ155" s="3" t="s">
        <v>82</v>
      </c>
      <c r="BK155" s="3" t="s">
        <v>83</v>
      </c>
      <c r="BL155" s="3" t="s">
        <v>84</v>
      </c>
      <c r="BM155" s="3" t="s">
        <v>84</v>
      </c>
      <c r="BN155" s="3" t="s">
        <v>84</v>
      </c>
      <c r="BO155" s="3" t="s">
        <v>84</v>
      </c>
      <c r="BP155" s="3" t="s">
        <v>87</v>
      </c>
      <c r="BQ155" s="3" t="s">
        <v>87</v>
      </c>
      <c r="BR155" s="3" t="s">
        <v>218</v>
      </c>
      <c r="BS155" s="3" t="s">
        <v>219</v>
      </c>
      <c r="BT155" s="3" t="s">
        <v>87</v>
      </c>
      <c r="BU155" s="3" t="s">
        <v>85</v>
      </c>
      <c r="BV155" s="3" t="s">
        <v>82</v>
      </c>
      <c r="BW155" s="3" t="s">
        <v>91</v>
      </c>
      <c r="BX155" s="3" t="s">
        <v>82</v>
      </c>
      <c r="BZ155" s="3" t="s">
        <v>86</v>
      </c>
      <c r="CB155" s="3" t="s">
        <v>84</v>
      </c>
    </row>
    <row r="156" spans="1:82" x14ac:dyDescent="0.15">
      <c r="A156" s="3">
        <v>2625843363</v>
      </c>
      <c r="B156" s="3" t="s">
        <v>215</v>
      </c>
      <c r="C156" s="3" t="s">
        <v>215</v>
      </c>
      <c r="D156" s="3">
        <v>8</v>
      </c>
      <c r="E156" s="3">
        <v>13</v>
      </c>
      <c r="F156" s="3">
        <v>65.944000000000003</v>
      </c>
      <c r="G156" s="3">
        <v>0</v>
      </c>
      <c r="H156" s="3" t="s">
        <v>81</v>
      </c>
      <c r="I156" s="3" t="s">
        <v>81</v>
      </c>
      <c r="J156" s="3" t="s">
        <v>81</v>
      </c>
      <c r="K156" s="3" t="s">
        <v>81</v>
      </c>
      <c r="L156" s="3" t="s">
        <v>81</v>
      </c>
      <c r="M156" s="3" t="s">
        <v>81</v>
      </c>
      <c r="N156" s="3" t="s">
        <v>81</v>
      </c>
      <c r="O156" s="3" t="s">
        <v>81</v>
      </c>
      <c r="P156" s="3" t="s">
        <v>81</v>
      </c>
      <c r="Q156" s="3">
        <v>61.66</v>
      </c>
      <c r="R156" s="3">
        <v>0</v>
      </c>
      <c r="S156" s="3" t="s">
        <v>81</v>
      </c>
      <c r="T156" s="3" t="s">
        <v>81</v>
      </c>
      <c r="U156" s="3" t="s">
        <v>81</v>
      </c>
      <c r="V156" s="3" t="s">
        <v>81</v>
      </c>
      <c r="W156" s="3" t="s">
        <v>81</v>
      </c>
      <c r="X156" s="3" t="s">
        <v>81</v>
      </c>
      <c r="Y156" s="3" t="s">
        <v>81</v>
      </c>
      <c r="Z156" s="3" t="s">
        <v>81</v>
      </c>
      <c r="AA156" s="3" t="s">
        <v>81</v>
      </c>
      <c r="AB156" s="3">
        <v>66.813999999999993</v>
      </c>
      <c r="AC156" s="3">
        <v>0</v>
      </c>
      <c r="AD156" s="3" t="s">
        <v>81</v>
      </c>
      <c r="AE156" s="3" t="s">
        <v>81</v>
      </c>
      <c r="AF156" s="3" t="s">
        <v>81</v>
      </c>
      <c r="AG156" s="3" t="s">
        <v>81</v>
      </c>
      <c r="AH156" s="3" t="s">
        <v>81</v>
      </c>
      <c r="AI156" s="3" t="s">
        <v>81</v>
      </c>
      <c r="AJ156" s="3" t="s">
        <v>81</v>
      </c>
      <c r="AK156" s="3" t="s">
        <v>81</v>
      </c>
      <c r="AL156" s="3" t="s">
        <v>81</v>
      </c>
      <c r="AM156" s="3">
        <v>62.345999999999997</v>
      </c>
      <c r="AN156" s="3">
        <v>0</v>
      </c>
      <c r="AO156" s="3" t="s">
        <v>81</v>
      </c>
      <c r="AP156" s="3" t="s">
        <v>81</v>
      </c>
      <c r="AQ156" s="3" t="s">
        <v>81</v>
      </c>
      <c r="AR156" s="3" t="s">
        <v>81</v>
      </c>
      <c r="AS156" s="3" t="s">
        <v>81</v>
      </c>
      <c r="AT156" s="3" t="s">
        <v>81</v>
      </c>
      <c r="AU156" s="3" t="s">
        <v>81</v>
      </c>
      <c r="AV156" s="3" t="s">
        <v>81</v>
      </c>
      <c r="AW156" s="3" t="s">
        <v>81</v>
      </c>
      <c r="AX156" s="3">
        <v>61.32</v>
      </c>
      <c r="AY156" s="3">
        <v>0</v>
      </c>
      <c r="AZ156" s="3" t="s">
        <v>81</v>
      </c>
      <c r="BA156" s="3" t="s">
        <v>81</v>
      </c>
      <c r="BB156" s="3" t="s">
        <v>81</v>
      </c>
      <c r="BC156" s="3" t="s">
        <v>81</v>
      </c>
      <c r="BD156" s="3" t="s">
        <v>81</v>
      </c>
      <c r="BE156" s="3" t="s">
        <v>81</v>
      </c>
      <c r="BF156" s="3" t="s">
        <v>81</v>
      </c>
      <c r="BG156" s="3" t="s">
        <v>81</v>
      </c>
      <c r="BH156" s="3" t="s">
        <v>81</v>
      </c>
      <c r="BI156" s="3" t="s">
        <v>84</v>
      </c>
      <c r="BJ156" s="3" t="s">
        <v>84</v>
      </c>
      <c r="BK156" s="3" t="s">
        <v>84</v>
      </c>
      <c r="BL156" s="3" t="s">
        <v>84</v>
      </c>
      <c r="BM156" s="3" t="s">
        <v>84</v>
      </c>
      <c r="BN156" s="3" t="s">
        <v>82</v>
      </c>
      <c r="BO156" s="3" t="s">
        <v>82</v>
      </c>
      <c r="BP156" s="3" t="s">
        <v>87</v>
      </c>
      <c r="BQ156" s="3" t="s">
        <v>87</v>
      </c>
      <c r="BR156" s="3" t="s">
        <v>87</v>
      </c>
      <c r="BS156" s="3" t="s">
        <v>87</v>
      </c>
      <c r="BT156" s="3" t="s">
        <v>87</v>
      </c>
      <c r="BU156" s="3" t="s">
        <v>81</v>
      </c>
      <c r="BV156" s="3" t="s">
        <v>82</v>
      </c>
      <c r="BW156" s="3" t="s">
        <v>91</v>
      </c>
      <c r="BX156" s="3" t="s">
        <v>82</v>
      </c>
      <c r="BZ156" s="3" t="s">
        <v>86</v>
      </c>
      <c r="CB156" s="3" t="s">
        <v>84</v>
      </c>
    </row>
    <row r="157" spans="1:82" x14ac:dyDescent="0.15">
      <c r="A157" s="3">
        <v>2625903537</v>
      </c>
      <c r="B157" s="3" t="s">
        <v>215</v>
      </c>
      <c r="C157" s="3" t="s">
        <v>215</v>
      </c>
      <c r="D157" s="3">
        <v>7</v>
      </c>
      <c r="E157" s="3">
        <v>11</v>
      </c>
      <c r="F157" s="3">
        <v>48.932000000000002</v>
      </c>
      <c r="G157" s="3">
        <v>0</v>
      </c>
      <c r="H157" s="3" t="s">
        <v>81</v>
      </c>
      <c r="I157" s="3" t="s">
        <v>81</v>
      </c>
      <c r="J157" s="3" t="s">
        <v>81</v>
      </c>
      <c r="K157" s="3" t="s">
        <v>81</v>
      </c>
      <c r="L157" s="3" t="s">
        <v>81</v>
      </c>
      <c r="M157" s="3" t="s">
        <v>81</v>
      </c>
      <c r="N157" s="3" t="s">
        <v>81</v>
      </c>
      <c r="O157" s="3" t="s">
        <v>81</v>
      </c>
      <c r="P157" s="3" t="s">
        <v>81</v>
      </c>
      <c r="Q157" s="3">
        <v>48.256999999999998</v>
      </c>
      <c r="R157" s="3">
        <v>0</v>
      </c>
      <c r="S157" s="3" t="s">
        <v>81</v>
      </c>
      <c r="T157" s="3" t="s">
        <v>81</v>
      </c>
      <c r="U157" s="3" t="s">
        <v>81</v>
      </c>
      <c r="V157" s="3" t="s">
        <v>81</v>
      </c>
      <c r="W157" s="3" t="s">
        <v>81</v>
      </c>
      <c r="X157" s="3" t="s">
        <v>81</v>
      </c>
      <c r="Y157" s="3" t="s">
        <v>81</v>
      </c>
      <c r="Z157" s="3" t="s">
        <v>81</v>
      </c>
      <c r="AA157" s="3" t="s">
        <v>81</v>
      </c>
      <c r="AB157" s="3">
        <v>46.4</v>
      </c>
      <c r="AC157" s="3">
        <v>0</v>
      </c>
      <c r="AD157" s="3" t="s">
        <v>81</v>
      </c>
      <c r="AE157" s="3" t="s">
        <v>81</v>
      </c>
      <c r="AF157" s="3" t="s">
        <v>81</v>
      </c>
      <c r="AG157" s="3" t="s">
        <v>81</v>
      </c>
      <c r="AH157" s="3" t="s">
        <v>81</v>
      </c>
      <c r="AI157" s="3" t="s">
        <v>81</v>
      </c>
      <c r="AJ157" s="3" t="s">
        <v>81</v>
      </c>
      <c r="AK157" s="3" t="s">
        <v>81</v>
      </c>
      <c r="AL157" s="3" t="s">
        <v>81</v>
      </c>
      <c r="AM157" s="3">
        <v>42.908000000000001</v>
      </c>
      <c r="AN157" s="3">
        <v>0</v>
      </c>
      <c r="AO157" s="3" t="s">
        <v>81</v>
      </c>
      <c r="AP157" s="3" t="s">
        <v>81</v>
      </c>
      <c r="AQ157" s="3" t="s">
        <v>81</v>
      </c>
      <c r="AR157" s="3" t="s">
        <v>81</v>
      </c>
      <c r="AS157" s="3" t="s">
        <v>81</v>
      </c>
      <c r="AT157" s="3" t="s">
        <v>81</v>
      </c>
      <c r="AU157" s="3" t="s">
        <v>81</v>
      </c>
      <c r="AV157" s="3" t="s">
        <v>81</v>
      </c>
      <c r="AW157" s="3" t="s">
        <v>81</v>
      </c>
      <c r="AX157" s="3">
        <v>49.326999999999998</v>
      </c>
      <c r="AY157" s="3">
        <v>0</v>
      </c>
      <c r="AZ157" s="3" t="s">
        <v>81</v>
      </c>
      <c r="BA157" s="3" t="s">
        <v>81</v>
      </c>
      <c r="BB157" s="3" t="s">
        <v>81</v>
      </c>
      <c r="BC157" s="3" t="s">
        <v>81</v>
      </c>
      <c r="BD157" s="3" t="s">
        <v>81</v>
      </c>
      <c r="BE157" s="3" t="s">
        <v>81</v>
      </c>
      <c r="BF157" s="3" t="s">
        <v>81</v>
      </c>
      <c r="BG157" s="3" t="s">
        <v>81</v>
      </c>
      <c r="BH157" s="3" t="s">
        <v>81</v>
      </c>
      <c r="BI157" s="3" t="s">
        <v>84</v>
      </c>
      <c r="BJ157" s="3" t="s">
        <v>84</v>
      </c>
      <c r="BK157" s="3" t="s">
        <v>84</v>
      </c>
      <c r="BL157" s="3" t="s">
        <v>82</v>
      </c>
      <c r="BM157" s="3" t="s">
        <v>83</v>
      </c>
      <c r="BN157" s="3" t="s">
        <v>82</v>
      </c>
      <c r="BO157" s="3" t="s">
        <v>84</v>
      </c>
      <c r="BP157" s="3" t="s">
        <v>220</v>
      </c>
      <c r="BQ157" s="3" t="s">
        <v>220</v>
      </c>
      <c r="BR157" s="3" t="s">
        <v>98</v>
      </c>
      <c r="BS157" s="3" t="s">
        <v>221</v>
      </c>
      <c r="BT157" s="3" t="s">
        <v>85</v>
      </c>
      <c r="BU157" s="3" t="s">
        <v>98</v>
      </c>
      <c r="BV157" s="3" t="s">
        <v>83</v>
      </c>
      <c r="BW157" s="3" t="s">
        <v>83</v>
      </c>
      <c r="BX157" s="3" t="s">
        <v>83</v>
      </c>
      <c r="BZ157" s="3" t="s">
        <v>86</v>
      </c>
      <c r="CB157" s="3" t="s">
        <v>84</v>
      </c>
    </row>
    <row r="158" spans="1:82" ht="15.75" customHeight="1" x14ac:dyDescent="0.15">
      <c r="A158" s="3">
        <v>1847942164</v>
      </c>
      <c r="B158" s="3" t="s">
        <v>177</v>
      </c>
      <c r="C158" s="3" t="s">
        <v>177</v>
      </c>
      <c r="D158" s="3">
        <v>9</v>
      </c>
      <c r="E158" s="3">
        <v>12</v>
      </c>
      <c r="F158" s="3">
        <v>21.585000000000001</v>
      </c>
      <c r="G158" s="3">
        <v>0</v>
      </c>
      <c r="H158" s="3" t="s">
        <v>81</v>
      </c>
      <c r="I158" s="3" t="s">
        <v>81</v>
      </c>
      <c r="J158" s="3" t="s">
        <v>81</v>
      </c>
      <c r="K158" s="3" t="s">
        <v>81</v>
      </c>
      <c r="L158" s="3" t="s">
        <v>81</v>
      </c>
      <c r="M158" s="3" t="s">
        <v>81</v>
      </c>
      <c r="N158" s="3" t="s">
        <v>81</v>
      </c>
      <c r="O158" s="3" t="s">
        <v>81</v>
      </c>
      <c r="P158" s="3" t="s">
        <v>81</v>
      </c>
      <c r="Q158" s="3">
        <v>18.751000000000001</v>
      </c>
      <c r="R158" s="3">
        <v>0</v>
      </c>
      <c r="S158" s="3" t="s">
        <v>81</v>
      </c>
      <c r="T158" s="3" t="s">
        <v>81</v>
      </c>
      <c r="U158" s="3" t="s">
        <v>81</v>
      </c>
      <c r="V158" s="3" t="s">
        <v>81</v>
      </c>
      <c r="W158" s="3" t="s">
        <v>81</v>
      </c>
      <c r="X158" s="3" t="s">
        <v>81</v>
      </c>
      <c r="Y158" s="3" t="s">
        <v>81</v>
      </c>
      <c r="Z158" s="3" t="s">
        <v>81</v>
      </c>
      <c r="AA158" s="3" t="s">
        <v>81</v>
      </c>
      <c r="AB158" s="3">
        <v>21.048999999999999</v>
      </c>
      <c r="AC158" s="3">
        <v>0</v>
      </c>
      <c r="AD158" s="3" t="s">
        <v>81</v>
      </c>
      <c r="AE158" s="3" t="s">
        <v>81</v>
      </c>
      <c r="AF158" s="3" t="s">
        <v>81</v>
      </c>
      <c r="AG158" s="3" t="s">
        <v>81</v>
      </c>
      <c r="AH158" s="3" t="s">
        <v>81</v>
      </c>
      <c r="AI158" s="3" t="s">
        <v>81</v>
      </c>
      <c r="AJ158" s="3" t="s">
        <v>81</v>
      </c>
      <c r="AK158" s="3" t="s">
        <v>81</v>
      </c>
      <c r="AL158" s="3" t="s">
        <v>81</v>
      </c>
      <c r="AM158" s="3">
        <v>20.439</v>
      </c>
      <c r="AN158" s="3">
        <v>0</v>
      </c>
      <c r="AO158" s="3" t="s">
        <v>81</v>
      </c>
      <c r="AP158" s="3" t="s">
        <v>81</v>
      </c>
      <c r="AQ158" s="3" t="s">
        <v>81</v>
      </c>
      <c r="AR158" s="3" t="s">
        <v>81</v>
      </c>
      <c r="AS158" s="3" t="s">
        <v>81</v>
      </c>
      <c r="AT158" s="3" t="s">
        <v>81</v>
      </c>
      <c r="AU158" s="3" t="s">
        <v>81</v>
      </c>
      <c r="AV158" s="3" t="s">
        <v>81</v>
      </c>
      <c r="AW158" s="3" t="s">
        <v>81</v>
      </c>
      <c r="AX158" s="3">
        <v>22.478999999999999</v>
      </c>
      <c r="AY158" s="3">
        <v>0</v>
      </c>
      <c r="AZ158" s="3" t="s">
        <v>81</v>
      </c>
      <c r="BA158" s="3" t="s">
        <v>81</v>
      </c>
      <c r="BB158" s="3" t="s">
        <v>81</v>
      </c>
      <c r="BC158" s="3" t="s">
        <v>81</v>
      </c>
      <c r="BD158" s="3" t="s">
        <v>81</v>
      </c>
      <c r="BE158" s="3" t="s">
        <v>81</v>
      </c>
      <c r="BF158" s="3" t="s">
        <v>81</v>
      </c>
      <c r="BG158" s="3" t="s">
        <v>81</v>
      </c>
      <c r="BH158" s="3" t="s">
        <v>81</v>
      </c>
      <c r="BI158" s="3" t="s">
        <v>84</v>
      </c>
      <c r="BJ158" s="3" t="s">
        <v>84</v>
      </c>
      <c r="BK158" s="3" t="s">
        <v>84</v>
      </c>
      <c r="BL158" s="3" t="s">
        <v>84</v>
      </c>
      <c r="BM158" s="3" t="s">
        <v>84</v>
      </c>
      <c r="BN158" s="3" t="s">
        <v>84</v>
      </c>
      <c r="BO158" s="3" t="s">
        <v>84</v>
      </c>
      <c r="BP158" s="3" t="s">
        <v>87</v>
      </c>
      <c r="BQ158" s="3" t="s">
        <v>98</v>
      </c>
      <c r="BR158" s="3" t="s">
        <v>178</v>
      </c>
      <c r="BS158" s="3" t="s">
        <v>178</v>
      </c>
      <c r="BT158" s="3" t="s">
        <v>87</v>
      </c>
      <c r="BU158" s="3" t="s">
        <v>98</v>
      </c>
      <c r="BV158" s="3" t="s">
        <v>84</v>
      </c>
      <c r="BW158" s="3" t="s">
        <v>83</v>
      </c>
      <c r="BX158" s="3" t="s">
        <v>82</v>
      </c>
      <c r="BY158" s="3" t="s">
        <v>179</v>
      </c>
      <c r="BZ158" s="3" t="s">
        <v>93</v>
      </c>
      <c r="CB158" s="3" t="s">
        <v>84</v>
      </c>
      <c r="CD158" s="3" t="s">
        <v>532</v>
      </c>
    </row>
    <row r="159" spans="1:82" ht="15.75" customHeight="1" x14ac:dyDescent="0.15">
      <c r="A159" s="3">
        <v>2643334526</v>
      </c>
      <c r="B159" s="3" t="s">
        <v>177</v>
      </c>
      <c r="C159" s="3" t="s">
        <v>177</v>
      </c>
      <c r="D159" s="3">
        <v>16</v>
      </c>
      <c r="E159" s="3">
        <v>16</v>
      </c>
      <c r="F159" s="3">
        <v>26.163</v>
      </c>
      <c r="G159" s="3">
        <v>0</v>
      </c>
      <c r="H159" s="3" t="s">
        <v>81</v>
      </c>
      <c r="I159" s="3" t="s">
        <v>81</v>
      </c>
      <c r="J159" s="3" t="s">
        <v>81</v>
      </c>
      <c r="K159" s="3" t="s">
        <v>81</v>
      </c>
      <c r="L159" s="3" t="s">
        <v>81</v>
      </c>
      <c r="M159" s="3" t="s">
        <v>81</v>
      </c>
      <c r="N159" s="3" t="s">
        <v>81</v>
      </c>
      <c r="O159" s="3" t="s">
        <v>81</v>
      </c>
      <c r="P159" s="3" t="s">
        <v>81</v>
      </c>
      <c r="Q159" s="3">
        <v>30.201000000000001</v>
      </c>
      <c r="R159" s="3">
        <v>0</v>
      </c>
      <c r="S159" s="3" t="s">
        <v>81</v>
      </c>
      <c r="T159" s="3" t="s">
        <v>81</v>
      </c>
      <c r="U159" s="3" t="s">
        <v>81</v>
      </c>
      <c r="V159" s="3" t="s">
        <v>81</v>
      </c>
      <c r="W159" s="3" t="s">
        <v>81</v>
      </c>
      <c r="X159" s="3" t="s">
        <v>81</v>
      </c>
      <c r="Y159" s="3" t="s">
        <v>81</v>
      </c>
      <c r="Z159" s="3" t="s">
        <v>81</v>
      </c>
      <c r="AA159" s="3" t="s">
        <v>81</v>
      </c>
      <c r="AB159" s="3">
        <v>41.250999999999998</v>
      </c>
      <c r="AC159" s="3">
        <v>0</v>
      </c>
      <c r="AD159" s="3" t="s">
        <v>81</v>
      </c>
      <c r="AE159" s="3" t="s">
        <v>81</v>
      </c>
      <c r="AF159" s="3" t="s">
        <v>81</v>
      </c>
      <c r="AG159" s="3" t="s">
        <v>81</v>
      </c>
      <c r="AH159" s="3" t="s">
        <v>81</v>
      </c>
      <c r="AI159" s="3" t="s">
        <v>81</v>
      </c>
      <c r="AJ159" s="3" t="s">
        <v>81</v>
      </c>
      <c r="AK159" s="3" t="s">
        <v>81</v>
      </c>
      <c r="AL159" s="3" t="s">
        <v>81</v>
      </c>
      <c r="AM159" s="3">
        <v>35.783999999999999</v>
      </c>
      <c r="AN159" s="3">
        <v>0</v>
      </c>
      <c r="AO159" s="3" t="s">
        <v>81</v>
      </c>
      <c r="AP159" s="3" t="s">
        <v>81</v>
      </c>
      <c r="AQ159" s="3" t="s">
        <v>81</v>
      </c>
      <c r="AR159" s="3" t="s">
        <v>81</v>
      </c>
      <c r="AS159" s="3" t="s">
        <v>81</v>
      </c>
      <c r="AT159" s="3" t="s">
        <v>81</v>
      </c>
      <c r="AU159" s="3" t="s">
        <v>81</v>
      </c>
      <c r="AV159" s="3" t="s">
        <v>81</v>
      </c>
      <c r="AW159" s="3" t="s">
        <v>81</v>
      </c>
      <c r="AX159" s="3">
        <v>30.067</v>
      </c>
      <c r="AY159" s="3">
        <v>0</v>
      </c>
      <c r="AZ159" s="3" t="s">
        <v>81</v>
      </c>
      <c r="BA159" s="3" t="s">
        <v>81</v>
      </c>
      <c r="BB159" s="3" t="s">
        <v>81</v>
      </c>
      <c r="BC159" s="3" t="s">
        <v>81</v>
      </c>
      <c r="BD159" s="3" t="s">
        <v>81</v>
      </c>
      <c r="BE159" s="3" t="s">
        <v>81</v>
      </c>
      <c r="BF159" s="3" t="s">
        <v>81</v>
      </c>
      <c r="BG159" s="3" t="s">
        <v>81</v>
      </c>
      <c r="BH159" s="3" t="s">
        <v>81</v>
      </c>
      <c r="BI159" s="3" t="s">
        <v>84</v>
      </c>
      <c r="BJ159" s="3" t="s">
        <v>82</v>
      </c>
      <c r="BK159" s="3" t="s">
        <v>83</v>
      </c>
      <c r="BL159" s="3" t="s">
        <v>84</v>
      </c>
      <c r="BM159" s="3" t="s">
        <v>84</v>
      </c>
      <c r="BN159" s="3" t="s">
        <v>84</v>
      </c>
      <c r="BO159" s="3" t="s">
        <v>84</v>
      </c>
      <c r="BP159" s="3" t="s">
        <v>87</v>
      </c>
      <c r="BQ159" s="3" t="s">
        <v>87</v>
      </c>
      <c r="BR159" s="3" t="s">
        <v>180</v>
      </c>
      <c r="BS159" s="3" t="s">
        <v>180</v>
      </c>
      <c r="BT159" s="3" t="s">
        <v>87</v>
      </c>
      <c r="BU159" s="3" t="s">
        <v>98</v>
      </c>
      <c r="BV159" s="3" t="s">
        <v>84</v>
      </c>
      <c r="BW159" s="3" t="s">
        <v>83</v>
      </c>
      <c r="BX159" s="3" t="s">
        <v>82</v>
      </c>
      <c r="BY159" s="3" t="s">
        <v>181</v>
      </c>
      <c r="BZ159" s="3" t="s">
        <v>86</v>
      </c>
      <c r="CB159" s="3" t="s">
        <v>84</v>
      </c>
      <c r="CD159" s="3" t="s">
        <v>532</v>
      </c>
    </row>
    <row r="160" spans="1:82" ht="15.75" customHeight="1" x14ac:dyDescent="0.15">
      <c r="A160" s="3">
        <v>2625837530</v>
      </c>
      <c r="B160" s="3" t="s">
        <v>177</v>
      </c>
      <c r="C160" s="3" t="s">
        <v>177</v>
      </c>
      <c r="D160" s="3">
        <v>12</v>
      </c>
      <c r="E160" s="3">
        <v>12</v>
      </c>
      <c r="F160" s="3">
        <v>30.768999999999998</v>
      </c>
      <c r="G160" s="3">
        <v>0</v>
      </c>
      <c r="H160" s="3" t="s">
        <v>81</v>
      </c>
      <c r="I160" s="3" t="s">
        <v>81</v>
      </c>
      <c r="J160" s="3" t="s">
        <v>81</v>
      </c>
      <c r="K160" s="3" t="s">
        <v>81</v>
      </c>
      <c r="L160" s="3" t="s">
        <v>81</v>
      </c>
      <c r="M160" s="3" t="s">
        <v>81</v>
      </c>
      <c r="N160" s="3" t="s">
        <v>81</v>
      </c>
      <c r="O160" s="3" t="s">
        <v>81</v>
      </c>
      <c r="P160" s="3" t="s">
        <v>81</v>
      </c>
      <c r="Q160" s="3">
        <v>36.945</v>
      </c>
      <c r="R160" s="3">
        <v>0</v>
      </c>
      <c r="S160" s="3" t="s">
        <v>81</v>
      </c>
      <c r="T160" s="3" t="s">
        <v>81</v>
      </c>
      <c r="U160" s="3" t="s">
        <v>81</v>
      </c>
      <c r="V160" s="3" t="s">
        <v>81</v>
      </c>
      <c r="W160" s="3" t="s">
        <v>81</v>
      </c>
      <c r="X160" s="3" t="s">
        <v>81</v>
      </c>
      <c r="Y160" s="3" t="s">
        <v>81</v>
      </c>
      <c r="Z160" s="3" t="s">
        <v>81</v>
      </c>
      <c r="AA160" s="3" t="s">
        <v>81</v>
      </c>
      <c r="AB160" s="3">
        <v>28.004999999999999</v>
      </c>
      <c r="AC160" s="3">
        <v>0</v>
      </c>
      <c r="AD160" s="3" t="s">
        <v>81</v>
      </c>
      <c r="AE160" s="3" t="s">
        <v>81</v>
      </c>
      <c r="AF160" s="3" t="s">
        <v>81</v>
      </c>
      <c r="AG160" s="3" t="s">
        <v>81</v>
      </c>
      <c r="AH160" s="3" t="s">
        <v>81</v>
      </c>
      <c r="AI160" s="3" t="s">
        <v>81</v>
      </c>
      <c r="AJ160" s="3" t="s">
        <v>81</v>
      </c>
      <c r="AK160" s="3" t="s">
        <v>81</v>
      </c>
      <c r="AL160" s="3" t="s">
        <v>81</v>
      </c>
      <c r="AM160" s="3">
        <v>25.434000000000001</v>
      </c>
      <c r="AN160" s="3">
        <v>0</v>
      </c>
      <c r="AO160" s="3" t="s">
        <v>81</v>
      </c>
      <c r="AP160" s="3" t="s">
        <v>81</v>
      </c>
      <c r="AQ160" s="3" t="s">
        <v>81</v>
      </c>
      <c r="AR160" s="3" t="s">
        <v>81</v>
      </c>
      <c r="AS160" s="3" t="s">
        <v>81</v>
      </c>
      <c r="AT160" s="3" t="s">
        <v>81</v>
      </c>
      <c r="AU160" s="3" t="s">
        <v>81</v>
      </c>
      <c r="AV160" s="3" t="s">
        <v>81</v>
      </c>
      <c r="AW160" s="3" t="s">
        <v>81</v>
      </c>
      <c r="AX160" s="3">
        <v>36.033999999999999</v>
      </c>
      <c r="AY160" s="3">
        <v>0</v>
      </c>
      <c r="AZ160" s="3" t="s">
        <v>81</v>
      </c>
      <c r="BA160" s="3" t="s">
        <v>81</v>
      </c>
      <c r="BB160" s="3" t="s">
        <v>81</v>
      </c>
      <c r="BC160" s="3" t="s">
        <v>81</v>
      </c>
      <c r="BD160" s="3" t="s">
        <v>81</v>
      </c>
      <c r="BE160" s="3" t="s">
        <v>81</v>
      </c>
      <c r="BF160" s="3" t="s">
        <v>81</v>
      </c>
      <c r="BG160" s="3" t="s">
        <v>81</v>
      </c>
      <c r="BH160" s="3" t="s">
        <v>81</v>
      </c>
      <c r="BI160" s="3" t="s">
        <v>84</v>
      </c>
      <c r="BJ160" s="3" t="s">
        <v>82</v>
      </c>
      <c r="BK160" s="3" t="s">
        <v>83</v>
      </c>
      <c r="BL160" s="3" t="s">
        <v>84</v>
      </c>
      <c r="BM160" s="3" t="s">
        <v>84</v>
      </c>
      <c r="BN160" s="3" t="s">
        <v>84</v>
      </c>
      <c r="BO160" s="3" t="s">
        <v>84</v>
      </c>
      <c r="BP160" s="3" t="s">
        <v>87</v>
      </c>
      <c r="BQ160" s="3" t="s">
        <v>87</v>
      </c>
      <c r="BR160" s="3" t="s">
        <v>180</v>
      </c>
      <c r="BS160" s="3" t="s">
        <v>180</v>
      </c>
      <c r="BT160" s="3" t="s">
        <v>87</v>
      </c>
      <c r="BU160" s="3" t="s">
        <v>98</v>
      </c>
      <c r="BV160" s="3" t="s">
        <v>84</v>
      </c>
      <c r="BW160" s="3" t="s">
        <v>83</v>
      </c>
      <c r="BX160" s="3" t="s">
        <v>82</v>
      </c>
      <c r="BY160" s="3" t="s">
        <v>181</v>
      </c>
      <c r="BZ160" s="3" t="s">
        <v>86</v>
      </c>
      <c r="CB160" s="3" t="s">
        <v>84</v>
      </c>
      <c r="CD160" s="3" t="s">
        <v>532</v>
      </c>
    </row>
    <row r="161" spans="1:87" ht="15.75" customHeight="1" x14ac:dyDescent="0.15">
      <c r="A161" s="3">
        <v>2625897010</v>
      </c>
      <c r="B161" s="3" t="s">
        <v>177</v>
      </c>
      <c r="C161" s="3" t="s">
        <v>177</v>
      </c>
      <c r="D161" s="3">
        <v>9</v>
      </c>
      <c r="E161" s="3">
        <v>12</v>
      </c>
      <c r="F161" s="3">
        <v>19.222999999999999</v>
      </c>
      <c r="G161" s="3">
        <v>0</v>
      </c>
      <c r="H161" s="3" t="s">
        <v>81</v>
      </c>
      <c r="I161" s="3" t="s">
        <v>81</v>
      </c>
      <c r="J161" s="3" t="s">
        <v>81</v>
      </c>
      <c r="K161" s="3" t="s">
        <v>81</v>
      </c>
      <c r="L161" s="3" t="s">
        <v>81</v>
      </c>
      <c r="M161" s="3" t="s">
        <v>81</v>
      </c>
      <c r="N161" s="3" t="s">
        <v>81</v>
      </c>
      <c r="O161" s="3" t="s">
        <v>81</v>
      </c>
      <c r="P161" s="3" t="s">
        <v>81</v>
      </c>
      <c r="Q161" s="3">
        <v>16.917000000000002</v>
      </c>
      <c r="R161" s="3">
        <v>0</v>
      </c>
      <c r="S161" s="3" t="s">
        <v>81</v>
      </c>
      <c r="T161" s="3" t="s">
        <v>81</v>
      </c>
      <c r="U161" s="3" t="s">
        <v>81</v>
      </c>
      <c r="V161" s="3" t="s">
        <v>81</v>
      </c>
      <c r="W161" s="3" t="s">
        <v>81</v>
      </c>
      <c r="X161" s="3" t="s">
        <v>81</v>
      </c>
      <c r="Y161" s="3" t="s">
        <v>81</v>
      </c>
      <c r="Z161" s="3" t="s">
        <v>81</v>
      </c>
      <c r="AA161" s="3" t="s">
        <v>81</v>
      </c>
      <c r="AB161" s="3">
        <v>15.785</v>
      </c>
      <c r="AC161" s="3">
        <v>0</v>
      </c>
      <c r="AD161" s="3" t="s">
        <v>81</v>
      </c>
      <c r="AE161" s="3" t="s">
        <v>81</v>
      </c>
      <c r="AF161" s="3" t="s">
        <v>81</v>
      </c>
      <c r="AG161" s="3" t="s">
        <v>81</v>
      </c>
      <c r="AH161" s="3" t="s">
        <v>81</v>
      </c>
      <c r="AI161" s="3" t="s">
        <v>81</v>
      </c>
      <c r="AJ161" s="3" t="s">
        <v>81</v>
      </c>
      <c r="AK161" s="3" t="s">
        <v>81</v>
      </c>
      <c r="AL161" s="3" t="s">
        <v>81</v>
      </c>
      <c r="AM161" s="3">
        <v>16.111000000000001</v>
      </c>
      <c r="AN161" s="3">
        <v>0</v>
      </c>
      <c r="AO161" s="3" t="s">
        <v>81</v>
      </c>
      <c r="AP161" s="3" t="s">
        <v>81</v>
      </c>
      <c r="AQ161" s="3" t="s">
        <v>81</v>
      </c>
      <c r="AR161" s="3" t="s">
        <v>81</v>
      </c>
      <c r="AS161" s="3" t="s">
        <v>81</v>
      </c>
      <c r="AT161" s="3" t="s">
        <v>81</v>
      </c>
      <c r="AU161" s="3" t="s">
        <v>81</v>
      </c>
      <c r="AV161" s="3" t="s">
        <v>81</v>
      </c>
      <c r="AW161" s="3" t="s">
        <v>81</v>
      </c>
      <c r="AX161" s="3">
        <v>17.419</v>
      </c>
      <c r="AY161" s="3">
        <v>0</v>
      </c>
      <c r="AZ161" s="3" t="s">
        <v>81</v>
      </c>
      <c r="BA161" s="3" t="s">
        <v>81</v>
      </c>
      <c r="BB161" s="3" t="s">
        <v>81</v>
      </c>
      <c r="BC161" s="3" t="s">
        <v>81</v>
      </c>
      <c r="BD161" s="3" t="s">
        <v>81</v>
      </c>
      <c r="BE161" s="3" t="s">
        <v>81</v>
      </c>
      <c r="BF161" s="3" t="s">
        <v>81</v>
      </c>
      <c r="BG161" s="3" t="s">
        <v>81</v>
      </c>
      <c r="BH161" s="3" t="s">
        <v>81</v>
      </c>
      <c r="BI161" s="3" t="s">
        <v>84</v>
      </c>
      <c r="BJ161" s="3" t="s">
        <v>82</v>
      </c>
      <c r="BK161" s="3" t="s">
        <v>83</v>
      </c>
      <c r="BL161" s="3" t="s">
        <v>84</v>
      </c>
      <c r="BM161" s="3" t="s">
        <v>84</v>
      </c>
      <c r="BN161" s="3" t="s">
        <v>84</v>
      </c>
      <c r="BO161" s="3" t="s">
        <v>84</v>
      </c>
      <c r="BP161" s="3" t="s">
        <v>87</v>
      </c>
      <c r="BQ161" s="3" t="s">
        <v>182</v>
      </c>
      <c r="BR161" s="3" t="s">
        <v>183</v>
      </c>
      <c r="BS161" s="3" t="s">
        <v>184</v>
      </c>
      <c r="BT161" s="3" t="s">
        <v>87</v>
      </c>
      <c r="BU161" s="3" t="s">
        <v>98</v>
      </c>
      <c r="BV161" s="3" t="s">
        <v>82</v>
      </c>
      <c r="BW161" s="3" t="s">
        <v>91</v>
      </c>
      <c r="BX161" s="3" t="s">
        <v>82</v>
      </c>
      <c r="BY161" s="3" t="s">
        <v>185</v>
      </c>
      <c r="BZ161" s="3" t="s">
        <v>86</v>
      </c>
      <c r="CB161" s="3" t="s">
        <v>84</v>
      </c>
      <c r="CD161" s="3" t="s">
        <v>532</v>
      </c>
    </row>
    <row r="162" spans="1:87" ht="15.75" customHeight="1" x14ac:dyDescent="0.15">
      <c r="A162" s="3">
        <v>2625856481</v>
      </c>
      <c r="B162" s="3" t="s">
        <v>177</v>
      </c>
      <c r="C162" s="3" t="s">
        <v>177</v>
      </c>
      <c r="D162" s="3">
        <v>9</v>
      </c>
      <c r="E162" s="3">
        <v>10</v>
      </c>
      <c r="F162" s="3">
        <v>12.689</v>
      </c>
      <c r="G162" s="3">
        <v>0</v>
      </c>
      <c r="H162" s="3" t="s">
        <v>81</v>
      </c>
      <c r="I162" s="3" t="s">
        <v>81</v>
      </c>
      <c r="J162" s="3" t="s">
        <v>81</v>
      </c>
      <c r="K162" s="3" t="s">
        <v>81</v>
      </c>
      <c r="L162" s="3" t="s">
        <v>81</v>
      </c>
      <c r="M162" s="3" t="s">
        <v>81</v>
      </c>
      <c r="N162" s="3" t="s">
        <v>81</v>
      </c>
      <c r="O162" s="3" t="s">
        <v>81</v>
      </c>
      <c r="P162" s="3" t="s">
        <v>81</v>
      </c>
      <c r="Q162" s="3">
        <v>15.881</v>
      </c>
      <c r="R162" s="3">
        <v>0</v>
      </c>
      <c r="S162" s="3" t="s">
        <v>81</v>
      </c>
      <c r="T162" s="3" t="s">
        <v>81</v>
      </c>
      <c r="U162" s="3" t="s">
        <v>81</v>
      </c>
      <c r="V162" s="3" t="s">
        <v>81</v>
      </c>
      <c r="W162" s="3" t="s">
        <v>81</v>
      </c>
      <c r="X162" s="3" t="s">
        <v>81</v>
      </c>
      <c r="Y162" s="3" t="s">
        <v>81</v>
      </c>
      <c r="Z162" s="3" t="s">
        <v>81</v>
      </c>
      <c r="AA162" s="3" t="s">
        <v>81</v>
      </c>
      <c r="AB162" s="3">
        <v>12.096</v>
      </c>
      <c r="AC162" s="3">
        <v>0</v>
      </c>
      <c r="AD162" s="3" t="s">
        <v>81</v>
      </c>
      <c r="AE162" s="3" t="s">
        <v>81</v>
      </c>
      <c r="AF162" s="3" t="s">
        <v>81</v>
      </c>
      <c r="AG162" s="3" t="s">
        <v>81</v>
      </c>
      <c r="AH162" s="3" t="s">
        <v>81</v>
      </c>
      <c r="AI162" s="3" t="s">
        <v>81</v>
      </c>
      <c r="AJ162" s="3" t="s">
        <v>81</v>
      </c>
      <c r="AK162" s="3" t="s">
        <v>81</v>
      </c>
      <c r="AL162" s="3" t="s">
        <v>81</v>
      </c>
      <c r="AM162" s="3">
        <v>12.537000000000001</v>
      </c>
      <c r="AN162" s="3">
        <v>0</v>
      </c>
      <c r="AO162" s="3" t="s">
        <v>81</v>
      </c>
      <c r="AP162" s="3" t="s">
        <v>81</v>
      </c>
      <c r="AQ162" s="3" t="s">
        <v>81</v>
      </c>
      <c r="AR162" s="3" t="s">
        <v>81</v>
      </c>
      <c r="AS162" s="3" t="s">
        <v>81</v>
      </c>
      <c r="AT162" s="3" t="s">
        <v>81</v>
      </c>
      <c r="AU162" s="3" t="s">
        <v>81</v>
      </c>
      <c r="AV162" s="3" t="s">
        <v>81</v>
      </c>
      <c r="AW162" s="3" t="s">
        <v>81</v>
      </c>
      <c r="AX162" s="3">
        <v>10.943</v>
      </c>
      <c r="AY162" s="3">
        <v>0</v>
      </c>
      <c r="AZ162" s="3" t="s">
        <v>81</v>
      </c>
      <c r="BA162" s="3" t="s">
        <v>81</v>
      </c>
      <c r="BB162" s="3" t="s">
        <v>81</v>
      </c>
      <c r="BC162" s="3" t="s">
        <v>81</v>
      </c>
      <c r="BD162" s="3" t="s">
        <v>81</v>
      </c>
      <c r="BE162" s="3" t="s">
        <v>81</v>
      </c>
      <c r="BF162" s="3" t="s">
        <v>81</v>
      </c>
      <c r="BG162" s="3" t="s">
        <v>81</v>
      </c>
      <c r="BH162" s="3" t="s">
        <v>81</v>
      </c>
      <c r="BI162" s="3" t="s">
        <v>84</v>
      </c>
      <c r="BJ162" s="3" t="s">
        <v>82</v>
      </c>
      <c r="BK162" s="3" t="s">
        <v>83</v>
      </c>
      <c r="BL162" s="3" t="s">
        <v>84</v>
      </c>
      <c r="BM162" s="3" t="s">
        <v>84</v>
      </c>
      <c r="BN162" s="3" t="s">
        <v>84</v>
      </c>
      <c r="BO162" s="3" t="s">
        <v>84</v>
      </c>
      <c r="BP162" s="3" t="s">
        <v>87</v>
      </c>
      <c r="BQ162" s="3" t="s">
        <v>87</v>
      </c>
      <c r="BR162" s="3" t="s">
        <v>87</v>
      </c>
      <c r="BS162" s="3" t="s">
        <v>87</v>
      </c>
      <c r="BT162" s="3" t="s">
        <v>87</v>
      </c>
      <c r="BU162" s="3" t="s">
        <v>81</v>
      </c>
      <c r="BV162" s="3" t="s">
        <v>82</v>
      </c>
      <c r="BW162" s="3" t="s">
        <v>91</v>
      </c>
      <c r="BX162" s="3" t="s">
        <v>82</v>
      </c>
      <c r="BY162" s="3" t="s">
        <v>185</v>
      </c>
      <c r="BZ162" s="3" t="s">
        <v>86</v>
      </c>
      <c r="CB162" s="3" t="s">
        <v>84</v>
      </c>
      <c r="CD162" s="3" t="s">
        <v>532</v>
      </c>
    </row>
    <row r="163" spans="1:87" x14ac:dyDescent="0.15">
      <c r="A163" s="3">
        <v>1319824351</v>
      </c>
      <c r="B163" s="3" t="s">
        <v>314</v>
      </c>
      <c r="C163" s="3" t="s">
        <v>315</v>
      </c>
      <c r="D163" s="3">
        <v>19</v>
      </c>
      <c r="E163" s="3">
        <v>22</v>
      </c>
      <c r="F163" s="3">
        <v>28.933</v>
      </c>
      <c r="G163" s="3">
        <v>0</v>
      </c>
      <c r="H163" s="3" t="s">
        <v>81</v>
      </c>
      <c r="I163" s="3" t="s">
        <v>81</v>
      </c>
      <c r="J163" s="3" t="s">
        <v>81</v>
      </c>
      <c r="K163" s="3" t="s">
        <v>81</v>
      </c>
      <c r="L163" s="3" t="s">
        <v>81</v>
      </c>
      <c r="M163" s="3" t="s">
        <v>81</v>
      </c>
      <c r="N163" s="3" t="s">
        <v>81</v>
      </c>
      <c r="O163" s="3" t="s">
        <v>81</v>
      </c>
      <c r="P163" s="3" t="s">
        <v>81</v>
      </c>
      <c r="Q163" s="3">
        <v>26.866</v>
      </c>
      <c r="R163" s="3">
        <v>0</v>
      </c>
      <c r="S163" s="3" t="s">
        <v>81</v>
      </c>
      <c r="T163" s="3" t="s">
        <v>81</v>
      </c>
      <c r="U163" s="3" t="s">
        <v>81</v>
      </c>
      <c r="V163" s="3" t="s">
        <v>81</v>
      </c>
      <c r="W163" s="3" t="s">
        <v>81</v>
      </c>
      <c r="X163" s="3" t="s">
        <v>81</v>
      </c>
      <c r="Y163" s="3" t="s">
        <v>81</v>
      </c>
      <c r="Z163" s="3" t="s">
        <v>81</v>
      </c>
      <c r="AA163" s="3" t="s">
        <v>81</v>
      </c>
      <c r="AB163" s="3">
        <v>26.946999999999999</v>
      </c>
      <c r="AC163" s="3">
        <v>0</v>
      </c>
      <c r="AD163" s="3" t="s">
        <v>81</v>
      </c>
      <c r="AE163" s="3" t="s">
        <v>81</v>
      </c>
      <c r="AF163" s="3" t="s">
        <v>81</v>
      </c>
      <c r="AG163" s="3" t="s">
        <v>81</v>
      </c>
      <c r="AH163" s="3" t="s">
        <v>81</v>
      </c>
      <c r="AI163" s="3" t="s">
        <v>81</v>
      </c>
      <c r="AJ163" s="3" t="s">
        <v>81</v>
      </c>
      <c r="AK163" s="3" t="s">
        <v>81</v>
      </c>
      <c r="AL163" s="3" t="s">
        <v>81</v>
      </c>
      <c r="AM163" s="3">
        <v>26.009</v>
      </c>
      <c r="AN163" s="3">
        <v>0</v>
      </c>
      <c r="AO163" s="3" t="s">
        <v>81</v>
      </c>
      <c r="AP163" s="3" t="s">
        <v>81</v>
      </c>
      <c r="AQ163" s="3" t="s">
        <v>81</v>
      </c>
      <c r="AR163" s="3" t="s">
        <v>81</v>
      </c>
      <c r="AS163" s="3" t="s">
        <v>81</v>
      </c>
      <c r="AT163" s="3" t="s">
        <v>81</v>
      </c>
      <c r="AU163" s="3" t="s">
        <v>81</v>
      </c>
      <c r="AV163" s="3" t="s">
        <v>81</v>
      </c>
      <c r="AW163" s="3" t="s">
        <v>81</v>
      </c>
      <c r="AX163" s="3">
        <v>29.992999999999999</v>
      </c>
      <c r="AY163" s="3">
        <v>0</v>
      </c>
      <c r="AZ163" s="3" t="s">
        <v>81</v>
      </c>
      <c r="BA163" s="3" t="s">
        <v>81</v>
      </c>
      <c r="BB163" s="3" t="s">
        <v>81</v>
      </c>
      <c r="BC163" s="3" t="s">
        <v>81</v>
      </c>
      <c r="BD163" s="3" t="s">
        <v>81</v>
      </c>
      <c r="BE163" s="3" t="s">
        <v>81</v>
      </c>
      <c r="BF163" s="3" t="s">
        <v>81</v>
      </c>
      <c r="BG163" s="3" t="s">
        <v>81</v>
      </c>
      <c r="BH163" s="3" t="s">
        <v>81</v>
      </c>
      <c r="BI163" s="3" t="s">
        <v>84</v>
      </c>
      <c r="BJ163" s="3" t="s">
        <v>84</v>
      </c>
      <c r="BK163" s="3" t="s">
        <v>84</v>
      </c>
      <c r="BL163" s="3" t="s">
        <v>82</v>
      </c>
      <c r="BM163" s="3" t="s">
        <v>83</v>
      </c>
      <c r="BN163" s="3" t="s">
        <v>82</v>
      </c>
      <c r="BO163" s="3" t="s">
        <v>83</v>
      </c>
      <c r="BP163" s="3" t="s">
        <v>83</v>
      </c>
      <c r="BQ163" s="3" t="s">
        <v>83</v>
      </c>
      <c r="BR163" s="3" t="s">
        <v>83</v>
      </c>
      <c r="BS163" s="3" t="s">
        <v>83</v>
      </c>
      <c r="BT163" s="3" t="s">
        <v>83</v>
      </c>
      <c r="BU163" s="3" t="s">
        <v>83</v>
      </c>
      <c r="BV163" s="3" t="s">
        <v>83</v>
      </c>
      <c r="BW163" s="3" t="s">
        <v>83</v>
      </c>
      <c r="BX163" s="3" t="s">
        <v>83</v>
      </c>
      <c r="BY163" s="3" t="s">
        <v>316</v>
      </c>
      <c r="BZ163" s="3" t="s">
        <v>86</v>
      </c>
      <c r="CB163" s="3" t="s">
        <v>84</v>
      </c>
    </row>
    <row r="164" spans="1:87" x14ac:dyDescent="0.15">
      <c r="A164" s="3">
        <v>1228321575</v>
      </c>
      <c r="B164" s="3" t="s">
        <v>315</v>
      </c>
      <c r="C164" s="3" t="s">
        <v>315</v>
      </c>
      <c r="D164" s="3">
        <v>9</v>
      </c>
      <c r="E164" s="3">
        <v>11</v>
      </c>
      <c r="F164" s="3">
        <v>28.518999999999998</v>
      </c>
      <c r="G164" s="3">
        <v>0</v>
      </c>
      <c r="H164" s="3" t="s">
        <v>81</v>
      </c>
      <c r="I164" s="3" t="s">
        <v>81</v>
      </c>
      <c r="J164" s="3" t="s">
        <v>81</v>
      </c>
      <c r="K164" s="3" t="s">
        <v>81</v>
      </c>
      <c r="L164" s="3" t="s">
        <v>81</v>
      </c>
      <c r="M164" s="3" t="s">
        <v>81</v>
      </c>
      <c r="N164" s="3" t="s">
        <v>81</v>
      </c>
      <c r="O164" s="3" t="s">
        <v>81</v>
      </c>
      <c r="P164" s="3" t="s">
        <v>81</v>
      </c>
      <c r="Q164" s="3">
        <v>21.247</v>
      </c>
      <c r="R164" s="3">
        <v>0</v>
      </c>
      <c r="S164" s="3" t="s">
        <v>81</v>
      </c>
      <c r="T164" s="3" t="s">
        <v>81</v>
      </c>
      <c r="U164" s="3" t="s">
        <v>81</v>
      </c>
      <c r="V164" s="3" t="s">
        <v>81</v>
      </c>
      <c r="W164" s="3" t="s">
        <v>81</v>
      </c>
      <c r="X164" s="3" t="s">
        <v>81</v>
      </c>
      <c r="Y164" s="3" t="s">
        <v>81</v>
      </c>
      <c r="Z164" s="3" t="s">
        <v>81</v>
      </c>
      <c r="AA164" s="3" t="s">
        <v>81</v>
      </c>
      <c r="AB164" s="3">
        <v>26.701000000000001</v>
      </c>
      <c r="AC164" s="3">
        <v>0</v>
      </c>
      <c r="AD164" s="3" t="s">
        <v>81</v>
      </c>
      <c r="AE164" s="3" t="s">
        <v>81</v>
      </c>
      <c r="AF164" s="3" t="s">
        <v>81</v>
      </c>
      <c r="AG164" s="3" t="s">
        <v>81</v>
      </c>
      <c r="AH164" s="3" t="s">
        <v>81</v>
      </c>
      <c r="AI164" s="3" t="s">
        <v>81</v>
      </c>
      <c r="AJ164" s="3" t="s">
        <v>81</v>
      </c>
      <c r="AK164" s="3" t="s">
        <v>81</v>
      </c>
      <c r="AL164" s="3" t="s">
        <v>81</v>
      </c>
      <c r="AM164" s="3">
        <v>21.663</v>
      </c>
      <c r="AN164" s="3">
        <v>0</v>
      </c>
      <c r="AO164" s="3" t="s">
        <v>81</v>
      </c>
      <c r="AP164" s="3" t="s">
        <v>81</v>
      </c>
      <c r="AQ164" s="3" t="s">
        <v>81</v>
      </c>
      <c r="AR164" s="3" t="s">
        <v>81</v>
      </c>
      <c r="AS164" s="3" t="s">
        <v>81</v>
      </c>
      <c r="AT164" s="3" t="s">
        <v>81</v>
      </c>
      <c r="AU164" s="3" t="s">
        <v>81</v>
      </c>
      <c r="AV164" s="3" t="s">
        <v>81</v>
      </c>
      <c r="AW164" s="3" t="s">
        <v>81</v>
      </c>
      <c r="AX164" s="3" t="s">
        <v>81</v>
      </c>
      <c r="AY164" s="3" t="s">
        <v>81</v>
      </c>
      <c r="AZ164" s="3" t="s">
        <v>81</v>
      </c>
      <c r="BA164" s="3" t="s">
        <v>81</v>
      </c>
      <c r="BB164" s="3" t="s">
        <v>81</v>
      </c>
      <c r="BC164" s="3" t="s">
        <v>81</v>
      </c>
      <c r="BD164" s="3" t="s">
        <v>81</v>
      </c>
      <c r="BE164" s="3" t="s">
        <v>81</v>
      </c>
      <c r="BF164" s="3" t="s">
        <v>81</v>
      </c>
      <c r="BG164" s="3" t="s">
        <v>81</v>
      </c>
      <c r="BH164" s="3" t="s">
        <v>81</v>
      </c>
      <c r="BI164" s="3" t="s">
        <v>82</v>
      </c>
      <c r="BJ164" s="3" t="s">
        <v>82</v>
      </c>
      <c r="BK164" s="3" t="s">
        <v>83</v>
      </c>
      <c r="BL164" s="3" t="s">
        <v>84</v>
      </c>
      <c r="BM164" s="3" t="s">
        <v>84</v>
      </c>
      <c r="BN164" s="3" t="s">
        <v>84</v>
      </c>
      <c r="BO164" s="3" t="s">
        <v>82</v>
      </c>
      <c r="BP164" s="3" t="s">
        <v>87</v>
      </c>
      <c r="BQ164" s="3" t="s">
        <v>87</v>
      </c>
      <c r="BR164" s="3" t="s">
        <v>87</v>
      </c>
      <c r="BS164" s="3" t="s">
        <v>87</v>
      </c>
      <c r="BT164" s="3" t="s">
        <v>87</v>
      </c>
      <c r="BU164" s="3" t="s">
        <v>81</v>
      </c>
      <c r="BV164" s="3" t="s">
        <v>84</v>
      </c>
      <c r="BW164" s="3" t="s">
        <v>83</v>
      </c>
      <c r="BX164" s="3" t="s">
        <v>82</v>
      </c>
      <c r="BY164" s="3" t="s">
        <v>317</v>
      </c>
      <c r="BZ164" s="3" t="s">
        <v>93</v>
      </c>
      <c r="CB164" s="3" t="s">
        <v>84</v>
      </c>
    </row>
    <row r="165" spans="1:87" x14ac:dyDescent="0.15">
      <c r="A165" s="3">
        <v>1320780829</v>
      </c>
      <c r="B165" s="3" t="s">
        <v>315</v>
      </c>
      <c r="C165" s="3" t="s">
        <v>315</v>
      </c>
      <c r="D165" s="3">
        <v>8</v>
      </c>
      <c r="E165" s="3">
        <v>8</v>
      </c>
      <c r="F165" s="3">
        <v>22.553999999999998</v>
      </c>
      <c r="G165" s="3">
        <v>0</v>
      </c>
      <c r="H165" s="3" t="s">
        <v>81</v>
      </c>
      <c r="I165" s="3" t="s">
        <v>81</v>
      </c>
      <c r="J165" s="3" t="s">
        <v>81</v>
      </c>
      <c r="K165" s="3" t="s">
        <v>81</v>
      </c>
      <c r="L165" s="3" t="s">
        <v>81</v>
      </c>
      <c r="M165" s="3" t="s">
        <v>81</v>
      </c>
      <c r="N165" s="3" t="s">
        <v>81</v>
      </c>
      <c r="O165" s="3" t="s">
        <v>81</v>
      </c>
      <c r="P165" s="3" t="s">
        <v>81</v>
      </c>
      <c r="Q165" s="3">
        <v>23.428999999999998</v>
      </c>
      <c r="R165" s="3">
        <v>0</v>
      </c>
      <c r="S165" s="3" t="s">
        <v>81</v>
      </c>
      <c r="T165" s="3" t="s">
        <v>81</v>
      </c>
      <c r="U165" s="3" t="s">
        <v>81</v>
      </c>
      <c r="V165" s="3" t="s">
        <v>81</v>
      </c>
      <c r="W165" s="3" t="s">
        <v>81</v>
      </c>
      <c r="X165" s="3" t="s">
        <v>81</v>
      </c>
      <c r="Y165" s="3" t="s">
        <v>81</v>
      </c>
      <c r="Z165" s="3" t="s">
        <v>81</v>
      </c>
      <c r="AA165" s="3" t="s">
        <v>81</v>
      </c>
      <c r="AB165" s="3">
        <v>21.53</v>
      </c>
      <c r="AC165" s="3">
        <v>0</v>
      </c>
      <c r="AD165" s="3" t="s">
        <v>81</v>
      </c>
      <c r="AE165" s="3" t="s">
        <v>81</v>
      </c>
      <c r="AF165" s="3" t="s">
        <v>81</v>
      </c>
      <c r="AG165" s="3" t="s">
        <v>81</v>
      </c>
      <c r="AH165" s="3" t="s">
        <v>81</v>
      </c>
      <c r="AI165" s="3" t="s">
        <v>81</v>
      </c>
      <c r="AJ165" s="3" t="s">
        <v>81</v>
      </c>
      <c r="AK165" s="3" t="s">
        <v>81</v>
      </c>
      <c r="AL165" s="3" t="s">
        <v>81</v>
      </c>
      <c r="AM165" s="3">
        <v>19.100999999999999</v>
      </c>
      <c r="AN165" s="3">
        <v>0</v>
      </c>
      <c r="AO165" s="3" t="s">
        <v>81</v>
      </c>
      <c r="AP165" s="3" t="s">
        <v>81</v>
      </c>
      <c r="AQ165" s="3" t="s">
        <v>81</v>
      </c>
      <c r="AR165" s="3" t="s">
        <v>81</v>
      </c>
      <c r="AS165" s="3" t="s">
        <v>81</v>
      </c>
      <c r="AT165" s="3" t="s">
        <v>81</v>
      </c>
      <c r="AU165" s="3" t="s">
        <v>81</v>
      </c>
      <c r="AV165" s="3" t="s">
        <v>81</v>
      </c>
      <c r="AW165" s="3" t="s">
        <v>81</v>
      </c>
      <c r="AX165" s="3">
        <v>21.297000000000001</v>
      </c>
      <c r="AY165" s="3">
        <v>0</v>
      </c>
      <c r="AZ165" s="3" t="s">
        <v>81</v>
      </c>
      <c r="BA165" s="3" t="s">
        <v>81</v>
      </c>
      <c r="BB165" s="3" t="s">
        <v>81</v>
      </c>
      <c r="BC165" s="3" t="s">
        <v>81</v>
      </c>
      <c r="BD165" s="3" t="s">
        <v>81</v>
      </c>
      <c r="BE165" s="3" t="s">
        <v>81</v>
      </c>
      <c r="BF165" s="3" t="s">
        <v>81</v>
      </c>
      <c r="BG165" s="3" t="s">
        <v>81</v>
      </c>
      <c r="BH165" s="3" t="s">
        <v>81</v>
      </c>
      <c r="BI165" s="3" t="s">
        <v>82</v>
      </c>
      <c r="BJ165" s="3" t="s">
        <v>82</v>
      </c>
      <c r="BK165" s="3" t="s">
        <v>83</v>
      </c>
      <c r="BL165" s="3" t="s">
        <v>84</v>
      </c>
      <c r="BM165" s="3" t="s">
        <v>84</v>
      </c>
      <c r="BN165" s="3" t="s">
        <v>84</v>
      </c>
      <c r="BO165" s="3" t="s">
        <v>82</v>
      </c>
      <c r="BP165" s="3" t="s">
        <v>87</v>
      </c>
      <c r="BQ165" s="3" t="s">
        <v>87</v>
      </c>
      <c r="BR165" s="3" t="s">
        <v>87</v>
      </c>
      <c r="BS165" s="3" t="s">
        <v>87</v>
      </c>
      <c r="BT165" s="3" t="s">
        <v>87</v>
      </c>
      <c r="BU165" s="3" t="s">
        <v>81</v>
      </c>
      <c r="BV165" s="3" t="s">
        <v>82</v>
      </c>
      <c r="BW165" s="3" t="s">
        <v>91</v>
      </c>
      <c r="BX165" s="3" t="s">
        <v>82</v>
      </c>
      <c r="BZ165" s="3" t="s">
        <v>86</v>
      </c>
      <c r="CB165" s="3" t="s">
        <v>84</v>
      </c>
    </row>
    <row r="166" spans="1:87" x14ac:dyDescent="0.15">
      <c r="A166" s="3">
        <v>1322146849</v>
      </c>
      <c r="B166" s="3" t="s">
        <v>315</v>
      </c>
      <c r="C166" s="3" t="s">
        <v>315</v>
      </c>
      <c r="D166" s="3">
        <v>5</v>
      </c>
      <c r="E166" s="3">
        <v>8</v>
      </c>
      <c r="F166" s="3">
        <v>16.991</v>
      </c>
      <c r="G166" s="3">
        <v>0</v>
      </c>
      <c r="H166" s="3" t="s">
        <v>81</v>
      </c>
      <c r="I166" s="3" t="s">
        <v>81</v>
      </c>
      <c r="J166" s="3" t="s">
        <v>81</v>
      </c>
      <c r="K166" s="3" t="s">
        <v>81</v>
      </c>
      <c r="L166" s="3" t="s">
        <v>81</v>
      </c>
      <c r="M166" s="3" t="s">
        <v>81</v>
      </c>
      <c r="N166" s="3" t="s">
        <v>81</v>
      </c>
      <c r="O166" s="3" t="s">
        <v>81</v>
      </c>
      <c r="P166" s="3" t="s">
        <v>81</v>
      </c>
      <c r="Q166" s="3">
        <v>21.699000000000002</v>
      </c>
      <c r="R166" s="3">
        <v>0</v>
      </c>
      <c r="S166" s="3" t="s">
        <v>81</v>
      </c>
      <c r="T166" s="3" t="s">
        <v>81</v>
      </c>
      <c r="U166" s="3" t="s">
        <v>81</v>
      </c>
      <c r="V166" s="3" t="s">
        <v>81</v>
      </c>
      <c r="W166" s="3" t="s">
        <v>81</v>
      </c>
      <c r="X166" s="3" t="s">
        <v>81</v>
      </c>
      <c r="Y166" s="3" t="s">
        <v>81</v>
      </c>
      <c r="Z166" s="3" t="s">
        <v>81</v>
      </c>
      <c r="AA166" s="3" t="s">
        <v>81</v>
      </c>
      <c r="AB166" s="3">
        <v>21.82</v>
      </c>
      <c r="AC166" s="3">
        <v>0</v>
      </c>
      <c r="AD166" s="3" t="s">
        <v>81</v>
      </c>
      <c r="AE166" s="3" t="s">
        <v>81</v>
      </c>
      <c r="AF166" s="3" t="s">
        <v>81</v>
      </c>
      <c r="AG166" s="3" t="s">
        <v>81</v>
      </c>
      <c r="AH166" s="3" t="s">
        <v>81</v>
      </c>
      <c r="AI166" s="3" t="s">
        <v>81</v>
      </c>
      <c r="AJ166" s="3" t="s">
        <v>81</v>
      </c>
      <c r="AK166" s="3" t="s">
        <v>81</v>
      </c>
      <c r="AL166" s="3" t="s">
        <v>81</v>
      </c>
      <c r="AM166" s="3">
        <v>20.827000000000002</v>
      </c>
      <c r="AN166" s="3">
        <v>0</v>
      </c>
      <c r="AO166" s="3" t="s">
        <v>81</v>
      </c>
      <c r="AP166" s="3" t="s">
        <v>81</v>
      </c>
      <c r="AQ166" s="3" t="s">
        <v>81</v>
      </c>
      <c r="AR166" s="3" t="s">
        <v>81</v>
      </c>
      <c r="AS166" s="3" t="s">
        <v>81</v>
      </c>
      <c r="AT166" s="3" t="s">
        <v>81</v>
      </c>
      <c r="AU166" s="3" t="s">
        <v>81</v>
      </c>
      <c r="AV166" s="3" t="s">
        <v>81</v>
      </c>
      <c r="AW166" s="3" t="s">
        <v>81</v>
      </c>
      <c r="AX166" s="3">
        <v>20.895</v>
      </c>
      <c r="AY166" s="3">
        <v>0</v>
      </c>
      <c r="AZ166" s="3" t="s">
        <v>81</v>
      </c>
      <c r="BA166" s="3" t="s">
        <v>81</v>
      </c>
      <c r="BB166" s="3" t="s">
        <v>81</v>
      </c>
      <c r="BC166" s="3" t="s">
        <v>81</v>
      </c>
      <c r="BD166" s="3" t="s">
        <v>81</v>
      </c>
      <c r="BE166" s="3" t="s">
        <v>81</v>
      </c>
      <c r="BF166" s="3" t="s">
        <v>81</v>
      </c>
      <c r="BG166" s="3" t="s">
        <v>81</v>
      </c>
      <c r="BH166" s="3" t="s">
        <v>81</v>
      </c>
      <c r="BI166" s="3" t="s">
        <v>82</v>
      </c>
      <c r="BJ166" s="3" t="s">
        <v>82</v>
      </c>
      <c r="BK166" s="3" t="s">
        <v>83</v>
      </c>
      <c r="BL166" s="3" t="s">
        <v>84</v>
      </c>
      <c r="BM166" s="3" t="s">
        <v>84</v>
      </c>
      <c r="BN166" s="3" t="s">
        <v>84</v>
      </c>
      <c r="BO166" s="3" t="s">
        <v>82</v>
      </c>
      <c r="BP166" s="3" t="s">
        <v>87</v>
      </c>
      <c r="BQ166" s="3" t="s">
        <v>87</v>
      </c>
      <c r="BR166" s="3" t="s">
        <v>85</v>
      </c>
      <c r="BS166" s="3" t="s">
        <v>85</v>
      </c>
      <c r="BT166" s="3" t="s">
        <v>87</v>
      </c>
      <c r="BU166" s="3" t="s">
        <v>85</v>
      </c>
      <c r="BV166" s="3" t="s">
        <v>82</v>
      </c>
      <c r="BW166" s="3" t="s">
        <v>91</v>
      </c>
      <c r="BX166" s="3" t="s">
        <v>82</v>
      </c>
      <c r="BZ166" s="3" t="s">
        <v>86</v>
      </c>
      <c r="CB166" s="3" t="s">
        <v>84</v>
      </c>
    </row>
    <row r="167" spans="1:87" x14ac:dyDescent="0.15">
      <c r="A167" s="3">
        <v>2625858318</v>
      </c>
      <c r="B167" s="3" t="s">
        <v>315</v>
      </c>
      <c r="C167" s="3" t="s">
        <v>315</v>
      </c>
      <c r="D167" s="3">
        <v>13</v>
      </c>
      <c r="E167" s="3">
        <v>14</v>
      </c>
      <c r="F167" s="3">
        <v>29.945</v>
      </c>
      <c r="G167" s="3">
        <v>0</v>
      </c>
      <c r="H167" s="3" t="s">
        <v>81</v>
      </c>
      <c r="I167" s="3" t="s">
        <v>81</v>
      </c>
      <c r="J167" s="3" t="s">
        <v>81</v>
      </c>
      <c r="K167" s="3" t="s">
        <v>81</v>
      </c>
      <c r="L167" s="3" t="s">
        <v>81</v>
      </c>
      <c r="M167" s="3" t="s">
        <v>81</v>
      </c>
      <c r="N167" s="3" t="s">
        <v>81</v>
      </c>
      <c r="O167" s="3" t="s">
        <v>81</v>
      </c>
      <c r="P167" s="3" t="s">
        <v>81</v>
      </c>
      <c r="Q167" s="3">
        <v>32.191000000000003</v>
      </c>
      <c r="R167" s="3">
        <v>0</v>
      </c>
      <c r="S167" s="3" t="s">
        <v>81</v>
      </c>
      <c r="T167" s="3" t="s">
        <v>81</v>
      </c>
      <c r="U167" s="3" t="s">
        <v>81</v>
      </c>
      <c r="V167" s="3" t="s">
        <v>81</v>
      </c>
      <c r="W167" s="3" t="s">
        <v>81</v>
      </c>
      <c r="X167" s="3" t="s">
        <v>81</v>
      </c>
      <c r="Y167" s="3" t="s">
        <v>81</v>
      </c>
      <c r="Z167" s="3" t="s">
        <v>81</v>
      </c>
      <c r="AA167" s="3" t="s">
        <v>81</v>
      </c>
      <c r="AB167" s="3">
        <v>29.789000000000001</v>
      </c>
      <c r="AC167" s="3">
        <v>0</v>
      </c>
      <c r="AD167" s="3" t="s">
        <v>81</v>
      </c>
      <c r="AE167" s="3" t="s">
        <v>81</v>
      </c>
      <c r="AF167" s="3" t="s">
        <v>81</v>
      </c>
      <c r="AG167" s="3" t="s">
        <v>81</v>
      </c>
      <c r="AH167" s="3" t="s">
        <v>81</v>
      </c>
      <c r="AI167" s="3" t="s">
        <v>81</v>
      </c>
      <c r="AJ167" s="3" t="s">
        <v>81</v>
      </c>
      <c r="AK167" s="3" t="s">
        <v>81</v>
      </c>
      <c r="AL167" s="3" t="s">
        <v>81</v>
      </c>
      <c r="AM167" s="3">
        <v>29.21</v>
      </c>
      <c r="AN167" s="3">
        <v>0</v>
      </c>
      <c r="AO167" s="3" t="s">
        <v>81</v>
      </c>
      <c r="AP167" s="3" t="s">
        <v>81</v>
      </c>
      <c r="AQ167" s="3" t="s">
        <v>81</v>
      </c>
      <c r="AR167" s="3" t="s">
        <v>81</v>
      </c>
      <c r="AS167" s="3" t="s">
        <v>81</v>
      </c>
      <c r="AT167" s="3" t="s">
        <v>81</v>
      </c>
      <c r="AU167" s="3" t="s">
        <v>81</v>
      </c>
      <c r="AV167" s="3" t="s">
        <v>81</v>
      </c>
      <c r="AW167" s="3" t="s">
        <v>81</v>
      </c>
      <c r="AX167" s="3">
        <v>27.847999999999999</v>
      </c>
      <c r="AY167" s="3">
        <v>0</v>
      </c>
      <c r="AZ167" s="3" t="s">
        <v>81</v>
      </c>
      <c r="BA167" s="3" t="s">
        <v>81</v>
      </c>
      <c r="BB167" s="3" t="s">
        <v>81</v>
      </c>
      <c r="BC167" s="3" t="s">
        <v>81</v>
      </c>
      <c r="BD167" s="3" t="s">
        <v>81</v>
      </c>
      <c r="BE167" s="3" t="s">
        <v>81</v>
      </c>
      <c r="BF167" s="3" t="s">
        <v>81</v>
      </c>
      <c r="BG167" s="3" t="s">
        <v>81</v>
      </c>
      <c r="BH167" s="3" t="s">
        <v>81</v>
      </c>
      <c r="BI167" s="3" t="s">
        <v>82</v>
      </c>
      <c r="BJ167" s="3" t="s">
        <v>82</v>
      </c>
      <c r="BK167" s="3" t="s">
        <v>83</v>
      </c>
      <c r="BL167" s="3" t="s">
        <v>84</v>
      </c>
      <c r="BM167" s="3" t="s">
        <v>84</v>
      </c>
      <c r="BN167" s="3" t="s">
        <v>82</v>
      </c>
      <c r="BO167" s="3" t="s">
        <v>82</v>
      </c>
      <c r="BP167" s="3" t="s">
        <v>218</v>
      </c>
      <c r="BQ167" s="3" t="s">
        <v>218</v>
      </c>
      <c r="BR167" s="3" t="s">
        <v>218</v>
      </c>
      <c r="BS167" s="3" t="s">
        <v>218</v>
      </c>
      <c r="BT167" s="3" t="s">
        <v>85</v>
      </c>
      <c r="BU167" s="3" t="s">
        <v>81</v>
      </c>
      <c r="BV167" s="3" t="s">
        <v>82</v>
      </c>
      <c r="BW167" s="3" t="s">
        <v>91</v>
      </c>
      <c r="BX167" s="3" t="s">
        <v>82</v>
      </c>
      <c r="BZ167" s="3" t="s">
        <v>86</v>
      </c>
      <c r="CB167" s="3" t="s">
        <v>84</v>
      </c>
    </row>
    <row r="168" spans="1:87" x14ac:dyDescent="0.15">
      <c r="A168" s="3">
        <v>2235911604</v>
      </c>
      <c r="B168" s="3" t="s">
        <v>456</v>
      </c>
      <c r="C168" s="3" t="s">
        <v>456</v>
      </c>
      <c r="D168" s="3">
        <v>3</v>
      </c>
      <c r="E168" s="3">
        <v>3</v>
      </c>
      <c r="F168" s="3">
        <v>41.77</v>
      </c>
      <c r="G168" s="3">
        <v>0</v>
      </c>
      <c r="H168" s="3" t="s">
        <v>81</v>
      </c>
      <c r="I168" s="3" t="s">
        <v>81</v>
      </c>
      <c r="J168" s="3" t="s">
        <v>81</v>
      </c>
      <c r="K168" s="3" t="s">
        <v>81</v>
      </c>
      <c r="L168" s="3" t="s">
        <v>81</v>
      </c>
      <c r="M168" s="3" t="s">
        <v>81</v>
      </c>
      <c r="N168" s="3" t="s">
        <v>81</v>
      </c>
      <c r="O168" s="3" t="s">
        <v>81</v>
      </c>
      <c r="P168" s="3" t="s">
        <v>81</v>
      </c>
      <c r="Q168" s="3">
        <v>41.308</v>
      </c>
      <c r="R168" s="3">
        <v>0</v>
      </c>
      <c r="S168" s="3" t="s">
        <v>81</v>
      </c>
      <c r="T168" s="3" t="s">
        <v>81</v>
      </c>
      <c r="U168" s="3" t="s">
        <v>81</v>
      </c>
      <c r="V168" s="3" t="s">
        <v>81</v>
      </c>
      <c r="W168" s="3" t="s">
        <v>81</v>
      </c>
      <c r="X168" s="3" t="s">
        <v>81</v>
      </c>
      <c r="Y168" s="3" t="s">
        <v>81</v>
      </c>
      <c r="Z168" s="3" t="s">
        <v>81</v>
      </c>
      <c r="AA168" s="3" t="s">
        <v>81</v>
      </c>
      <c r="AB168" s="3" t="s">
        <v>81</v>
      </c>
      <c r="AC168" s="3" t="s">
        <v>81</v>
      </c>
      <c r="AD168" s="3" t="s">
        <v>81</v>
      </c>
      <c r="AE168" s="3" t="s">
        <v>81</v>
      </c>
      <c r="AF168" s="3" t="s">
        <v>81</v>
      </c>
      <c r="AG168" s="3" t="s">
        <v>81</v>
      </c>
      <c r="AH168" s="3" t="s">
        <v>81</v>
      </c>
      <c r="AI168" s="3" t="s">
        <v>81</v>
      </c>
      <c r="AJ168" s="3" t="s">
        <v>81</v>
      </c>
      <c r="AK168" s="3" t="s">
        <v>81</v>
      </c>
      <c r="AL168" s="3" t="s">
        <v>81</v>
      </c>
      <c r="AM168" s="3" t="s">
        <v>81</v>
      </c>
      <c r="AN168" s="3" t="s">
        <v>81</v>
      </c>
      <c r="AO168" s="3" t="s">
        <v>81</v>
      </c>
      <c r="AP168" s="3" t="s">
        <v>81</v>
      </c>
      <c r="AQ168" s="3" t="s">
        <v>81</v>
      </c>
      <c r="AR168" s="3" t="s">
        <v>81</v>
      </c>
      <c r="AS168" s="3" t="s">
        <v>81</v>
      </c>
      <c r="AT168" s="3" t="s">
        <v>81</v>
      </c>
      <c r="AU168" s="3" t="s">
        <v>81</v>
      </c>
      <c r="AV168" s="3" t="s">
        <v>81</v>
      </c>
      <c r="AW168" s="3" t="s">
        <v>81</v>
      </c>
      <c r="AX168" s="3" t="s">
        <v>81</v>
      </c>
      <c r="AY168" s="3" t="s">
        <v>81</v>
      </c>
      <c r="AZ168" s="3" t="s">
        <v>81</v>
      </c>
      <c r="BA168" s="3" t="s">
        <v>81</v>
      </c>
      <c r="BB168" s="3" t="s">
        <v>81</v>
      </c>
      <c r="BC168" s="3" t="s">
        <v>81</v>
      </c>
      <c r="BD168" s="3" t="s">
        <v>81</v>
      </c>
      <c r="BE168" s="3" t="s">
        <v>81</v>
      </c>
      <c r="BF168" s="3" t="s">
        <v>81</v>
      </c>
      <c r="BG168" s="3" t="s">
        <v>81</v>
      </c>
      <c r="BH168" s="3" t="s">
        <v>81</v>
      </c>
      <c r="BI168" s="3" t="s">
        <v>84</v>
      </c>
      <c r="BJ168" s="3" t="s">
        <v>82</v>
      </c>
      <c r="BK168" s="3" t="s">
        <v>83</v>
      </c>
      <c r="BL168" s="3" t="s">
        <v>84</v>
      </c>
      <c r="BM168" s="3" t="s">
        <v>84</v>
      </c>
      <c r="BN168" s="3" t="s">
        <v>84</v>
      </c>
      <c r="BO168" s="3" t="s">
        <v>83</v>
      </c>
      <c r="BP168" s="3" t="s">
        <v>81</v>
      </c>
      <c r="BQ168" s="3" t="s">
        <v>81</v>
      </c>
      <c r="BR168" s="3" t="s">
        <v>81</v>
      </c>
      <c r="BS168" s="3" t="s">
        <v>81</v>
      </c>
      <c r="BT168" s="3" t="s">
        <v>81</v>
      </c>
      <c r="BU168" s="3" t="s">
        <v>81</v>
      </c>
      <c r="BV168" s="3" t="s">
        <v>82</v>
      </c>
      <c r="BW168" s="3" t="s">
        <v>91</v>
      </c>
      <c r="BX168" s="3" t="s">
        <v>82</v>
      </c>
      <c r="BY168" s="3" t="s">
        <v>173</v>
      </c>
      <c r="BZ168" s="3" t="s">
        <v>86</v>
      </c>
      <c r="CA168" s="3"/>
      <c r="CB168" s="3" t="s">
        <v>84</v>
      </c>
      <c r="CC168" s="3"/>
      <c r="CD168" s="3"/>
      <c r="CE168" s="3"/>
      <c r="CF168" s="3"/>
      <c r="CG168" s="3"/>
      <c r="CH168" s="3"/>
      <c r="CI168" s="3"/>
    </row>
    <row r="169" spans="1:87" x14ac:dyDescent="0.15">
      <c r="A169" s="3">
        <v>2236155623</v>
      </c>
      <c r="B169" s="3" t="s">
        <v>456</v>
      </c>
      <c r="C169" s="3" t="s">
        <v>456</v>
      </c>
      <c r="D169" s="3">
        <v>7</v>
      </c>
      <c r="E169" s="3">
        <v>13</v>
      </c>
      <c r="F169" s="3">
        <v>26.893000000000001</v>
      </c>
      <c r="G169" s="3">
        <v>0</v>
      </c>
      <c r="H169" s="3" t="s">
        <v>81</v>
      </c>
      <c r="I169" s="3" t="s">
        <v>81</v>
      </c>
      <c r="J169" s="3" t="s">
        <v>81</v>
      </c>
      <c r="K169" s="3" t="s">
        <v>81</v>
      </c>
      <c r="L169" s="3" t="s">
        <v>81</v>
      </c>
      <c r="M169" s="3" t="s">
        <v>81</v>
      </c>
      <c r="N169" s="3" t="s">
        <v>81</v>
      </c>
      <c r="O169" s="3" t="s">
        <v>81</v>
      </c>
      <c r="P169" s="3" t="s">
        <v>81</v>
      </c>
      <c r="Q169" s="3">
        <v>30.591999999999999</v>
      </c>
      <c r="R169" s="3">
        <v>0</v>
      </c>
      <c r="S169" s="3" t="s">
        <v>81</v>
      </c>
      <c r="T169" s="3" t="s">
        <v>81</v>
      </c>
      <c r="U169" s="3" t="s">
        <v>81</v>
      </c>
      <c r="V169" s="3" t="s">
        <v>81</v>
      </c>
      <c r="W169" s="3" t="s">
        <v>81</v>
      </c>
      <c r="X169" s="3" t="s">
        <v>81</v>
      </c>
      <c r="Y169" s="3" t="s">
        <v>81</v>
      </c>
      <c r="Z169" s="3" t="s">
        <v>81</v>
      </c>
      <c r="AA169" s="3" t="s">
        <v>81</v>
      </c>
      <c r="AB169" s="3">
        <v>29.991</v>
      </c>
      <c r="AC169" s="3">
        <v>0</v>
      </c>
      <c r="AD169" s="3" t="s">
        <v>81</v>
      </c>
      <c r="AE169" s="3" t="s">
        <v>81</v>
      </c>
      <c r="AF169" s="3" t="s">
        <v>81</v>
      </c>
      <c r="AG169" s="3" t="s">
        <v>81</v>
      </c>
      <c r="AH169" s="3" t="s">
        <v>81</v>
      </c>
      <c r="AI169" s="3" t="s">
        <v>81</v>
      </c>
      <c r="AJ169" s="3" t="s">
        <v>81</v>
      </c>
      <c r="AK169" s="3" t="s">
        <v>81</v>
      </c>
      <c r="AL169" s="3" t="s">
        <v>81</v>
      </c>
      <c r="AM169" s="3">
        <v>34.953000000000003</v>
      </c>
      <c r="AN169" s="3">
        <v>0</v>
      </c>
      <c r="AO169" s="3" t="s">
        <v>81</v>
      </c>
      <c r="AP169" s="3" t="s">
        <v>81</v>
      </c>
      <c r="AQ169" s="3" t="s">
        <v>81</v>
      </c>
      <c r="AR169" s="3" t="s">
        <v>81</v>
      </c>
      <c r="AS169" s="3" t="s">
        <v>81</v>
      </c>
      <c r="AT169" s="3" t="s">
        <v>81</v>
      </c>
      <c r="AU169" s="3" t="s">
        <v>81</v>
      </c>
      <c r="AV169" s="3" t="s">
        <v>81</v>
      </c>
      <c r="AW169" s="3" t="s">
        <v>81</v>
      </c>
      <c r="AX169" s="3">
        <v>32.713000000000001</v>
      </c>
      <c r="AY169" s="3">
        <v>0</v>
      </c>
      <c r="AZ169" s="3" t="s">
        <v>81</v>
      </c>
      <c r="BA169" s="3" t="s">
        <v>81</v>
      </c>
      <c r="BB169" s="3" t="s">
        <v>81</v>
      </c>
      <c r="BC169" s="3" t="s">
        <v>81</v>
      </c>
      <c r="BD169" s="3" t="s">
        <v>81</v>
      </c>
      <c r="BE169" s="3" t="s">
        <v>81</v>
      </c>
      <c r="BF169" s="3" t="s">
        <v>81</v>
      </c>
      <c r="BG169" s="3" t="s">
        <v>81</v>
      </c>
      <c r="BH169" s="3" t="s">
        <v>81</v>
      </c>
      <c r="BI169" s="3" t="s">
        <v>84</v>
      </c>
      <c r="BJ169" s="3" t="s">
        <v>82</v>
      </c>
      <c r="BK169" s="3" t="s">
        <v>83</v>
      </c>
      <c r="BL169" s="3" t="s">
        <v>84</v>
      </c>
      <c r="BM169" s="3" t="s">
        <v>84</v>
      </c>
      <c r="BN169" s="3" t="s">
        <v>84</v>
      </c>
      <c r="BO169" s="3" t="s">
        <v>82</v>
      </c>
      <c r="BP169" s="3" t="s">
        <v>87</v>
      </c>
      <c r="BQ169" s="3" t="s">
        <v>87</v>
      </c>
      <c r="BR169" s="3" t="s">
        <v>457</v>
      </c>
      <c r="BS169" s="3" t="s">
        <v>457</v>
      </c>
      <c r="BT169" s="3" t="s">
        <v>87</v>
      </c>
      <c r="BU169" s="3" t="s">
        <v>98</v>
      </c>
      <c r="BV169" s="3" t="s">
        <v>82</v>
      </c>
      <c r="BW169" s="3" t="s">
        <v>91</v>
      </c>
      <c r="BX169" s="3" t="s">
        <v>82</v>
      </c>
      <c r="BZ169" s="3" t="s">
        <v>86</v>
      </c>
      <c r="CB169" s="3" t="s">
        <v>84</v>
      </c>
    </row>
    <row r="170" spans="1:87" x14ac:dyDescent="0.15">
      <c r="A170" s="3">
        <v>2235832671</v>
      </c>
      <c r="B170" s="3" t="s">
        <v>456</v>
      </c>
      <c r="C170" s="3" t="s">
        <v>456</v>
      </c>
      <c r="D170" s="3">
        <v>5</v>
      </c>
      <c r="E170" s="3">
        <v>9</v>
      </c>
      <c r="F170" s="3">
        <v>24.709</v>
      </c>
      <c r="G170" s="3">
        <v>0</v>
      </c>
      <c r="H170" s="3" t="s">
        <v>81</v>
      </c>
      <c r="I170" s="3" t="s">
        <v>81</v>
      </c>
      <c r="J170" s="3" t="s">
        <v>81</v>
      </c>
      <c r="K170" s="3" t="s">
        <v>81</v>
      </c>
      <c r="L170" s="3" t="s">
        <v>81</v>
      </c>
      <c r="M170" s="3" t="s">
        <v>81</v>
      </c>
      <c r="N170" s="3" t="s">
        <v>81</v>
      </c>
      <c r="O170" s="3" t="s">
        <v>81</v>
      </c>
      <c r="P170" s="3" t="s">
        <v>81</v>
      </c>
      <c r="Q170" s="3">
        <v>20.446999999999999</v>
      </c>
      <c r="R170" s="3">
        <v>0</v>
      </c>
      <c r="S170" s="3" t="s">
        <v>81</v>
      </c>
      <c r="T170" s="3" t="s">
        <v>81</v>
      </c>
      <c r="U170" s="3" t="s">
        <v>81</v>
      </c>
      <c r="V170" s="3" t="s">
        <v>81</v>
      </c>
      <c r="W170" s="3" t="s">
        <v>81</v>
      </c>
      <c r="X170" s="3" t="s">
        <v>81</v>
      </c>
      <c r="Y170" s="3" t="s">
        <v>81</v>
      </c>
      <c r="Z170" s="3" t="s">
        <v>81</v>
      </c>
      <c r="AA170" s="3" t="s">
        <v>81</v>
      </c>
      <c r="AB170" s="3">
        <v>23.07</v>
      </c>
      <c r="AC170" s="3">
        <v>0</v>
      </c>
      <c r="AD170" s="3" t="s">
        <v>81</v>
      </c>
      <c r="AE170" s="3" t="s">
        <v>81</v>
      </c>
      <c r="AF170" s="3" t="s">
        <v>81</v>
      </c>
      <c r="AG170" s="3" t="s">
        <v>81</v>
      </c>
      <c r="AH170" s="3" t="s">
        <v>81</v>
      </c>
      <c r="AI170" s="3" t="s">
        <v>81</v>
      </c>
      <c r="AJ170" s="3" t="s">
        <v>81</v>
      </c>
      <c r="AK170" s="3" t="s">
        <v>81</v>
      </c>
      <c r="AL170" s="3" t="s">
        <v>81</v>
      </c>
      <c r="AM170" s="3">
        <v>19.652000000000001</v>
      </c>
      <c r="AN170" s="3">
        <v>0</v>
      </c>
      <c r="AO170" s="3" t="s">
        <v>81</v>
      </c>
      <c r="AP170" s="3" t="s">
        <v>81</v>
      </c>
      <c r="AQ170" s="3" t="s">
        <v>81</v>
      </c>
      <c r="AR170" s="3" t="s">
        <v>81</v>
      </c>
      <c r="AS170" s="3" t="s">
        <v>81</v>
      </c>
      <c r="AT170" s="3" t="s">
        <v>81</v>
      </c>
      <c r="AU170" s="3" t="s">
        <v>81</v>
      </c>
      <c r="AV170" s="3" t="s">
        <v>81</v>
      </c>
      <c r="AW170" s="3" t="s">
        <v>81</v>
      </c>
      <c r="AX170" s="3">
        <v>23.763000000000002</v>
      </c>
      <c r="AY170" s="3">
        <v>0</v>
      </c>
      <c r="AZ170" s="3" t="s">
        <v>81</v>
      </c>
      <c r="BA170" s="3" t="s">
        <v>81</v>
      </c>
      <c r="BB170" s="3" t="s">
        <v>81</v>
      </c>
      <c r="BC170" s="3" t="s">
        <v>81</v>
      </c>
      <c r="BD170" s="3" t="s">
        <v>81</v>
      </c>
      <c r="BE170" s="3" t="s">
        <v>81</v>
      </c>
      <c r="BF170" s="3" t="s">
        <v>81</v>
      </c>
      <c r="BG170" s="3" t="s">
        <v>81</v>
      </c>
      <c r="BH170" s="3" t="s">
        <v>81</v>
      </c>
      <c r="BI170" s="3" t="s">
        <v>84</v>
      </c>
      <c r="BJ170" s="3" t="s">
        <v>82</v>
      </c>
      <c r="BK170" s="3" t="s">
        <v>83</v>
      </c>
      <c r="BL170" s="3" t="s">
        <v>84</v>
      </c>
      <c r="BM170" s="3" t="s">
        <v>84</v>
      </c>
      <c r="BN170" s="3" t="s">
        <v>82</v>
      </c>
      <c r="BO170" s="3" t="s">
        <v>84</v>
      </c>
      <c r="BP170" s="3" t="s">
        <v>458</v>
      </c>
      <c r="BQ170" s="3" t="s">
        <v>458</v>
      </c>
      <c r="BR170" s="3" t="s">
        <v>459</v>
      </c>
      <c r="BS170" s="3" t="s">
        <v>460</v>
      </c>
      <c r="BT170" s="3" t="s">
        <v>87</v>
      </c>
      <c r="BU170" s="3" t="s">
        <v>98</v>
      </c>
      <c r="BV170" s="3" t="s">
        <v>82</v>
      </c>
      <c r="BW170" s="3" t="s">
        <v>91</v>
      </c>
      <c r="BX170" s="3" t="s">
        <v>82</v>
      </c>
      <c r="BY170" s="3" t="s">
        <v>461</v>
      </c>
      <c r="BZ170" s="3" t="s">
        <v>86</v>
      </c>
      <c r="CB170" s="3" t="s">
        <v>84</v>
      </c>
    </row>
    <row r="171" spans="1:87" x14ac:dyDescent="0.15">
      <c r="A171" s="3">
        <v>1261334566</v>
      </c>
      <c r="B171" s="3" t="s">
        <v>489</v>
      </c>
      <c r="C171" s="3" t="s">
        <v>489</v>
      </c>
      <c r="D171" s="3">
        <v>3</v>
      </c>
      <c r="E171" s="3">
        <v>5</v>
      </c>
      <c r="F171" s="3">
        <v>31.263000000000002</v>
      </c>
      <c r="G171" s="3">
        <v>0</v>
      </c>
      <c r="H171" s="3" t="s">
        <v>81</v>
      </c>
      <c r="I171" s="3" t="s">
        <v>81</v>
      </c>
      <c r="J171" s="3" t="s">
        <v>81</v>
      </c>
      <c r="K171" s="3" t="s">
        <v>81</v>
      </c>
      <c r="L171" s="3" t="s">
        <v>81</v>
      </c>
      <c r="M171" s="3" t="s">
        <v>81</v>
      </c>
      <c r="N171" s="3" t="s">
        <v>81</v>
      </c>
      <c r="O171" s="3" t="s">
        <v>81</v>
      </c>
      <c r="P171" s="3" t="s">
        <v>81</v>
      </c>
      <c r="Q171" s="3">
        <v>28.673999999999999</v>
      </c>
      <c r="R171" s="3">
        <v>0</v>
      </c>
      <c r="S171" s="3" t="s">
        <v>81</v>
      </c>
      <c r="T171" s="3" t="s">
        <v>81</v>
      </c>
      <c r="U171" s="3" t="s">
        <v>81</v>
      </c>
      <c r="V171" s="3" t="s">
        <v>81</v>
      </c>
      <c r="W171" s="3" t="s">
        <v>81</v>
      </c>
      <c r="X171" s="3" t="s">
        <v>81</v>
      </c>
      <c r="Y171" s="3" t="s">
        <v>81</v>
      </c>
      <c r="Z171" s="3" t="s">
        <v>81</v>
      </c>
      <c r="AA171" s="3" t="s">
        <v>81</v>
      </c>
      <c r="AB171" s="3">
        <v>29.614999999999998</v>
      </c>
      <c r="AC171" s="3">
        <v>0</v>
      </c>
      <c r="AD171" s="3" t="s">
        <v>81</v>
      </c>
      <c r="AE171" s="3" t="s">
        <v>81</v>
      </c>
      <c r="AF171" s="3" t="s">
        <v>81</v>
      </c>
      <c r="AG171" s="3" t="s">
        <v>81</v>
      </c>
      <c r="AH171" s="3" t="s">
        <v>81</v>
      </c>
      <c r="AI171" s="3" t="s">
        <v>81</v>
      </c>
      <c r="AJ171" s="3" t="s">
        <v>81</v>
      </c>
      <c r="AK171" s="3" t="s">
        <v>81</v>
      </c>
      <c r="AL171" s="3" t="s">
        <v>81</v>
      </c>
      <c r="AM171" s="3">
        <v>25.681000000000001</v>
      </c>
      <c r="AN171" s="3">
        <v>0</v>
      </c>
      <c r="AO171" s="3" t="s">
        <v>81</v>
      </c>
      <c r="AP171" s="3" t="s">
        <v>81</v>
      </c>
      <c r="AQ171" s="3" t="s">
        <v>81</v>
      </c>
      <c r="AR171" s="3" t="s">
        <v>81</v>
      </c>
      <c r="AS171" s="3" t="s">
        <v>81</v>
      </c>
      <c r="AT171" s="3" t="s">
        <v>81</v>
      </c>
      <c r="AU171" s="3" t="s">
        <v>81</v>
      </c>
      <c r="AV171" s="3" t="s">
        <v>81</v>
      </c>
      <c r="AW171" s="3" t="s">
        <v>81</v>
      </c>
      <c r="AX171" s="3">
        <v>33.774999999999999</v>
      </c>
      <c r="AY171" s="3">
        <v>0</v>
      </c>
      <c r="AZ171" s="3" t="s">
        <v>81</v>
      </c>
      <c r="BA171" s="3" t="s">
        <v>81</v>
      </c>
      <c r="BB171" s="3" t="s">
        <v>81</v>
      </c>
      <c r="BC171" s="3" t="s">
        <v>81</v>
      </c>
      <c r="BD171" s="3" t="s">
        <v>81</v>
      </c>
      <c r="BE171" s="3" t="s">
        <v>81</v>
      </c>
      <c r="BF171" s="3" t="s">
        <v>81</v>
      </c>
      <c r="BG171" s="3" t="s">
        <v>81</v>
      </c>
      <c r="BH171" s="3" t="s">
        <v>81</v>
      </c>
      <c r="BI171" s="3" t="s">
        <v>84</v>
      </c>
      <c r="BJ171" s="3" t="s">
        <v>84</v>
      </c>
      <c r="BK171" s="3" t="s">
        <v>84</v>
      </c>
      <c r="BL171" s="3" t="s">
        <v>82</v>
      </c>
      <c r="BM171" s="3" t="s">
        <v>83</v>
      </c>
      <c r="BN171" s="3" t="s">
        <v>84</v>
      </c>
      <c r="BO171" s="3" t="s">
        <v>83</v>
      </c>
      <c r="BP171" s="3" t="s">
        <v>81</v>
      </c>
      <c r="BQ171" s="3" t="s">
        <v>81</v>
      </c>
      <c r="BR171" s="3" t="s">
        <v>81</v>
      </c>
      <c r="BS171" s="3" t="s">
        <v>81</v>
      </c>
      <c r="BT171" s="3" t="s">
        <v>81</v>
      </c>
      <c r="BU171" s="3" t="s">
        <v>81</v>
      </c>
      <c r="BV171" s="3" t="s">
        <v>83</v>
      </c>
      <c r="BW171" s="3" t="s">
        <v>83</v>
      </c>
      <c r="BX171" s="3" t="s">
        <v>83</v>
      </c>
      <c r="BY171" s="3" t="s">
        <v>490</v>
      </c>
      <c r="BZ171" s="3" t="s">
        <v>123</v>
      </c>
      <c r="CB171" s="3" t="s">
        <v>84</v>
      </c>
    </row>
    <row r="172" spans="1:87" x14ac:dyDescent="0.15">
      <c r="A172" s="3">
        <v>1258230898</v>
      </c>
      <c r="B172" s="3" t="s">
        <v>489</v>
      </c>
      <c r="C172" s="3" t="s">
        <v>489</v>
      </c>
      <c r="D172" s="3">
        <v>9</v>
      </c>
      <c r="E172" s="3">
        <v>11</v>
      </c>
      <c r="F172" s="3">
        <v>30.568999999999999</v>
      </c>
      <c r="G172" s="3">
        <v>0</v>
      </c>
      <c r="H172" s="3" t="s">
        <v>81</v>
      </c>
      <c r="I172" s="3" t="s">
        <v>81</v>
      </c>
      <c r="J172" s="3" t="s">
        <v>81</v>
      </c>
      <c r="K172" s="3" t="s">
        <v>81</v>
      </c>
      <c r="L172" s="3" t="s">
        <v>81</v>
      </c>
      <c r="M172" s="3" t="s">
        <v>81</v>
      </c>
      <c r="N172" s="3" t="s">
        <v>81</v>
      </c>
      <c r="O172" s="3" t="s">
        <v>81</v>
      </c>
      <c r="P172" s="3" t="s">
        <v>81</v>
      </c>
      <c r="Q172" s="3">
        <v>45.061</v>
      </c>
      <c r="R172" s="3">
        <v>0</v>
      </c>
      <c r="S172" s="3" t="s">
        <v>81</v>
      </c>
      <c r="T172" s="3" t="s">
        <v>81</v>
      </c>
      <c r="U172" s="3" t="s">
        <v>81</v>
      </c>
      <c r="V172" s="3" t="s">
        <v>81</v>
      </c>
      <c r="W172" s="3" t="s">
        <v>81</v>
      </c>
      <c r="X172" s="3" t="s">
        <v>81</v>
      </c>
      <c r="Y172" s="3" t="s">
        <v>81</v>
      </c>
      <c r="Z172" s="3" t="s">
        <v>81</v>
      </c>
      <c r="AA172" s="3" t="s">
        <v>81</v>
      </c>
      <c r="AB172" s="3">
        <v>48.673999999999999</v>
      </c>
      <c r="AC172" s="3">
        <v>0</v>
      </c>
      <c r="AD172" s="3" t="s">
        <v>81</v>
      </c>
      <c r="AE172" s="3" t="s">
        <v>81</v>
      </c>
      <c r="AF172" s="3" t="s">
        <v>81</v>
      </c>
      <c r="AG172" s="3" t="s">
        <v>81</v>
      </c>
      <c r="AH172" s="3" t="s">
        <v>81</v>
      </c>
      <c r="AI172" s="3" t="s">
        <v>81</v>
      </c>
      <c r="AJ172" s="3" t="s">
        <v>81</v>
      </c>
      <c r="AK172" s="3" t="s">
        <v>81</v>
      </c>
      <c r="AL172" s="3" t="s">
        <v>81</v>
      </c>
      <c r="AM172" s="3">
        <v>36.084000000000003</v>
      </c>
      <c r="AN172" s="3">
        <v>0</v>
      </c>
      <c r="AO172" s="3" t="s">
        <v>81</v>
      </c>
      <c r="AP172" s="3" t="s">
        <v>81</v>
      </c>
      <c r="AQ172" s="3" t="s">
        <v>81</v>
      </c>
      <c r="AR172" s="3" t="s">
        <v>81</v>
      </c>
      <c r="AS172" s="3" t="s">
        <v>81</v>
      </c>
      <c r="AT172" s="3" t="s">
        <v>81</v>
      </c>
      <c r="AU172" s="3" t="s">
        <v>81</v>
      </c>
      <c r="AV172" s="3" t="s">
        <v>81</v>
      </c>
      <c r="AW172" s="3" t="s">
        <v>81</v>
      </c>
      <c r="AX172" s="3">
        <v>35.206000000000003</v>
      </c>
      <c r="AY172" s="3">
        <v>0</v>
      </c>
      <c r="AZ172" s="3" t="s">
        <v>81</v>
      </c>
      <c r="BA172" s="3" t="s">
        <v>81</v>
      </c>
      <c r="BB172" s="3" t="s">
        <v>81</v>
      </c>
      <c r="BC172" s="3" t="s">
        <v>81</v>
      </c>
      <c r="BD172" s="3" t="s">
        <v>81</v>
      </c>
      <c r="BE172" s="3" t="s">
        <v>81</v>
      </c>
      <c r="BF172" s="3" t="s">
        <v>81</v>
      </c>
      <c r="BG172" s="3" t="s">
        <v>81</v>
      </c>
      <c r="BH172" s="3" t="s">
        <v>81</v>
      </c>
      <c r="BI172" s="3" t="s">
        <v>84</v>
      </c>
      <c r="BJ172" s="3" t="s">
        <v>84</v>
      </c>
      <c r="BK172" s="3" t="s">
        <v>84</v>
      </c>
      <c r="BL172" s="3" t="s">
        <v>84</v>
      </c>
      <c r="BM172" s="3" t="s">
        <v>84</v>
      </c>
      <c r="BN172" s="3" t="s">
        <v>82</v>
      </c>
      <c r="BO172" s="3" t="s">
        <v>82</v>
      </c>
      <c r="BP172" s="3" t="s">
        <v>85</v>
      </c>
      <c r="BQ172" s="3" t="s">
        <v>85</v>
      </c>
      <c r="BR172" s="3" t="s">
        <v>85</v>
      </c>
      <c r="BS172" s="3" t="s">
        <v>85</v>
      </c>
      <c r="BT172" s="3" t="s">
        <v>85</v>
      </c>
      <c r="BU172" s="3" t="s">
        <v>81</v>
      </c>
      <c r="BV172" s="3" t="s">
        <v>82</v>
      </c>
      <c r="BW172" s="3" t="s">
        <v>91</v>
      </c>
      <c r="BX172" s="3" t="s">
        <v>82</v>
      </c>
      <c r="BZ172" s="3" t="s">
        <v>123</v>
      </c>
      <c r="CB172" s="3" t="s">
        <v>84</v>
      </c>
    </row>
    <row r="173" spans="1:87" x14ac:dyDescent="0.15">
      <c r="A173" s="3">
        <v>1258977037</v>
      </c>
      <c r="B173" s="3" t="s">
        <v>489</v>
      </c>
      <c r="C173" s="3" t="s">
        <v>489</v>
      </c>
      <c r="D173" s="3">
        <v>4</v>
      </c>
      <c r="E173" s="3">
        <v>6</v>
      </c>
      <c r="F173" s="3">
        <v>36.225000000000001</v>
      </c>
      <c r="G173" s="3">
        <v>0</v>
      </c>
      <c r="H173" s="3" t="s">
        <v>81</v>
      </c>
      <c r="I173" s="3" t="s">
        <v>81</v>
      </c>
      <c r="J173" s="3" t="s">
        <v>81</v>
      </c>
      <c r="K173" s="3" t="s">
        <v>81</v>
      </c>
      <c r="L173" s="3" t="s">
        <v>81</v>
      </c>
      <c r="M173" s="3" t="s">
        <v>81</v>
      </c>
      <c r="N173" s="3" t="s">
        <v>81</v>
      </c>
      <c r="O173" s="3" t="s">
        <v>81</v>
      </c>
      <c r="P173" s="3" t="s">
        <v>81</v>
      </c>
      <c r="Q173" s="3">
        <v>35.420999999999999</v>
      </c>
      <c r="R173" s="3">
        <v>0</v>
      </c>
      <c r="S173" s="3" t="s">
        <v>81</v>
      </c>
      <c r="T173" s="3" t="s">
        <v>81</v>
      </c>
      <c r="U173" s="3" t="s">
        <v>81</v>
      </c>
      <c r="V173" s="3" t="s">
        <v>81</v>
      </c>
      <c r="W173" s="3" t="s">
        <v>81</v>
      </c>
      <c r="X173" s="3" t="s">
        <v>81</v>
      </c>
      <c r="Y173" s="3" t="s">
        <v>81</v>
      </c>
      <c r="Z173" s="3" t="s">
        <v>81</v>
      </c>
      <c r="AA173" s="3" t="s">
        <v>81</v>
      </c>
      <c r="AB173" s="3">
        <v>36.167000000000002</v>
      </c>
      <c r="AC173" s="3">
        <v>0</v>
      </c>
      <c r="AD173" s="3" t="s">
        <v>81</v>
      </c>
      <c r="AE173" s="3" t="s">
        <v>81</v>
      </c>
      <c r="AF173" s="3" t="s">
        <v>81</v>
      </c>
      <c r="AG173" s="3" t="s">
        <v>81</v>
      </c>
      <c r="AH173" s="3" t="s">
        <v>81</v>
      </c>
      <c r="AI173" s="3" t="s">
        <v>81</v>
      </c>
      <c r="AJ173" s="3" t="s">
        <v>81</v>
      </c>
      <c r="AK173" s="3" t="s">
        <v>81</v>
      </c>
      <c r="AL173" s="3" t="s">
        <v>81</v>
      </c>
      <c r="AM173" s="3">
        <v>34.963000000000001</v>
      </c>
      <c r="AN173" s="3">
        <v>0</v>
      </c>
      <c r="AO173" s="3" t="s">
        <v>81</v>
      </c>
      <c r="AP173" s="3" t="s">
        <v>81</v>
      </c>
      <c r="AQ173" s="3" t="s">
        <v>81</v>
      </c>
      <c r="AR173" s="3" t="s">
        <v>81</v>
      </c>
      <c r="AS173" s="3" t="s">
        <v>81</v>
      </c>
      <c r="AT173" s="3" t="s">
        <v>81</v>
      </c>
      <c r="AU173" s="3" t="s">
        <v>81</v>
      </c>
      <c r="AV173" s="3" t="s">
        <v>81</v>
      </c>
      <c r="AW173" s="3" t="s">
        <v>81</v>
      </c>
      <c r="AX173" s="3">
        <v>34.481999999999999</v>
      </c>
      <c r="AY173" s="3">
        <v>0</v>
      </c>
      <c r="AZ173" s="3" t="s">
        <v>81</v>
      </c>
      <c r="BA173" s="3" t="s">
        <v>81</v>
      </c>
      <c r="BB173" s="3" t="s">
        <v>81</v>
      </c>
      <c r="BC173" s="3" t="s">
        <v>81</v>
      </c>
      <c r="BD173" s="3" t="s">
        <v>81</v>
      </c>
      <c r="BE173" s="3" t="s">
        <v>81</v>
      </c>
      <c r="BF173" s="3" t="s">
        <v>81</v>
      </c>
      <c r="BG173" s="3" t="s">
        <v>81</v>
      </c>
      <c r="BH173" s="3" t="s">
        <v>81</v>
      </c>
      <c r="BI173" s="3" t="s">
        <v>84</v>
      </c>
      <c r="BJ173" s="3" t="s">
        <v>84</v>
      </c>
      <c r="BK173" s="3" t="s">
        <v>84</v>
      </c>
      <c r="BL173" s="3" t="s">
        <v>82</v>
      </c>
      <c r="BM173" s="3" t="s">
        <v>83</v>
      </c>
      <c r="BN173" s="3" t="s">
        <v>84</v>
      </c>
      <c r="BO173" s="3" t="s">
        <v>83</v>
      </c>
      <c r="BP173" s="3" t="s">
        <v>81</v>
      </c>
      <c r="BQ173" s="3" t="s">
        <v>81</v>
      </c>
      <c r="BR173" s="3" t="s">
        <v>81</v>
      </c>
      <c r="BS173" s="3" t="s">
        <v>81</v>
      </c>
      <c r="BT173" s="3" t="s">
        <v>81</v>
      </c>
      <c r="BU173" s="3" t="s">
        <v>81</v>
      </c>
      <c r="BV173" s="3" t="s">
        <v>83</v>
      </c>
      <c r="BW173" s="3" t="s">
        <v>83</v>
      </c>
      <c r="BX173" s="3" t="s">
        <v>83</v>
      </c>
      <c r="BY173" s="3" t="s">
        <v>491</v>
      </c>
      <c r="BZ173" s="3" t="s">
        <v>123</v>
      </c>
      <c r="CB173" s="3" t="s">
        <v>84</v>
      </c>
    </row>
    <row r="174" spans="1:87" x14ac:dyDescent="0.15">
      <c r="A174" s="3">
        <v>1259455338</v>
      </c>
      <c r="B174" s="3" t="s">
        <v>489</v>
      </c>
      <c r="C174" s="3" t="s">
        <v>489</v>
      </c>
      <c r="D174" s="3">
        <v>5</v>
      </c>
      <c r="E174" s="3">
        <v>9</v>
      </c>
      <c r="F174" s="3">
        <v>38.261000000000003</v>
      </c>
      <c r="G174" s="3">
        <v>0</v>
      </c>
      <c r="H174" s="3" t="s">
        <v>81</v>
      </c>
      <c r="I174" s="3" t="s">
        <v>81</v>
      </c>
      <c r="J174" s="3" t="s">
        <v>81</v>
      </c>
      <c r="K174" s="3" t="s">
        <v>81</v>
      </c>
      <c r="L174" s="3" t="s">
        <v>81</v>
      </c>
      <c r="M174" s="3" t="s">
        <v>81</v>
      </c>
      <c r="N174" s="3" t="s">
        <v>81</v>
      </c>
      <c r="O174" s="3" t="s">
        <v>81</v>
      </c>
      <c r="P174" s="3" t="s">
        <v>81</v>
      </c>
      <c r="Q174" s="3">
        <v>42.390999999999998</v>
      </c>
      <c r="R174" s="3">
        <v>0</v>
      </c>
      <c r="S174" s="3" t="s">
        <v>81</v>
      </c>
      <c r="T174" s="3" t="s">
        <v>81</v>
      </c>
      <c r="U174" s="3" t="s">
        <v>81</v>
      </c>
      <c r="V174" s="3" t="s">
        <v>81</v>
      </c>
      <c r="W174" s="3" t="s">
        <v>81</v>
      </c>
      <c r="X174" s="3" t="s">
        <v>81</v>
      </c>
      <c r="Y174" s="3" t="s">
        <v>81</v>
      </c>
      <c r="Z174" s="3" t="s">
        <v>81</v>
      </c>
      <c r="AA174" s="3" t="s">
        <v>81</v>
      </c>
      <c r="AB174" s="3">
        <v>33.462000000000003</v>
      </c>
      <c r="AC174" s="3">
        <v>0</v>
      </c>
      <c r="AD174" s="3" t="s">
        <v>81</v>
      </c>
      <c r="AE174" s="3" t="s">
        <v>81</v>
      </c>
      <c r="AF174" s="3" t="s">
        <v>81</v>
      </c>
      <c r="AG174" s="3" t="s">
        <v>81</v>
      </c>
      <c r="AH174" s="3" t="s">
        <v>81</v>
      </c>
      <c r="AI174" s="3" t="s">
        <v>81</v>
      </c>
      <c r="AJ174" s="3" t="s">
        <v>81</v>
      </c>
      <c r="AK174" s="3" t="s">
        <v>81</v>
      </c>
      <c r="AL174" s="3" t="s">
        <v>81</v>
      </c>
      <c r="AM174" s="3">
        <v>42.186</v>
      </c>
      <c r="AN174" s="3">
        <v>0</v>
      </c>
      <c r="AO174" s="3" t="s">
        <v>81</v>
      </c>
      <c r="AP174" s="3" t="s">
        <v>81</v>
      </c>
      <c r="AQ174" s="3" t="s">
        <v>81</v>
      </c>
      <c r="AR174" s="3" t="s">
        <v>81</v>
      </c>
      <c r="AS174" s="3" t="s">
        <v>81</v>
      </c>
      <c r="AT174" s="3" t="s">
        <v>81</v>
      </c>
      <c r="AU174" s="3" t="s">
        <v>81</v>
      </c>
      <c r="AV174" s="3" t="s">
        <v>81</v>
      </c>
      <c r="AW174" s="3" t="s">
        <v>81</v>
      </c>
      <c r="AX174" s="3">
        <v>40.71</v>
      </c>
      <c r="AY174" s="3">
        <v>0</v>
      </c>
      <c r="AZ174" s="3" t="s">
        <v>81</v>
      </c>
      <c r="BA174" s="3" t="s">
        <v>81</v>
      </c>
      <c r="BB174" s="3" t="s">
        <v>81</v>
      </c>
      <c r="BC174" s="3" t="s">
        <v>81</v>
      </c>
      <c r="BD174" s="3" t="s">
        <v>81</v>
      </c>
      <c r="BE174" s="3" t="s">
        <v>81</v>
      </c>
      <c r="BF174" s="3" t="s">
        <v>81</v>
      </c>
      <c r="BG174" s="3" t="s">
        <v>81</v>
      </c>
      <c r="BH174" s="3" t="s">
        <v>81</v>
      </c>
      <c r="BI174" s="3" t="s">
        <v>82</v>
      </c>
      <c r="BJ174" s="3" t="s">
        <v>84</v>
      </c>
      <c r="BK174" s="3" t="s">
        <v>84</v>
      </c>
      <c r="BL174" s="3" t="s">
        <v>82</v>
      </c>
      <c r="BM174" s="3" t="s">
        <v>83</v>
      </c>
      <c r="BN174" s="3" t="s">
        <v>84</v>
      </c>
      <c r="BO174" s="3" t="s">
        <v>83</v>
      </c>
      <c r="BP174" s="3" t="s">
        <v>81</v>
      </c>
      <c r="BQ174" s="3" t="s">
        <v>81</v>
      </c>
      <c r="BR174" s="3" t="s">
        <v>81</v>
      </c>
      <c r="BS174" s="3" t="s">
        <v>81</v>
      </c>
      <c r="BT174" s="3" t="s">
        <v>81</v>
      </c>
      <c r="BU174" s="3" t="s">
        <v>81</v>
      </c>
      <c r="BV174" s="3" t="s">
        <v>83</v>
      </c>
      <c r="BW174" s="3" t="s">
        <v>83</v>
      </c>
      <c r="BX174" s="3" t="s">
        <v>83</v>
      </c>
      <c r="BY174" s="3" t="s">
        <v>491</v>
      </c>
      <c r="BZ174" s="3" t="s">
        <v>123</v>
      </c>
      <c r="CB174" s="3" t="s">
        <v>84</v>
      </c>
    </row>
    <row r="175" spans="1:87" x14ac:dyDescent="0.15">
      <c r="A175" s="3">
        <v>1261333404</v>
      </c>
      <c r="B175" s="3" t="s">
        <v>489</v>
      </c>
      <c r="C175" s="3" t="s">
        <v>489</v>
      </c>
      <c r="D175" s="3">
        <v>7</v>
      </c>
      <c r="E175" s="3">
        <v>9</v>
      </c>
      <c r="F175" s="3">
        <v>24.443000000000001</v>
      </c>
      <c r="G175" s="3">
        <v>0</v>
      </c>
      <c r="H175" s="3" t="s">
        <v>81</v>
      </c>
      <c r="I175" s="3" t="s">
        <v>81</v>
      </c>
      <c r="J175" s="3" t="s">
        <v>81</v>
      </c>
      <c r="K175" s="3" t="s">
        <v>81</v>
      </c>
      <c r="L175" s="3" t="s">
        <v>81</v>
      </c>
      <c r="M175" s="3" t="s">
        <v>81</v>
      </c>
      <c r="N175" s="3" t="s">
        <v>81</v>
      </c>
      <c r="O175" s="3" t="s">
        <v>81</v>
      </c>
      <c r="P175" s="3" t="s">
        <v>81</v>
      </c>
      <c r="Q175" s="3">
        <v>22.004000000000001</v>
      </c>
      <c r="R175" s="3">
        <v>0</v>
      </c>
      <c r="S175" s="3" t="s">
        <v>81</v>
      </c>
      <c r="T175" s="3" t="s">
        <v>81</v>
      </c>
      <c r="U175" s="3" t="s">
        <v>81</v>
      </c>
      <c r="V175" s="3" t="s">
        <v>81</v>
      </c>
      <c r="W175" s="3" t="s">
        <v>81</v>
      </c>
      <c r="X175" s="3" t="s">
        <v>81</v>
      </c>
      <c r="Y175" s="3" t="s">
        <v>81</v>
      </c>
      <c r="Z175" s="3" t="s">
        <v>81</v>
      </c>
      <c r="AA175" s="3" t="s">
        <v>81</v>
      </c>
      <c r="AB175" s="3">
        <v>22.556000000000001</v>
      </c>
      <c r="AC175" s="3">
        <v>0</v>
      </c>
      <c r="AD175" s="3" t="s">
        <v>81</v>
      </c>
      <c r="AE175" s="3" t="s">
        <v>81</v>
      </c>
      <c r="AF175" s="3" t="s">
        <v>81</v>
      </c>
      <c r="AG175" s="3" t="s">
        <v>81</v>
      </c>
      <c r="AH175" s="3" t="s">
        <v>81</v>
      </c>
      <c r="AI175" s="3" t="s">
        <v>81</v>
      </c>
      <c r="AJ175" s="3" t="s">
        <v>81</v>
      </c>
      <c r="AK175" s="3" t="s">
        <v>81</v>
      </c>
      <c r="AL175" s="3" t="s">
        <v>81</v>
      </c>
      <c r="AM175" s="3">
        <v>25.207000000000001</v>
      </c>
      <c r="AN175" s="3">
        <v>0</v>
      </c>
      <c r="AO175" s="3" t="s">
        <v>81</v>
      </c>
      <c r="AP175" s="3" t="s">
        <v>81</v>
      </c>
      <c r="AQ175" s="3" t="s">
        <v>81</v>
      </c>
      <c r="AR175" s="3" t="s">
        <v>81</v>
      </c>
      <c r="AS175" s="3" t="s">
        <v>81</v>
      </c>
      <c r="AT175" s="3" t="s">
        <v>81</v>
      </c>
      <c r="AU175" s="3" t="s">
        <v>81</v>
      </c>
      <c r="AV175" s="3" t="s">
        <v>81</v>
      </c>
      <c r="AW175" s="3" t="s">
        <v>81</v>
      </c>
      <c r="AX175" s="3">
        <v>24.835000000000001</v>
      </c>
      <c r="AY175" s="3">
        <v>0</v>
      </c>
      <c r="AZ175" s="3" t="s">
        <v>81</v>
      </c>
      <c r="BA175" s="3" t="s">
        <v>81</v>
      </c>
      <c r="BB175" s="3" t="s">
        <v>81</v>
      </c>
      <c r="BC175" s="3" t="s">
        <v>81</v>
      </c>
      <c r="BD175" s="3" t="s">
        <v>81</v>
      </c>
      <c r="BE175" s="3" t="s">
        <v>81</v>
      </c>
      <c r="BF175" s="3" t="s">
        <v>81</v>
      </c>
      <c r="BG175" s="3" t="s">
        <v>81</v>
      </c>
      <c r="BH175" s="3" t="s">
        <v>81</v>
      </c>
      <c r="BI175" s="3" t="s">
        <v>84</v>
      </c>
      <c r="BJ175" s="3" t="s">
        <v>82</v>
      </c>
      <c r="BK175" s="3" t="s">
        <v>83</v>
      </c>
      <c r="BL175" s="3" t="s">
        <v>84</v>
      </c>
      <c r="BM175" s="3" t="s">
        <v>84</v>
      </c>
      <c r="BN175" s="3" t="s">
        <v>82</v>
      </c>
      <c r="BO175" s="3" t="s">
        <v>82</v>
      </c>
      <c r="BP175" s="3" t="s">
        <v>85</v>
      </c>
      <c r="BQ175" s="3" t="s">
        <v>85</v>
      </c>
      <c r="BR175" s="3" t="s">
        <v>85</v>
      </c>
      <c r="BS175" s="3" t="s">
        <v>85</v>
      </c>
      <c r="BT175" s="3" t="s">
        <v>85</v>
      </c>
      <c r="BU175" s="3" t="s">
        <v>81</v>
      </c>
      <c r="BV175" s="3" t="s">
        <v>82</v>
      </c>
      <c r="BW175" s="3" t="s">
        <v>91</v>
      </c>
      <c r="BX175" s="3" t="s">
        <v>82</v>
      </c>
      <c r="BZ175" s="3" t="s">
        <v>123</v>
      </c>
      <c r="CB175" s="3" t="s">
        <v>84</v>
      </c>
    </row>
    <row r="176" spans="1:87" x14ac:dyDescent="0.15">
      <c r="A176" s="3">
        <v>1228485777</v>
      </c>
      <c r="B176" s="3" t="s">
        <v>494</v>
      </c>
      <c r="C176" s="3" t="s">
        <v>494</v>
      </c>
      <c r="D176" s="3">
        <v>20</v>
      </c>
      <c r="E176" s="3">
        <v>25</v>
      </c>
      <c r="F176" s="3">
        <v>30.366</v>
      </c>
      <c r="G176" s="3">
        <v>1</v>
      </c>
      <c r="H176" s="3">
        <v>28.585999999999999</v>
      </c>
      <c r="I176" s="3">
        <v>1.5880000000000001</v>
      </c>
      <c r="J176" s="3">
        <v>3.1589999999999998</v>
      </c>
      <c r="K176" s="3" t="s">
        <v>81</v>
      </c>
      <c r="L176" s="3" t="s">
        <v>81</v>
      </c>
      <c r="M176" s="3" t="s">
        <v>81</v>
      </c>
      <c r="N176" s="3" t="s">
        <v>81</v>
      </c>
      <c r="O176" s="3" t="s">
        <v>81</v>
      </c>
      <c r="P176" s="3" t="s">
        <v>81</v>
      </c>
      <c r="Q176" s="3">
        <v>33.332999999999998</v>
      </c>
      <c r="R176" s="3">
        <v>1</v>
      </c>
      <c r="S176" s="3">
        <v>30.027999999999999</v>
      </c>
      <c r="T176" s="3">
        <v>5.3570000000000002</v>
      </c>
      <c r="U176" s="3">
        <v>3.58</v>
      </c>
      <c r="V176" s="3" t="s">
        <v>81</v>
      </c>
      <c r="W176" s="3" t="s">
        <v>81</v>
      </c>
      <c r="X176" s="3" t="s">
        <v>81</v>
      </c>
      <c r="Y176" s="3" t="s">
        <v>81</v>
      </c>
      <c r="Z176" s="3" t="s">
        <v>81</v>
      </c>
      <c r="AA176" s="3" t="s">
        <v>81</v>
      </c>
      <c r="AB176" s="3">
        <v>28.475000000000001</v>
      </c>
      <c r="AC176" s="3">
        <v>1</v>
      </c>
      <c r="AD176" s="3">
        <v>24.25</v>
      </c>
      <c r="AE176" s="3">
        <v>5.9029999999999996</v>
      </c>
      <c r="AF176" s="3">
        <v>3.0910000000000002</v>
      </c>
      <c r="AG176" s="3" t="s">
        <v>81</v>
      </c>
      <c r="AH176" s="3" t="s">
        <v>81</v>
      </c>
      <c r="AI176" s="3" t="s">
        <v>81</v>
      </c>
      <c r="AJ176" s="3" t="s">
        <v>81</v>
      </c>
      <c r="AK176" s="3" t="s">
        <v>81</v>
      </c>
      <c r="AL176" s="3" t="s">
        <v>81</v>
      </c>
      <c r="AM176" s="3">
        <v>30.236999999999998</v>
      </c>
      <c r="AN176" s="3">
        <v>1</v>
      </c>
      <c r="AO176" s="3">
        <v>29.266999999999999</v>
      </c>
      <c r="AP176" s="3">
        <v>3.242</v>
      </c>
      <c r="AQ176" s="3">
        <v>2.6890000000000001</v>
      </c>
      <c r="AR176" s="3" t="s">
        <v>81</v>
      </c>
      <c r="AS176" s="3" t="s">
        <v>81</v>
      </c>
      <c r="AT176" s="3" t="s">
        <v>81</v>
      </c>
      <c r="AU176" s="3" t="s">
        <v>81</v>
      </c>
      <c r="AV176" s="3" t="s">
        <v>81</v>
      </c>
      <c r="AW176" s="3" t="s">
        <v>81</v>
      </c>
      <c r="AX176" s="3">
        <v>37.575000000000003</v>
      </c>
      <c r="AY176" s="3">
        <v>1</v>
      </c>
      <c r="AZ176" s="3">
        <v>32.009</v>
      </c>
      <c r="BA176" s="3">
        <v>6.0940000000000003</v>
      </c>
      <c r="BB176" s="3">
        <v>5.8760000000000003</v>
      </c>
      <c r="BC176" s="3" t="s">
        <v>81</v>
      </c>
      <c r="BD176" s="3" t="s">
        <v>81</v>
      </c>
      <c r="BE176" s="3" t="s">
        <v>81</v>
      </c>
      <c r="BF176" s="3" t="s">
        <v>81</v>
      </c>
      <c r="BG176" s="3" t="s">
        <v>81</v>
      </c>
      <c r="BH176" s="3" t="s">
        <v>81</v>
      </c>
      <c r="BI176" s="3" t="s">
        <v>84</v>
      </c>
      <c r="BJ176" s="3" t="s">
        <v>82</v>
      </c>
      <c r="BK176" s="3" t="s">
        <v>83</v>
      </c>
      <c r="BL176" s="3" t="s">
        <v>84</v>
      </c>
      <c r="BM176" s="3" t="s">
        <v>82</v>
      </c>
      <c r="BN176" s="3" t="s">
        <v>82</v>
      </c>
      <c r="BO176" s="3" t="s">
        <v>82</v>
      </c>
      <c r="BP176" s="3" t="s">
        <v>495</v>
      </c>
      <c r="BQ176" s="3" t="s">
        <v>495</v>
      </c>
      <c r="BR176" s="3" t="s">
        <v>495</v>
      </c>
      <c r="BS176" s="3" t="s">
        <v>495</v>
      </c>
      <c r="BT176" s="3" t="s">
        <v>98</v>
      </c>
      <c r="BU176" s="3" t="s">
        <v>129</v>
      </c>
      <c r="BV176" s="3" t="s">
        <v>83</v>
      </c>
      <c r="BW176" s="3" t="s">
        <v>83</v>
      </c>
      <c r="BX176" s="3" t="s">
        <v>83</v>
      </c>
      <c r="BY176" s="3" t="s">
        <v>496</v>
      </c>
      <c r="BZ176" s="3" t="s">
        <v>93</v>
      </c>
      <c r="CA176" s="3"/>
      <c r="CB176" s="3" t="s">
        <v>84</v>
      </c>
      <c r="CC176" s="3"/>
      <c r="CD176" s="3"/>
      <c r="CE176" s="3"/>
      <c r="CF176" s="3"/>
      <c r="CG176" s="3"/>
      <c r="CH176" s="3"/>
      <c r="CI176" s="3"/>
    </row>
    <row r="177" spans="1:87" x14ac:dyDescent="0.15">
      <c r="A177" s="3">
        <v>2643373740</v>
      </c>
      <c r="B177" s="3" t="s">
        <v>494</v>
      </c>
      <c r="C177" s="3" t="s">
        <v>494</v>
      </c>
      <c r="D177" s="3" t="s">
        <v>81</v>
      </c>
      <c r="E177" s="3">
        <v>24</v>
      </c>
      <c r="F177" s="3">
        <v>41.311</v>
      </c>
      <c r="G177" s="3">
        <v>2</v>
      </c>
      <c r="H177" s="3">
        <v>27.071000000000002</v>
      </c>
      <c r="I177" s="3">
        <v>29.541</v>
      </c>
      <c r="J177" s="3">
        <v>13.545</v>
      </c>
      <c r="K177" s="3">
        <v>23.818999999999999</v>
      </c>
      <c r="L177" s="3">
        <v>0.50700000000000001</v>
      </c>
      <c r="M177" s="3" t="s">
        <v>81</v>
      </c>
      <c r="N177" s="3" t="s">
        <v>81</v>
      </c>
      <c r="O177" s="3" t="s">
        <v>81</v>
      </c>
      <c r="P177" s="3" t="s">
        <v>81</v>
      </c>
      <c r="Q177" s="3">
        <v>44.314999999999998</v>
      </c>
      <c r="R177" s="3">
        <v>2</v>
      </c>
      <c r="S177" s="3">
        <v>28.879000000000001</v>
      </c>
      <c r="T177" s="3">
        <v>32.557000000000002</v>
      </c>
      <c r="U177" s="3">
        <v>14.066000000000001</v>
      </c>
      <c r="V177" s="3">
        <v>27.443999999999999</v>
      </c>
      <c r="W177" s="3">
        <v>0.438</v>
      </c>
      <c r="X177" s="3" t="s">
        <v>81</v>
      </c>
      <c r="Y177" s="3" t="s">
        <v>81</v>
      </c>
      <c r="Z177" s="3" t="s">
        <v>81</v>
      </c>
      <c r="AA177" s="3" t="s">
        <v>81</v>
      </c>
      <c r="AB177" s="3">
        <v>48.305999999999997</v>
      </c>
      <c r="AC177" s="3">
        <v>2</v>
      </c>
      <c r="AD177" s="3">
        <v>36.743000000000002</v>
      </c>
      <c r="AE177" s="3">
        <v>27.329000000000001</v>
      </c>
      <c r="AF177" s="3">
        <v>11.977</v>
      </c>
      <c r="AG177" s="3">
        <v>19.343</v>
      </c>
      <c r="AH177" s="3">
        <v>0.44800000000000001</v>
      </c>
      <c r="AI177" s="3" t="s">
        <v>81</v>
      </c>
      <c r="AJ177" s="3" t="s">
        <v>81</v>
      </c>
      <c r="AK177" s="3" t="s">
        <v>81</v>
      </c>
      <c r="AL177" s="3" t="s">
        <v>81</v>
      </c>
      <c r="AM177" s="3">
        <v>53.311</v>
      </c>
      <c r="AN177" s="3">
        <v>2</v>
      </c>
      <c r="AO177" s="3">
        <v>40.344000000000001</v>
      </c>
      <c r="AP177" s="3">
        <v>30.709</v>
      </c>
      <c r="AQ177" s="3">
        <v>12.255000000000001</v>
      </c>
      <c r="AR177" s="3">
        <v>23.791</v>
      </c>
      <c r="AS177" s="3">
        <v>0.46300000000000002</v>
      </c>
      <c r="AT177" s="3" t="s">
        <v>81</v>
      </c>
      <c r="AU177" s="3" t="s">
        <v>81</v>
      </c>
      <c r="AV177" s="3" t="s">
        <v>81</v>
      </c>
      <c r="AW177" s="3" t="s">
        <v>81</v>
      </c>
      <c r="AX177" s="3">
        <v>52.892000000000003</v>
      </c>
      <c r="AY177" s="3">
        <v>2</v>
      </c>
      <c r="AZ177" s="3">
        <v>39.908000000000001</v>
      </c>
      <c r="BA177" s="3">
        <v>19.908999999999999</v>
      </c>
      <c r="BB177" s="3">
        <v>12.99</v>
      </c>
      <c r="BC177" s="3">
        <v>25.542999999999999</v>
      </c>
      <c r="BD177" s="3">
        <v>0.30599999999999999</v>
      </c>
      <c r="BE177" s="3" t="s">
        <v>81</v>
      </c>
      <c r="BF177" s="3" t="s">
        <v>81</v>
      </c>
      <c r="BG177" s="3" t="s">
        <v>81</v>
      </c>
      <c r="BH177" s="3" t="s">
        <v>81</v>
      </c>
      <c r="BI177" s="3" t="s">
        <v>84</v>
      </c>
      <c r="BJ177" s="3" t="s">
        <v>84</v>
      </c>
      <c r="BK177" s="3" t="s">
        <v>84</v>
      </c>
      <c r="BL177" s="3" t="s">
        <v>84</v>
      </c>
      <c r="BM177" s="3" t="s">
        <v>84</v>
      </c>
      <c r="BN177" s="3" t="s">
        <v>82</v>
      </c>
      <c r="BO177" s="3" t="s">
        <v>84</v>
      </c>
      <c r="BP177" s="3" t="s">
        <v>106</v>
      </c>
      <c r="BQ177" s="3" t="s">
        <v>106</v>
      </c>
      <c r="BR177" s="3" t="s">
        <v>497</v>
      </c>
      <c r="BS177" s="3" t="s">
        <v>497</v>
      </c>
      <c r="BT177" s="3" t="s">
        <v>106</v>
      </c>
      <c r="BU177" s="3" t="s">
        <v>129</v>
      </c>
      <c r="BV177" s="3" t="s">
        <v>82</v>
      </c>
      <c r="BW177" s="3" t="s">
        <v>91</v>
      </c>
      <c r="BX177" s="3" t="s">
        <v>82</v>
      </c>
      <c r="BZ177" s="3" t="s">
        <v>86</v>
      </c>
      <c r="CB177" s="3" t="s">
        <v>84</v>
      </c>
    </row>
    <row r="178" spans="1:87" x14ac:dyDescent="0.15">
      <c r="A178" s="3">
        <v>2625851693</v>
      </c>
      <c r="B178" s="3" t="s">
        <v>494</v>
      </c>
      <c r="C178" s="3" t="s">
        <v>494</v>
      </c>
      <c r="D178" s="3" t="s">
        <v>81</v>
      </c>
      <c r="E178" s="3">
        <v>14</v>
      </c>
      <c r="F178" s="3">
        <v>60.832999999999998</v>
      </c>
      <c r="G178" s="3">
        <v>2</v>
      </c>
      <c r="H178" s="3">
        <v>25.917000000000002</v>
      </c>
      <c r="I178" s="3">
        <v>18.744</v>
      </c>
      <c r="J178" s="3">
        <v>8.5540000000000003</v>
      </c>
      <c r="K178" s="3">
        <v>19.366</v>
      </c>
      <c r="L178" s="3">
        <v>25.535</v>
      </c>
      <c r="M178" s="3" t="s">
        <v>81</v>
      </c>
      <c r="N178" s="3" t="s">
        <v>81</v>
      </c>
      <c r="O178" s="3" t="s">
        <v>81</v>
      </c>
      <c r="P178" s="3" t="s">
        <v>81</v>
      </c>
      <c r="Q178" s="3">
        <v>60.472000000000001</v>
      </c>
      <c r="R178" s="3">
        <v>2</v>
      </c>
      <c r="S178" s="3">
        <v>27.577999999999999</v>
      </c>
      <c r="T178" s="3">
        <v>17.29</v>
      </c>
      <c r="U178" s="3">
        <v>10.164999999999999</v>
      </c>
      <c r="V178" s="3">
        <v>20.436</v>
      </c>
      <c r="W178" s="3">
        <v>21.920999999999999</v>
      </c>
      <c r="X178" s="3" t="s">
        <v>81</v>
      </c>
      <c r="Y178" s="3" t="s">
        <v>81</v>
      </c>
      <c r="Z178" s="3" t="s">
        <v>81</v>
      </c>
      <c r="AA178" s="3" t="s">
        <v>81</v>
      </c>
      <c r="AB178" s="3">
        <v>58.41</v>
      </c>
      <c r="AC178" s="3">
        <v>2</v>
      </c>
      <c r="AD178" s="3">
        <v>24.363</v>
      </c>
      <c r="AE178" s="3">
        <v>17.645</v>
      </c>
      <c r="AF178" s="3">
        <v>8.67</v>
      </c>
      <c r="AG178" s="3">
        <v>19.577999999999999</v>
      </c>
      <c r="AH178" s="3">
        <v>24.242999999999999</v>
      </c>
      <c r="AI178" s="3" t="s">
        <v>81</v>
      </c>
      <c r="AJ178" s="3" t="s">
        <v>81</v>
      </c>
      <c r="AK178" s="3" t="s">
        <v>81</v>
      </c>
      <c r="AL178" s="3" t="s">
        <v>81</v>
      </c>
      <c r="AM178" s="3">
        <v>56.158999999999999</v>
      </c>
      <c r="AN178" s="3">
        <v>2</v>
      </c>
      <c r="AO178" s="3">
        <v>28.585999999999999</v>
      </c>
      <c r="AP178" s="3">
        <v>23.81</v>
      </c>
      <c r="AQ178" s="3">
        <v>13.862</v>
      </c>
      <c r="AR178" s="3">
        <v>14.746</v>
      </c>
      <c r="AS178" s="3">
        <v>19.004000000000001</v>
      </c>
      <c r="AT178" s="3" t="s">
        <v>81</v>
      </c>
      <c r="AU178" s="3" t="s">
        <v>81</v>
      </c>
      <c r="AV178" s="3" t="s">
        <v>81</v>
      </c>
      <c r="AW178" s="3" t="s">
        <v>81</v>
      </c>
      <c r="AX178" s="3">
        <v>65.563999999999993</v>
      </c>
      <c r="AY178" s="3">
        <v>2</v>
      </c>
      <c r="AZ178" s="3">
        <v>33.764000000000003</v>
      </c>
      <c r="BA178" s="3">
        <v>18.096</v>
      </c>
      <c r="BB178" s="3">
        <v>8.5299999999999994</v>
      </c>
      <c r="BC178" s="3">
        <v>18.212</v>
      </c>
      <c r="BD178" s="3">
        <v>22.835000000000001</v>
      </c>
      <c r="BE178" s="3" t="s">
        <v>81</v>
      </c>
      <c r="BF178" s="3" t="s">
        <v>81</v>
      </c>
      <c r="BG178" s="3" t="s">
        <v>81</v>
      </c>
      <c r="BH178" s="3" t="s">
        <v>81</v>
      </c>
      <c r="BI178" s="3" t="s">
        <v>84</v>
      </c>
      <c r="BJ178" s="3" t="s">
        <v>84</v>
      </c>
      <c r="BK178" s="3" t="s">
        <v>84</v>
      </c>
      <c r="BL178" s="3" t="s">
        <v>82</v>
      </c>
      <c r="BM178" s="3" t="s">
        <v>83</v>
      </c>
      <c r="BN178" s="3" t="s">
        <v>82</v>
      </c>
      <c r="BO178" s="3" t="s">
        <v>83</v>
      </c>
      <c r="BP178" s="3" t="s">
        <v>498</v>
      </c>
      <c r="BQ178" s="3" t="s">
        <v>498</v>
      </c>
      <c r="BR178" s="3" t="s">
        <v>498</v>
      </c>
      <c r="BS178" s="3" t="s">
        <v>498</v>
      </c>
      <c r="BT178" s="3" t="s">
        <v>87</v>
      </c>
      <c r="BU178" s="3" t="s">
        <v>129</v>
      </c>
      <c r="BV178" s="3" t="s">
        <v>84</v>
      </c>
      <c r="BW178" s="3" t="s">
        <v>83</v>
      </c>
      <c r="BX178" s="3" t="s">
        <v>82</v>
      </c>
      <c r="BY178" s="3" t="s">
        <v>499</v>
      </c>
      <c r="BZ178" s="3" t="s">
        <v>86</v>
      </c>
      <c r="CB178" s="3" t="s">
        <v>84</v>
      </c>
    </row>
    <row r="179" spans="1:87" x14ac:dyDescent="0.15">
      <c r="A179" s="3">
        <v>1322959658</v>
      </c>
      <c r="B179" s="3" t="s">
        <v>481</v>
      </c>
      <c r="C179" s="3" t="s">
        <v>482</v>
      </c>
      <c r="D179" s="3" t="s">
        <v>81</v>
      </c>
      <c r="E179" s="3">
        <v>12</v>
      </c>
      <c r="F179" s="3">
        <v>255.999</v>
      </c>
      <c r="G179" s="3">
        <v>2</v>
      </c>
      <c r="H179" s="3">
        <v>147.536</v>
      </c>
      <c r="I179" s="3">
        <v>52.762</v>
      </c>
      <c r="J179" s="3">
        <v>48.384</v>
      </c>
      <c r="K179" s="3">
        <v>52.031999999999996</v>
      </c>
      <c r="L179" s="3">
        <v>56.761000000000003</v>
      </c>
      <c r="M179" s="3" t="s">
        <v>81</v>
      </c>
      <c r="N179" s="3" t="s">
        <v>81</v>
      </c>
      <c r="O179" s="3" t="s">
        <v>81</v>
      </c>
      <c r="P179" s="3" t="s">
        <v>81</v>
      </c>
      <c r="Q179" s="3">
        <v>265.99200000000002</v>
      </c>
      <c r="R179" s="3">
        <v>2</v>
      </c>
      <c r="S179" s="3">
        <v>161.17699999999999</v>
      </c>
      <c r="T179" s="3">
        <v>47.353999999999999</v>
      </c>
      <c r="U179" s="3">
        <v>44.735999999999997</v>
      </c>
      <c r="V179" s="3">
        <v>49.283000000000001</v>
      </c>
      <c r="W179" s="3">
        <v>54.878</v>
      </c>
      <c r="X179" s="3" t="s">
        <v>81</v>
      </c>
      <c r="Y179" s="3" t="s">
        <v>81</v>
      </c>
      <c r="Z179" s="3" t="s">
        <v>81</v>
      </c>
      <c r="AA179" s="3" t="s">
        <v>81</v>
      </c>
      <c r="AB179" s="3">
        <v>276.95100000000002</v>
      </c>
      <c r="AC179" s="3">
        <v>2</v>
      </c>
      <c r="AD179" s="3">
        <v>175.465</v>
      </c>
      <c r="AE179" s="3">
        <v>58.777000000000001</v>
      </c>
      <c r="AF179" s="3">
        <v>44.558</v>
      </c>
      <c r="AG179" s="3">
        <v>50.847999999999999</v>
      </c>
      <c r="AH179" s="3">
        <v>53.412999999999997</v>
      </c>
      <c r="AI179" s="3" t="s">
        <v>81</v>
      </c>
      <c r="AJ179" s="3" t="s">
        <v>81</v>
      </c>
      <c r="AK179" s="3" t="s">
        <v>81</v>
      </c>
      <c r="AL179" s="3" t="s">
        <v>81</v>
      </c>
      <c r="AM179" s="3">
        <v>275.06200000000001</v>
      </c>
      <c r="AN179" s="3">
        <v>2</v>
      </c>
      <c r="AO179" s="3">
        <v>167.01499999999999</v>
      </c>
      <c r="AP179" s="3">
        <v>54.026000000000003</v>
      </c>
      <c r="AQ179" s="3">
        <v>51.932000000000002</v>
      </c>
      <c r="AR179" s="3">
        <v>45.963000000000001</v>
      </c>
      <c r="AS179" s="3">
        <v>53.384</v>
      </c>
      <c r="AT179" s="3" t="s">
        <v>81</v>
      </c>
      <c r="AU179" s="3" t="s">
        <v>81</v>
      </c>
      <c r="AV179" s="3" t="s">
        <v>81</v>
      </c>
      <c r="AW179" s="3" t="s">
        <v>81</v>
      </c>
      <c r="AX179" s="3">
        <v>269.51900000000001</v>
      </c>
      <c r="AY179" s="3">
        <v>2</v>
      </c>
      <c r="AZ179" s="3">
        <v>163.51</v>
      </c>
      <c r="BA179" s="3">
        <v>48.279000000000003</v>
      </c>
      <c r="BB179" s="3">
        <v>43.743000000000002</v>
      </c>
      <c r="BC179" s="3">
        <v>49.906999999999996</v>
      </c>
      <c r="BD179" s="3">
        <v>58.987000000000002</v>
      </c>
      <c r="BE179" s="3" t="s">
        <v>81</v>
      </c>
      <c r="BF179" s="3" t="s">
        <v>81</v>
      </c>
      <c r="BG179" s="3" t="s">
        <v>81</v>
      </c>
      <c r="BH179" s="3" t="s">
        <v>81</v>
      </c>
      <c r="BI179" s="3" t="s">
        <v>84</v>
      </c>
      <c r="BJ179" s="3" t="s">
        <v>84</v>
      </c>
      <c r="BK179" s="3" t="s">
        <v>84</v>
      </c>
      <c r="BL179" s="3" t="s">
        <v>84</v>
      </c>
      <c r="BM179" s="3" t="s">
        <v>84</v>
      </c>
      <c r="BN179" s="3" t="s">
        <v>82</v>
      </c>
      <c r="BO179" s="3" t="s">
        <v>84</v>
      </c>
      <c r="BP179" s="3" t="s">
        <v>81</v>
      </c>
      <c r="BQ179" s="3" t="s">
        <v>81</v>
      </c>
      <c r="BR179" s="3" t="s">
        <v>81</v>
      </c>
      <c r="BS179" s="3" t="s">
        <v>81</v>
      </c>
      <c r="BT179" s="3" t="s">
        <v>81</v>
      </c>
      <c r="BU179" s="3" t="s">
        <v>81</v>
      </c>
      <c r="BV179" s="3" t="s">
        <v>82</v>
      </c>
      <c r="BW179" s="3" t="s">
        <v>91</v>
      </c>
      <c r="BX179" s="3" t="s">
        <v>82</v>
      </c>
      <c r="BZ179" s="3" t="s">
        <v>86</v>
      </c>
      <c r="CB179" s="3" t="s">
        <v>84</v>
      </c>
    </row>
    <row r="180" spans="1:87" x14ac:dyDescent="0.15">
      <c r="A180" s="3">
        <v>1228447171</v>
      </c>
      <c r="B180" s="3" t="s">
        <v>482</v>
      </c>
      <c r="C180" s="3" t="s">
        <v>482</v>
      </c>
      <c r="D180" s="3" t="s">
        <v>81</v>
      </c>
      <c r="E180" s="3">
        <v>11</v>
      </c>
      <c r="F180" s="3">
        <v>193.839</v>
      </c>
      <c r="G180" s="3">
        <v>1</v>
      </c>
      <c r="H180" s="3">
        <v>171.90600000000001</v>
      </c>
      <c r="I180" s="3">
        <v>52.033000000000001</v>
      </c>
      <c r="J180" s="3">
        <v>20.548999999999999</v>
      </c>
      <c r="K180" s="3" t="s">
        <v>81</v>
      </c>
      <c r="L180" s="3" t="s">
        <v>81</v>
      </c>
      <c r="M180" s="3" t="s">
        <v>81</v>
      </c>
      <c r="N180" s="3" t="s">
        <v>81</v>
      </c>
      <c r="O180" s="3" t="s">
        <v>81</v>
      </c>
      <c r="P180" s="3" t="s">
        <v>81</v>
      </c>
      <c r="Q180" s="3">
        <v>217.845</v>
      </c>
      <c r="R180" s="3">
        <v>2</v>
      </c>
      <c r="S180" s="3">
        <v>160.60300000000001</v>
      </c>
      <c r="T180" s="3">
        <v>63.752000000000002</v>
      </c>
      <c r="U180" s="3">
        <v>28.908000000000001</v>
      </c>
      <c r="V180" s="3">
        <v>33.091999999999999</v>
      </c>
      <c r="W180" s="3">
        <v>25.649000000000001</v>
      </c>
      <c r="X180" s="3" t="s">
        <v>81</v>
      </c>
      <c r="Y180" s="3" t="s">
        <v>81</v>
      </c>
      <c r="Z180" s="3" t="s">
        <v>81</v>
      </c>
      <c r="AA180" s="3" t="s">
        <v>81</v>
      </c>
      <c r="AB180" s="3" t="s">
        <v>81</v>
      </c>
      <c r="AC180" s="3">
        <v>1</v>
      </c>
      <c r="AD180" s="3">
        <v>170.566</v>
      </c>
      <c r="AE180" s="3">
        <v>61.067</v>
      </c>
      <c r="AF180" s="3" t="s">
        <v>81</v>
      </c>
      <c r="AG180" s="3" t="s">
        <v>81</v>
      </c>
      <c r="AH180" s="3" t="s">
        <v>81</v>
      </c>
      <c r="AI180" s="3" t="s">
        <v>81</v>
      </c>
      <c r="AJ180" s="3" t="s">
        <v>81</v>
      </c>
      <c r="AK180" s="3" t="s">
        <v>81</v>
      </c>
      <c r="AL180" s="3" t="s">
        <v>81</v>
      </c>
      <c r="AM180" s="3" t="s">
        <v>81</v>
      </c>
      <c r="AN180" s="3" t="s">
        <v>81</v>
      </c>
      <c r="AO180" s="3" t="s">
        <v>81</v>
      </c>
      <c r="AP180" s="3" t="s">
        <v>81</v>
      </c>
      <c r="AQ180" s="3" t="s">
        <v>81</v>
      </c>
      <c r="AR180" s="3" t="s">
        <v>81</v>
      </c>
      <c r="AS180" s="3" t="s">
        <v>81</v>
      </c>
      <c r="AT180" s="3" t="s">
        <v>81</v>
      </c>
      <c r="AU180" s="3" t="s">
        <v>81</v>
      </c>
      <c r="AV180" s="3" t="s">
        <v>81</v>
      </c>
      <c r="AW180" s="3" t="s">
        <v>81</v>
      </c>
      <c r="AX180" s="3" t="s">
        <v>81</v>
      </c>
      <c r="AY180" s="3" t="s">
        <v>81</v>
      </c>
      <c r="AZ180" s="3" t="s">
        <v>81</v>
      </c>
      <c r="BA180" s="3" t="s">
        <v>81</v>
      </c>
      <c r="BB180" s="3" t="s">
        <v>81</v>
      </c>
      <c r="BC180" s="3" t="s">
        <v>81</v>
      </c>
      <c r="BD180" s="3" t="s">
        <v>81</v>
      </c>
      <c r="BE180" s="3" t="s">
        <v>81</v>
      </c>
      <c r="BF180" s="3" t="s">
        <v>81</v>
      </c>
      <c r="BG180" s="3" t="s">
        <v>81</v>
      </c>
      <c r="BH180" s="3" t="s">
        <v>81</v>
      </c>
      <c r="BI180" s="3" t="s">
        <v>84</v>
      </c>
      <c r="BJ180" s="3" t="s">
        <v>82</v>
      </c>
      <c r="BK180" s="3" t="s">
        <v>83</v>
      </c>
      <c r="BL180" s="3" t="s">
        <v>84</v>
      </c>
      <c r="BM180" s="3" t="s">
        <v>84</v>
      </c>
      <c r="BN180" s="3" t="s">
        <v>82</v>
      </c>
      <c r="BO180" s="3" t="s">
        <v>84</v>
      </c>
      <c r="BP180" s="3" t="s">
        <v>483</v>
      </c>
      <c r="BQ180" s="3" t="s">
        <v>483</v>
      </c>
      <c r="BR180" s="3" t="s">
        <v>484</v>
      </c>
      <c r="BS180" s="3" t="s">
        <v>485</v>
      </c>
      <c r="BT180" s="3" t="s">
        <v>106</v>
      </c>
      <c r="BU180" s="3" t="s">
        <v>205</v>
      </c>
      <c r="BV180" s="3" t="s">
        <v>84</v>
      </c>
      <c r="BW180" s="3" t="s">
        <v>83</v>
      </c>
      <c r="BX180" s="3" t="s">
        <v>82</v>
      </c>
      <c r="BY180" s="3" t="s">
        <v>486</v>
      </c>
      <c r="BZ180" s="3" t="s">
        <v>93</v>
      </c>
      <c r="CA180" s="3" t="s">
        <v>232</v>
      </c>
      <c r="CB180" s="3" t="s">
        <v>84</v>
      </c>
      <c r="CC180" s="3"/>
      <c r="CD180" s="3"/>
      <c r="CE180" s="3"/>
      <c r="CF180" s="3"/>
      <c r="CG180" s="3"/>
      <c r="CH180" s="3"/>
      <c r="CI180" s="3"/>
    </row>
    <row r="181" spans="1:87" x14ac:dyDescent="0.15">
      <c r="A181" s="3">
        <v>1228461172</v>
      </c>
      <c r="B181" s="3" t="s">
        <v>482</v>
      </c>
      <c r="C181" s="3" t="s">
        <v>482</v>
      </c>
      <c r="D181" s="3">
        <v>5</v>
      </c>
      <c r="E181" s="3">
        <v>9</v>
      </c>
      <c r="F181" s="3">
        <v>237.06800000000001</v>
      </c>
      <c r="G181" s="3">
        <v>2</v>
      </c>
      <c r="H181" s="3">
        <v>143.49299999999999</v>
      </c>
      <c r="I181" s="3">
        <v>32.176000000000002</v>
      </c>
      <c r="J181" s="3">
        <v>56.76</v>
      </c>
      <c r="K181" s="3">
        <v>25.693000000000001</v>
      </c>
      <c r="L181" s="3">
        <v>33.832000000000001</v>
      </c>
      <c r="M181" s="3" t="s">
        <v>81</v>
      </c>
      <c r="N181" s="3" t="s">
        <v>81</v>
      </c>
      <c r="O181" s="3" t="s">
        <v>81</v>
      </c>
      <c r="P181" s="3" t="s">
        <v>81</v>
      </c>
      <c r="Q181" s="3">
        <v>206.06800000000001</v>
      </c>
      <c r="R181" s="3">
        <v>2</v>
      </c>
      <c r="S181" s="3">
        <v>119.60899999999999</v>
      </c>
      <c r="T181" s="3">
        <v>31.361999999999998</v>
      </c>
      <c r="U181" s="3">
        <v>63.085999999999999</v>
      </c>
      <c r="V181" s="3">
        <v>34.978999999999999</v>
      </c>
      <c r="W181" s="3">
        <v>21.956</v>
      </c>
      <c r="X181" s="3" t="s">
        <v>81</v>
      </c>
      <c r="Y181" s="3" t="s">
        <v>81</v>
      </c>
      <c r="Z181" s="3" t="s">
        <v>81</v>
      </c>
      <c r="AA181" s="3" t="s">
        <v>81</v>
      </c>
      <c r="AB181" s="3">
        <v>199.01599999999999</v>
      </c>
      <c r="AC181" s="3">
        <v>2</v>
      </c>
      <c r="AD181" s="3">
        <v>124.372</v>
      </c>
      <c r="AE181" s="3">
        <v>37.985999999999997</v>
      </c>
      <c r="AF181" s="3">
        <v>54.481999999999999</v>
      </c>
      <c r="AG181" s="3">
        <v>21.635999999999999</v>
      </c>
      <c r="AH181" s="3">
        <v>20.23</v>
      </c>
      <c r="AI181" s="3" t="s">
        <v>81</v>
      </c>
      <c r="AJ181" s="3" t="s">
        <v>81</v>
      </c>
      <c r="AK181" s="3" t="s">
        <v>81</v>
      </c>
      <c r="AL181" s="3" t="s">
        <v>81</v>
      </c>
      <c r="AM181" s="3">
        <v>201.994</v>
      </c>
      <c r="AN181" s="3">
        <v>2</v>
      </c>
      <c r="AO181" s="3">
        <v>148.886</v>
      </c>
      <c r="AP181" s="3" t="s">
        <v>81</v>
      </c>
      <c r="AQ181" s="3">
        <v>48.305</v>
      </c>
      <c r="AR181" s="3">
        <v>23.652999999999999</v>
      </c>
      <c r="AS181" s="3">
        <v>6.0110000000000001</v>
      </c>
      <c r="AT181" s="3" t="s">
        <v>81</v>
      </c>
      <c r="AU181" s="3" t="s">
        <v>81</v>
      </c>
      <c r="AV181" s="3" t="s">
        <v>81</v>
      </c>
      <c r="AW181" s="3" t="s">
        <v>81</v>
      </c>
      <c r="AX181" s="3">
        <v>220.655</v>
      </c>
      <c r="AY181" s="3">
        <v>2</v>
      </c>
      <c r="AZ181" s="3">
        <v>129.376</v>
      </c>
      <c r="BA181" s="3">
        <v>33.058999999999997</v>
      </c>
      <c r="BB181" s="3">
        <v>53.761000000000003</v>
      </c>
      <c r="BC181" s="3">
        <v>23.172999999999998</v>
      </c>
      <c r="BD181" s="3">
        <v>32.162999999999997</v>
      </c>
      <c r="BE181" s="3" t="s">
        <v>81</v>
      </c>
      <c r="BF181" s="3" t="s">
        <v>81</v>
      </c>
      <c r="BG181" s="3" t="s">
        <v>81</v>
      </c>
      <c r="BH181" s="3" t="s">
        <v>81</v>
      </c>
      <c r="BI181" s="3" t="s">
        <v>84</v>
      </c>
      <c r="BJ181" s="3" t="s">
        <v>82</v>
      </c>
      <c r="BK181" s="3" t="s">
        <v>83</v>
      </c>
      <c r="BL181" s="3" t="s">
        <v>84</v>
      </c>
      <c r="BM181" s="3" t="s">
        <v>84</v>
      </c>
      <c r="BN181" s="3" t="s">
        <v>82</v>
      </c>
      <c r="BO181" s="3" t="s">
        <v>84</v>
      </c>
      <c r="BP181" s="3" t="s">
        <v>137</v>
      </c>
      <c r="BQ181" s="3" t="s">
        <v>137</v>
      </c>
      <c r="BR181" s="3" t="s">
        <v>137</v>
      </c>
      <c r="BS181" s="3" t="s">
        <v>487</v>
      </c>
      <c r="BT181" s="3" t="s">
        <v>106</v>
      </c>
      <c r="BU181" s="3" t="s">
        <v>129</v>
      </c>
      <c r="BV181" s="3" t="s">
        <v>84</v>
      </c>
      <c r="BW181" s="3" t="s">
        <v>83</v>
      </c>
      <c r="BX181" s="3" t="s">
        <v>82</v>
      </c>
      <c r="BY181" s="3" t="s">
        <v>488</v>
      </c>
      <c r="BZ181" s="3" t="s">
        <v>93</v>
      </c>
      <c r="CB181" s="3" t="s">
        <v>84</v>
      </c>
    </row>
    <row r="182" spans="1:87" x14ac:dyDescent="0.15">
      <c r="A182" s="3">
        <v>1847936427</v>
      </c>
      <c r="B182" s="3" t="s">
        <v>527</v>
      </c>
      <c r="C182" s="3" t="s">
        <v>527</v>
      </c>
      <c r="D182" s="3">
        <v>6</v>
      </c>
      <c r="E182" s="3">
        <v>8</v>
      </c>
      <c r="F182" s="3">
        <v>55.595999999999997</v>
      </c>
      <c r="G182" s="3">
        <v>0</v>
      </c>
      <c r="H182" s="3" t="s">
        <v>81</v>
      </c>
      <c r="I182" s="3" t="s">
        <v>81</v>
      </c>
      <c r="J182" s="3" t="s">
        <v>81</v>
      </c>
      <c r="K182" s="3" t="s">
        <v>81</v>
      </c>
      <c r="L182" s="3" t="s">
        <v>81</v>
      </c>
      <c r="M182" s="3" t="s">
        <v>81</v>
      </c>
      <c r="N182" s="3" t="s">
        <v>81</v>
      </c>
      <c r="O182" s="3" t="s">
        <v>81</v>
      </c>
      <c r="P182" s="3" t="s">
        <v>81</v>
      </c>
      <c r="Q182" s="3">
        <v>55.726999999999997</v>
      </c>
      <c r="R182" s="3">
        <v>0</v>
      </c>
      <c r="S182" s="3" t="s">
        <v>81</v>
      </c>
      <c r="T182" s="3" t="s">
        <v>81</v>
      </c>
      <c r="U182" s="3" t="s">
        <v>81</v>
      </c>
      <c r="V182" s="3" t="s">
        <v>81</v>
      </c>
      <c r="W182" s="3" t="s">
        <v>81</v>
      </c>
      <c r="X182" s="3" t="s">
        <v>81</v>
      </c>
      <c r="Y182" s="3" t="s">
        <v>81</v>
      </c>
      <c r="Z182" s="3" t="s">
        <v>81</v>
      </c>
      <c r="AA182" s="3" t="s">
        <v>81</v>
      </c>
      <c r="AB182" s="3">
        <v>54.759</v>
      </c>
      <c r="AC182" s="3">
        <v>0</v>
      </c>
      <c r="AD182" s="3" t="s">
        <v>81</v>
      </c>
      <c r="AE182" s="3" t="s">
        <v>81</v>
      </c>
      <c r="AF182" s="3" t="s">
        <v>81</v>
      </c>
      <c r="AG182" s="3" t="s">
        <v>81</v>
      </c>
      <c r="AH182" s="3" t="s">
        <v>81</v>
      </c>
      <c r="AI182" s="3" t="s">
        <v>81</v>
      </c>
      <c r="AJ182" s="3" t="s">
        <v>81</v>
      </c>
      <c r="AK182" s="3" t="s">
        <v>81</v>
      </c>
      <c r="AL182" s="3" t="s">
        <v>81</v>
      </c>
      <c r="AM182" s="3">
        <v>54.866999999999997</v>
      </c>
      <c r="AN182" s="3">
        <v>0</v>
      </c>
      <c r="AO182" s="3" t="s">
        <v>81</v>
      </c>
      <c r="AP182" s="3" t="s">
        <v>81</v>
      </c>
      <c r="AQ182" s="3" t="s">
        <v>81</v>
      </c>
      <c r="AR182" s="3" t="s">
        <v>81</v>
      </c>
      <c r="AS182" s="3" t="s">
        <v>81</v>
      </c>
      <c r="AT182" s="3" t="s">
        <v>81</v>
      </c>
      <c r="AU182" s="3" t="s">
        <v>81</v>
      </c>
      <c r="AV182" s="3" t="s">
        <v>81</v>
      </c>
      <c r="AW182" s="3" t="s">
        <v>81</v>
      </c>
      <c r="AX182" s="3" t="s">
        <v>81</v>
      </c>
      <c r="AY182" s="3" t="s">
        <v>81</v>
      </c>
      <c r="AZ182" s="3" t="s">
        <v>81</v>
      </c>
      <c r="BA182" s="3" t="s">
        <v>81</v>
      </c>
      <c r="BB182" s="3" t="s">
        <v>81</v>
      </c>
      <c r="BC182" s="3" t="s">
        <v>81</v>
      </c>
      <c r="BD182" s="3" t="s">
        <v>81</v>
      </c>
      <c r="BE182" s="3" t="s">
        <v>81</v>
      </c>
      <c r="BF182" s="3" t="s">
        <v>81</v>
      </c>
      <c r="BG182" s="3" t="s">
        <v>81</v>
      </c>
      <c r="BH182" s="3" t="s">
        <v>81</v>
      </c>
      <c r="BI182" s="3" t="s">
        <v>84</v>
      </c>
      <c r="BJ182" s="3" t="s">
        <v>84</v>
      </c>
      <c r="BK182" s="3" t="s">
        <v>82</v>
      </c>
      <c r="BL182" s="3" t="s">
        <v>84</v>
      </c>
      <c r="BM182" s="3" t="s">
        <v>84</v>
      </c>
      <c r="BN182" s="3" t="s">
        <v>82</v>
      </c>
      <c r="BO182" s="3" t="s">
        <v>83</v>
      </c>
      <c r="BP182" s="3" t="s">
        <v>528</v>
      </c>
      <c r="BQ182" s="3" t="s">
        <v>528</v>
      </c>
      <c r="BR182" s="3" t="s">
        <v>528</v>
      </c>
      <c r="BS182" s="3" t="s">
        <v>528</v>
      </c>
      <c r="BT182" s="3" t="s">
        <v>87</v>
      </c>
      <c r="BU182" s="3" t="s">
        <v>129</v>
      </c>
      <c r="BV182" s="3" t="s">
        <v>82</v>
      </c>
      <c r="BW182" s="3" t="s">
        <v>91</v>
      </c>
      <c r="BX182" s="3" t="s">
        <v>84</v>
      </c>
      <c r="BY182" s="3" t="s">
        <v>261</v>
      </c>
      <c r="BZ182" s="3" t="s">
        <v>93</v>
      </c>
      <c r="CA182" s="3" t="s">
        <v>103</v>
      </c>
      <c r="CB182" s="3" t="s">
        <v>84</v>
      </c>
      <c r="CC182" s="3"/>
      <c r="CD182" s="3"/>
      <c r="CE182" s="3"/>
      <c r="CF182" s="3"/>
      <c r="CG182" s="3"/>
      <c r="CH182" s="3"/>
      <c r="CI182" s="3"/>
    </row>
    <row r="183" spans="1:87" x14ac:dyDescent="0.15">
      <c r="A183" s="3">
        <v>1228336591</v>
      </c>
      <c r="B183" s="3" t="s">
        <v>213</v>
      </c>
      <c r="C183" s="3" t="s">
        <v>213</v>
      </c>
      <c r="D183" s="3">
        <v>3</v>
      </c>
      <c r="E183" s="3">
        <v>12</v>
      </c>
      <c r="F183" s="3">
        <v>41.365000000000002</v>
      </c>
      <c r="G183" s="3">
        <v>0</v>
      </c>
      <c r="H183" s="3" t="s">
        <v>81</v>
      </c>
      <c r="I183" s="3" t="s">
        <v>81</v>
      </c>
      <c r="J183" s="3" t="s">
        <v>81</v>
      </c>
      <c r="K183" s="3" t="s">
        <v>81</v>
      </c>
      <c r="L183" s="3" t="s">
        <v>81</v>
      </c>
      <c r="M183" s="3" t="s">
        <v>81</v>
      </c>
      <c r="N183" s="3" t="s">
        <v>81</v>
      </c>
      <c r="O183" s="3" t="s">
        <v>81</v>
      </c>
      <c r="P183" s="3" t="s">
        <v>81</v>
      </c>
      <c r="Q183" s="3">
        <v>37.438000000000002</v>
      </c>
      <c r="R183" s="3">
        <v>0</v>
      </c>
      <c r="S183" s="3" t="s">
        <v>81</v>
      </c>
      <c r="T183" s="3" t="s">
        <v>81</v>
      </c>
      <c r="U183" s="3" t="s">
        <v>81</v>
      </c>
      <c r="V183" s="3" t="s">
        <v>81</v>
      </c>
      <c r="W183" s="3" t="s">
        <v>81</v>
      </c>
      <c r="X183" s="3" t="s">
        <v>81</v>
      </c>
      <c r="Y183" s="3" t="s">
        <v>81</v>
      </c>
      <c r="Z183" s="3" t="s">
        <v>81</v>
      </c>
      <c r="AA183" s="3" t="s">
        <v>81</v>
      </c>
      <c r="AB183" s="3">
        <v>40.049999999999997</v>
      </c>
      <c r="AC183" s="3">
        <v>0</v>
      </c>
      <c r="AD183" s="3" t="s">
        <v>81</v>
      </c>
      <c r="AE183" s="3" t="s">
        <v>81</v>
      </c>
      <c r="AF183" s="3" t="s">
        <v>81</v>
      </c>
      <c r="AG183" s="3" t="s">
        <v>81</v>
      </c>
      <c r="AH183" s="3" t="s">
        <v>81</v>
      </c>
      <c r="AI183" s="3" t="s">
        <v>81</v>
      </c>
      <c r="AJ183" s="3" t="s">
        <v>81</v>
      </c>
      <c r="AK183" s="3" t="s">
        <v>81</v>
      </c>
      <c r="AL183" s="3" t="s">
        <v>81</v>
      </c>
      <c r="AM183" s="3">
        <v>39.36</v>
      </c>
      <c r="AN183" s="3">
        <v>0</v>
      </c>
      <c r="AO183" s="3" t="s">
        <v>81</v>
      </c>
      <c r="AP183" s="3" t="s">
        <v>81</v>
      </c>
      <c r="AQ183" s="3" t="s">
        <v>81</v>
      </c>
      <c r="AR183" s="3" t="s">
        <v>81</v>
      </c>
      <c r="AS183" s="3" t="s">
        <v>81</v>
      </c>
      <c r="AT183" s="3" t="s">
        <v>81</v>
      </c>
      <c r="AU183" s="3" t="s">
        <v>81</v>
      </c>
      <c r="AV183" s="3" t="s">
        <v>81</v>
      </c>
      <c r="AW183" s="3" t="s">
        <v>81</v>
      </c>
      <c r="AX183" s="3">
        <v>40.034999999999997</v>
      </c>
      <c r="AY183" s="3">
        <v>0</v>
      </c>
      <c r="AZ183" s="3" t="s">
        <v>81</v>
      </c>
      <c r="BA183" s="3" t="s">
        <v>81</v>
      </c>
      <c r="BB183" s="3" t="s">
        <v>81</v>
      </c>
      <c r="BC183" s="3" t="s">
        <v>81</v>
      </c>
      <c r="BD183" s="3" t="s">
        <v>81</v>
      </c>
      <c r="BE183" s="3" t="s">
        <v>81</v>
      </c>
      <c r="BF183" s="3" t="s">
        <v>81</v>
      </c>
      <c r="BG183" s="3" t="s">
        <v>81</v>
      </c>
      <c r="BH183" s="3" t="s">
        <v>81</v>
      </c>
      <c r="BI183" s="3" t="s">
        <v>84</v>
      </c>
      <c r="BJ183" s="3" t="s">
        <v>82</v>
      </c>
      <c r="BK183" s="3" t="s">
        <v>83</v>
      </c>
      <c r="BL183" s="3" t="s">
        <v>84</v>
      </c>
      <c r="BM183" s="3" t="s">
        <v>84</v>
      </c>
      <c r="BN183" s="3" t="s">
        <v>84</v>
      </c>
      <c r="BO183" s="3" t="s">
        <v>84</v>
      </c>
      <c r="BP183" s="3" t="s">
        <v>81</v>
      </c>
      <c r="BQ183" s="3" t="s">
        <v>81</v>
      </c>
      <c r="BR183" s="3" t="s">
        <v>81</v>
      </c>
      <c r="BS183" s="3" t="s">
        <v>81</v>
      </c>
      <c r="BT183" s="3" t="s">
        <v>81</v>
      </c>
      <c r="BU183" s="3" t="s">
        <v>81</v>
      </c>
      <c r="BV183" s="3" t="s">
        <v>84</v>
      </c>
      <c r="BW183" s="3" t="s">
        <v>83</v>
      </c>
      <c r="BX183" s="3" t="s">
        <v>82</v>
      </c>
      <c r="BY183" s="3" t="s">
        <v>214</v>
      </c>
      <c r="BZ183" s="3" t="s">
        <v>93</v>
      </c>
      <c r="CA183" s="3" t="s">
        <v>103</v>
      </c>
      <c r="CB183" s="3" t="s">
        <v>84</v>
      </c>
      <c r="CC183" s="3"/>
      <c r="CD183" s="3"/>
      <c r="CE183" s="3"/>
      <c r="CF183" s="3"/>
      <c r="CG183" s="3"/>
      <c r="CH183" s="3"/>
      <c r="CI183" s="3"/>
    </row>
    <row r="184" spans="1:87" x14ac:dyDescent="0.15">
      <c r="A184" s="3">
        <v>1318223189</v>
      </c>
      <c r="B184" s="3" t="s">
        <v>375</v>
      </c>
      <c r="C184" s="3" t="s">
        <v>376</v>
      </c>
      <c r="D184" s="3">
        <v>4</v>
      </c>
      <c r="E184" s="3">
        <v>4</v>
      </c>
      <c r="F184" s="3">
        <v>186.96299999999999</v>
      </c>
      <c r="G184" s="3">
        <v>3</v>
      </c>
      <c r="H184" s="3">
        <v>75.453000000000003</v>
      </c>
      <c r="I184" s="3" t="s">
        <v>81</v>
      </c>
      <c r="J184" s="3">
        <v>68.495999999999995</v>
      </c>
      <c r="K184" s="3">
        <v>25.056999999999999</v>
      </c>
      <c r="L184" s="3" t="s">
        <v>81</v>
      </c>
      <c r="M184" s="3" t="s">
        <v>81</v>
      </c>
      <c r="N184" s="3" t="s">
        <v>81</v>
      </c>
      <c r="O184" s="3" t="s">
        <v>81</v>
      </c>
      <c r="P184" s="3" t="s">
        <v>81</v>
      </c>
      <c r="Q184" s="3">
        <v>182.12200000000001</v>
      </c>
      <c r="R184" s="3">
        <v>0</v>
      </c>
      <c r="S184" s="3">
        <v>80.56</v>
      </c>
      <c r="T184" s="3">
        <v>26.135000000000002</v>
      </c>
      <c r="U184" s="3">
        <v>67.477999999999994</v>
      </c>
      <c r="V184" s="3">
        <v>24.004000000000001</v>
      </c>
      <c r="W184" s="3">
        <v>27.170999999999999</v>
      </c>
      <c r="X184" s="3">
        <v>7.6379999999999999</v>
      </c>
      <c r="Y184" s="3">
        <v>5.3209999999999997</v>
      </c>
      <c r="Z184" s="3" t="s">
        <v>81</v>
      </c>
      <c r="AA184" s="3" t="s">
        <v>81</v>
      </c>
      <c r="AB184" s="3">
        <v>189.05699999999999</v>
      </c>
      <c r="AC184" s="3">
        <v>3</v>
      </c>
      <c r="AD184" s="3">
        <v>77.02</v>
      </c>
      <c r="AE184" s="3">
        <v>26.718</v>
      </c>
      <c r="AF184" s="3">
        <v>72.911000000000001</v>
      </c>
      <c r="AG184" s="3">
        <v>22.413</v>
      </c>
      <c r="AH184" s="3">
        <v>30.681999999999999</v>
      </c>
      <c r="AI184" s="3">
        <v>5.3890000000000002</v>
      </c>
      <c r="AJ184" s="3">
        <v>4.5819999999999999</v>
      </c>
      <c r="AK184" s="3" t="s">
        <v>81</v>
      </c>
      <c r="AL184" s="3" t="s">
        <v>81</v>
      </c>
      <c r="AM184" s="3" t="s">
        <v>81</v>
      </c>
      <c r="AN184" s="3" t="s">
        <v>81</v>
      </c>
      <c r="AO184" s="3" t="s">
        <v>81</v>
      </c>
      <c r="AP184" s="3" t="s">
        <v>81</v>
      </c>
      <c r="AQ184" s="3" t="s">
        <v>81</v>
      </c>
      <c r="AR184" s="3" t="s">
        <v>81</v>
      </c>
      <c r="AS184" s="3" t="s">
        <v>81</v>
      </c>
      <c r="AT184" s="3" t="s">
        <v>81</v>
      </c>
      <c r="AU184" s="3" t="s">
        <v>81</v>
      </c>
      <c r="AV184" s="3" t="s">
        <v>81</v>
      </c>
      <c r="AW184" s="3" t="s">
        <v>81</v>
      </c>
      <c r="AX184" s="3" t="s">
        <v>81</v>
      </c>
      <c r="AY184" s="3" t="s">
        <v>81</v>
      </c>
      <c r="AZ184" s="3" t="s">
        <v>81</v>
      </c>
      <c r="BA184" s="3" t="s">
        <v>81</v>
      </c>
      <c r="BB184" s="3" t="s">
        <v>81</v>
      </c>
      <c r="BC184" s="3" t="s">
        <v>81</v>
      </c>
      <c r="BD184" s="3" t="s">
        <v>81</v>
      </c>
      <c r="BE184" s="3" t="s">
        <v>81</v>
      </c>
      <c r="BF184" s="3" t="s">
        <v>81</v>
      </c>
      <c r="BG184" s="3" t="s">
        <v>81</v>
      </c>
      <c r="BH184" s="3" t="s">
        <v>81</v>
      </c>
      <c r="BI184" s="3" t="s">
        <v>84</v>
      </c>
      <c r="BJ184" s="3" t="s">
        <v>82</v>
      </c>
      <c r="BK184" s="3" t="s">
        <v>83</v>
      </c>
      <c r="BL184" s="3" t="s">
        <v>84</v>
      </c>
      <c r="BM184" s="3" t="s">
        <v>84</v>
      </c>
      <c r="BN184" s="3" t="s">
        <v>82</v>
      </c>
      <c r="BO184" s="3" t="s">
        <v>84</v>
      </c>
      <c r="BP184" s="3" t="s">
        <v>106</v>
      </c>
      <c r="BQ184" s="3" t="s">
        <v>106</v>
      </c>
      <c r="BR184" s="3" t="s">
        <v>106</v>
      </c>
      <c r="BS184" s="3" t="s">
        <v>377</v>
      </c>
      <c r="BT184" s="3" t="s">
        <v>106</v>
      </c>
      <c r="BU184" s="3" t="s">
        <v>81</v>
      </c>
      <c r="BV184" s="3" t="s">
        <v>82</v>
      </c>
      <c r="BW184" s="3" t="s">
        <v>111</v>
      </c>
      <c r="BX184" s="3" t="s">
        <v>82</v>
      </c>
      <c r="BY184" s="3" t="s">
        <v>378</v>
      </c>
      <c r="BZ184" s="3" t="s">
        <v>86</v>
      </c>
      <c r="CB184" s="3" t="s">
        <v>84</v>
      </c>
    </row>
    <row r="185" spans="1:87" x14ac:dyDescent="0.15">
      <c r="A185" s="3">
        <v>2625896710</v>
      </c>
      <c r="B185" s="3" t="s">
        <v>375</v>
      </c>
      <c r="C185" s="3" t="s">
        <v>376</v>
      </c>
      <c r="D185" s="3">
        <v>3</v>
      </c>
      <c r="E185" s="3">
        <v>4</v>
      </c>
      <c r="F185" s="3">
        <v>82.575999999999993</v>
      </c>
      <c r="G185" s="3">
        <v>3</v>
      </c>
      <c r="H185" s="3">
        <v>45.11</v>
      </c>
      <c r="I185" s="3">
        <v>16.210999999999999</v>
      </c>
      <c r="J185" s="3">
        <v>29.946000000000002</v>
      </c>
      <c r="K185" s="3">
        <v>5.4740000000000002</v>
      </c>
      <c r="L185" s="3">
        <v>3.9119999999999999</v>
      </c>
      <c r="M185" s="3">
        <v>1.974</v>
      </c>
      <c r="N185" s="3">
        <v>1.411</v>
      </c>
      <c r="O185" s="3" t="s">
        <v>81</v>
      </c>
      <c r="P185" s="3" t="s">
        <v>81</v>
      </c>
      <c r="Q185" s="3">
        <v>90.454999999999998</v>
      </c>
      <c r="R185" s="3">
        <v>3</v>
      </c>
      <c r="S185" s="3">
        <v>50.881</v>
      </c>
      <c r="T185" s="3">
        <v>19.257000000000001</v>
      </c>
      <c r="U185" s="3">
        <v>30.141999999999999</v>
      </c>
      <c r="V185" s="3">
        <v>8.4489999999999998</v>
      </c>
      <c r="W185" s="3">
        <v>6.6210000000000004</v>
      </c>
      <c r="X185" s="3">
        <v>2.9079999999999999</v>
      </c>
      <c r="Y185" s="3">
        <v>1.9790000000000001</v>
      </c>
      <c r="Z185" s="3" t="s">
        <v>81</v>
      </c>
      <c r="AA185" s="3" t="s">
        <v>81</v>
      </c>
      <c r="AB185" s="3">
        <v>84.971000000000004</v>
      </c>
      <c r="AC185" s="3">
        <v>3</v>
      </c>
      <c r="AD185" s="3">
        <v>46.34</v>
      </c>
      <c r="AE185" s="3">
        <v>17.434999999999999</v>
      </c>
      <c r="AF185" s="3">
        <v>27.792000000000002</v>
      </c>
      <c r="AG185" s="3">
        <v>9.1140000000000008</v>
      </c>
      <c r="AH185" s="3">
        <v>7.0869999999999997</v>
      </c>
      <c r="AI185" s="3">
        <v>2.3969999999999998</v>
      </c>
      <c r="AJ185" s="3">
        <v>1.093</v>
      </c>
      <c r="AK185" s="3" t="s">
        <v>81</v>
      </c>
      <c r="AL185" s="3" t="s">
        <v>81</v>
      </c>
      <c r="AM185" s="3" t="s">
        <v>81</v>
      </c>
      <c r="AN185" s="3" t="s">
        <v>81</v>
      </c>
      <c r="AO185" s="3" t="s">
        <v>81</v>
      </c>
      <c r="AP185" s="3" t="s">
        <v>81</v>
      </c>
      <c r="AQ185" s="3" t="s">
        <v>81</v>
      </c>
      <c r="AR185" s="3" t="s">
        <v>81</v>
      </c>
      <c r="AS185" s="3" t="s">
        <v>81</v>
      </c>
      <c r="AT185" s="3" t="s">
        <v>81</v>
      </c>
      <c r="AU185" s="3" t="s">
        <v>81</v>
      </c>
      <c r="AV185" s="3" t="s">
        <v>81</v>
      </c>
      <c r="AW185" s="3" t="s">
        <v>81</v>
      </c>
      <c r="AX185" s="3" t="s">
        <v>81</v>
      </c>
      <c r="AY185" s="3" t="s">
        <v>81</v>
      </c>
      <c r="AZ185" s="3" t="s">
        <v>81</v>
      </c>
      <c r="BA185" s="3" t="s">
        <v>81</v>
      </c>
      <c r="BB185" s="3" t="s">
        <v>81</v>
      </c>
      <c r="BC185" s="3" t="s">
        <v>81</v>
      </c>
      <c r="BD185" s="3" t="s">
        <v>81</v>
      </c>
      <c r="BE185" s="3" t="s">
        <v>81</v>
      </c>
      <c r="BF185" s="3" t="s">
        <v>81</v>
      </c>
      <c r="BG185" s="3" t="s">
        <v>81</v>
      </c>
      <c r="BH185" s="3" t="s">
        <v>81</v>
      </c>
      <c r="BI185" s="3" t="s">
        <v>84</v>
      </c>
      <c r="BJ185" s="3" t="s">
        <v>82</v>
      </c>
      <c r="BK185" s="3" t="s">
        <v>83</v>
      </c>
      <c r="BL185" s="3" t="s">
        <v>84</v>
      </c>
      <c r="BM185" s="3" t="s">
        <v>82</v>
      </c>
      <c r="BN185" s="3" t="s">
        <v>82</v>
      </c>
      <c r="BO185" s="3" t="s">
        <v>83</v>
      </c>
      <c r="BP185" s="3" t="s">
        <v>106</v>
      </c>
      <c r="BQ185" s="3" t="s">
        <v>106</v>
      </c>
      <c r="BR185" s="3" t="s">
        <v>106</v>
      </c>
      <c r="BS185" s="3" t="s">
        <v>106</v>
      </c>
      <c r="BT185" s="3" t="s">
        <v>106</v>
      </c>
      <c r="BU185" s="3" t="s">
        <v>81</v>
      </c>
      <c r="BV185" s="3" t="s">
        <v>82</v>
      </c>
      <c r="BW185" s="3" t="s">
        <v>111</v>
      </c>
      <c r="BX185" s="3" t="s">
        <v>82</v>
      </c>
      <c r="BZ185" s="3" t="s">
        <v>86</v>
      </c>
      <c r="CB185" s="3" t="s">
        <v>84</v>
      </c>
    </row>
    <row r="186" spans="1:87" x14ac:dyDescent="0.15">
      <c r="A186" s="3">
        <v>2643381674</v>
      </c>
      <c r="B186" s="3" t="s">
        <v>375</v>
      </c>
      <c r="C186" s="3" t="s">
        <v>376</v>
      </c>
      <c r="D186" s="3">
        <v>3</v>
      </c>
      <c r="E186" s="3">
        <v>3</v>
      </c>
      <c r="F186" s="3">
        <v>206.16399999999999</v>
      </c>
      <c r="G186" s="3">
        <v>5</v>
      </c>
      <c r="H186" s="3">
        <v>73.462000000000003</v>
      </c>
      <c r="I186" s="3">
        <v>38.021000000000001</v>
      </c>
      <c r="J186" s="3">
        <v>45.341000000000001</v>
      </c>
      <c r="K186" s="3">
        <v>26.858000000000001</v>
      </c>
      <c r="L186" s="3">
        <v>22.294</v>
      </c>
      <c r="M186" s="3">
        <v>26.058</v>
      </c>
      <c r="N186" s="3">
        <v>17.837</v>
      </c>
      <c r="O186" s="3" t="s">
        <v>81</v>
      </c>
      <c r="P186" s="3">
        <v>17.248000000000001</v>
      </c>
      <c r="Q186" s="3">
        <v>212.97200000000001</v>
      </c>
      <c r="R186" s="3">
        <v>5</v>
      </c>
      <c r="S186" s="3">
        <v>77.33</v>
      </c>
      <c r="T186" s="3">
        <v>35.529000000000003</v>
      </c>
      <c r="U186" s="3">
        <v>40.415999999999997</v>
      </c>
      <c r="V186" s="3">
        <v>29.9</v>
      </c>
      <c r="W186" s="3">
        <v>26.111999999999998</v>
      </c>
      <c r="X186" s="3">
        <v>26.119</v>
      </c>
      <c r="Y186" s="3">
        <v>22.157</v>
      </c>
      <c r="Z186" s="3">
        <v>22.521999999999998</v>
      </c>
      <c r="AA186" s="3">
        <v>15.867000000000001</v>
      </c>
      <c r="AB186" s="3">
        <v>207.636</v>
      </c>
      <c r="AC186" s="3">
        <v>6</v>
      </c>
      <c r="AD186" s="3">
        <v>81.596000000000004</v>
      </c>
      <c r="AE186" s="3">
        <v>30.95</v>
      </c>
      <c r="AF186" s="3">
        <v>38.213999999999999</v>
      </c>
      <c r="AG186" s="3">
        <v>30.033999999999999</v>
      </c>
      <c r="AH186" s="3">
        <v>24.917000000000002</v>
      </c>
      <c r="AI186" s="3" t="s">
        <v>81</v>
      </c>
      <c r="AJ186" s="3">
        <v>21.004999999999999</v>
      </c>
      <c r="AK186" s="3">
        <v>20.978999999999999</v>
      </c>
      <c r="AL186" s="3">
        <v>14.39</v>
      </c>
      <c r="AM186" s="3" t="s">
        <v>81</v>
      </c>
      <c r="AN186" s="3" t="s">
        <v>81</v>
      </c>
      <c r="AO186" s="3" t="s">
        <v>81</v>
      </c>
      <c r="AP186" s="3" t="s">
        <v>81</v>
      </c>
      <c r="AQ186" s="3" t="s">
        <v>81</v>
      </c>
      <c r="AR186" s="3" t="s">
        <v>81</v>
      </c>
      <c r="AS186" s="3" t="s">
        <v>81</v>
      </c>
      <c r="AT186" s="3" t="s">
        <v>81</v>
      </c>
      <c r="AU186" s="3" t="s">
        <v>81</v>
      </c>
      <c r="AV186" s="3" t="s">
        <v>81</v>
      </c>
      <c r="AW186" s="3" t="s">
        <v>81</v>
      </c>
      <c r="AX186" s="3" t="s">
        <v>81</v>
      </c>
      <c r="AY186" s="3" t="s">
        <v>81</v>
      </c>
      <c r="AZ186" s="3" t="s">
        <v>81</v>
      </c>
      <c r="BA186" s="3" t="s">
        <v>81</v>
      </c>
      <c r="BB186" s="3" t="s">
        <v>81</v>
      </c>
      <c r="BC186" s="3" t="s">
        <v>81</v>
      </c>
      <c r="BD186" s="3" t="s">
        <v>81</v>
      </c>
      <c r="BE186" s="3" t="s">
        <v>81</v>
      </c>
      <c r="BF186" s="3" t="s">
        <v>81</v>
      </c>
      <c r="BG186" s="3" t="s">
        <v>81</v>
      </c>
      <c r="BH186" s="3" t="s">
        <v>81</v>
      </c>
      <c r="BI186" s="3" t="s">
        <v>84</v>
      </c>
      <c r="BJ186" s="3" t="s">
        <v>84</v>
      </c>
      <c r="BK186" s="3" t="s">
        <v>84</v>
      </c>
      <c r="BL186" s="3" t="s">
        <v>84</v>
      </c>
      <c r="BM186" s="3" t="s">
        <v>84</v>
      </c>
      <c r="BN186" s="3" t="s">
        <v>82</v>
      </c>
      <c r="BO186" s="3" t="s">
        <v>83</v>
      </c>
      <c r="BP186" s="3" t="s">
        <v>106</v>
      </c>
      <c r="BQ186" s="3" t="s">
        <v>106</v>
      </c>
      <c r="BR186" s="3" t="s">
        <v>106</v>
      </c>
      <c r="BS186" s="3" t="s">
        <v>106</v>
      </c>
      <c r="BT186" s="3" t="s">
        <v>106</v>
      </c>
      <c r="BU186" s="3" t="s">
        <v>81</v>
      </c>
      <c r="BV186" s="3" t="s">
        <v>82</v>
      </c>
      <c r="BW186" s="3" t="s">
        <v>111</v>
      </c>
      <c r="BX186" s="3" t="s">
        <v>82</v>
      </c>
      <c r="BZ186" s="3" t="s">
        <v>86</v>
      </c>
      <c r="CB186" s="3" t="s">
        <v>84</v>
      </c>
    </row>
    <row r="187" spans="1:87" x14ac:dyDescent="0.15">
      <c r="A187" s="3">
        <v>1228266180</v>
      </c>
      <c r="B187" s="3" t="s">
        <v>376</v>
      </c>
      <c r="C187" s="3" t="s">
        <v>376</v>
      </c>
      <c r="D187" s="3">
        <v>5</v>
      </c>
      <c r="E187" s="3">
        <v>5</v>
      </c>
      <c r="F187" s="3">
        <v>421.80399999999997</v>
      </c>
      <c r="G187" s="3">
        <v>6</v>
      </c>
      <c r="H187" s="3">
        <v>129.56700000000001</v>
      </c>
      <c r="I187" s="3">
        <v>32.421999999999997</v>
      </c>
      <c r="J187" s="3">
        <v>77.504999999999995</v>
      </c>
      <c r="K187" s="3">
        <v>37.281999999999996</v>
      </c>
      <c r="L187" s="3">
        <v>61.981000000000002</v>
      </c>
      <c r="M187" s="3">
        <v>34.993000000000002</v>
      </c>
      <c r="N187" s="3">
        <v>41.319000000000003</v>
      </c>
      <c r="O187" s="3">
        <v>35.347999999999999</v>
      </c>
      <c r="P187" s="3">
        <v>40.658999999999999</v>
      </c>
      <c r="Q187" s="3" t="s">
        <v>81</v>
      </c>
      <c r="R187" s="3">
        <v>7</v>
      </c>
      <c r="S187" s="3">
        <v>105.245</v>
      </c>
      <c r="T187" s="3">
        <v>29.027999999999999</v>
      </c>
      <c r="U187" s="3">
        <v>83.88</v>
      </c>
      <c r="V187" s="3">
        <v>33.314999999999998</v>
      </c>
      <c r="W187" s="3">
        <v>60.363</v>
      </c>
      <c r="X187" s="3">
        <v>41.442</v>
      </c>
      <c r="Y187" s="3">
        <v>58.826999999999998</v>
      </c>
      <c r="Z187" s="3">
        <v>36.003999999999998</v>
      </c>
      <c r="AA187" s="3">
        <v>49.957999999999998</v>
      </c>
      <c r="AB187" s="3" t="s">
        <v>81</v>
      </c>
      <c r="AC187" s="3" t="s">
        <v>81</v>
      </c>
      <c r="AD187" s="3" t="s">
        <v>81</v>
      </c>
      <c r="AE187" s="3" t="s">
        <v>81</v>
      </c>
      <c r="AF187" s="3" t="s">
        <v>81</v>
      </c>
      <c r="AG187" s="3" t="s">
        <v>81</v>
      </c>
      <c r="AH187" s="3" t="s">
        <v>81</v>
      </c>
      <c r="AI187" s="3" t="s">
        <v>81</v>
      </c>
      <c r="AJ187" s="3" t="s">
        <v>81</v>
      </c>
      <c r="AK187" s="3" t="s">
        <v>81</v>
      </c>
      <c r="AL187" s="3" t="s">
        <v>81</v>
      </c>
      <c r="AM187" s="3" t="s">
        <v>81</v>
      </c>
      <c r="AN187" s="3" t="s">
        <v>81</v>
      </c>
      <c r="AO187" s="3" t="s">
        <v>81</v>
      </c>
      <c r="AP187" s="3" t="s">
        <v>81</v>
      </c>
      <c r="AQ187" s="3" t="s">
        <v>81</v>
      </c>
      <c r="AR187" s="3" t="s">
        <v>81</v>
      </c>
      <c r="AS187" s="3" t="s">
        <v>81</v>
      </c>
      <c r="AT187" s="3" t="s">
        <v>81</v>
      </c>
      <c r="AU187" s="3" t="s">
        <v>81</v>
      </c>
      <c r="AV187" s="3" t="s">
        <v>81</v>
      </c>
      <c r="AW187" s="3" t="s">
        <v>81</v>
      </c>
      <c r="AX187" s="3" t="s">
        <v>81</v>
      </c>
      <c r="AY187" s="3" t="s">
        <v>81</v>
      </c>
      <c r="AZ187" s="3" t="s">
        <v>81</v>
      </c>
      <c r="BA187" s="3" t="s">
        <v>81</v>
      </c>
      <c r="BB187" s="3" t="s">
        <v>81</v>
      </c>
      <c r="BC187" s="3" t="s">
        <v>81</v>
      </c>
      <c r="BD187" s="3" t="s">
        <v>81</v>
      </c>
      <c r="BE187" s="3" t="s">
        <v>81</v>
      </c>
      <c r="BF187" s="3" t="s">
        <v>81</v>
      </c>
      <c r="BG187" s="3" t="s">
        <v>81</v>
      </c>
      <c r="BH187" s="3" t="s">
        <v>81</v>
      </c>
      <c r="BI187" s="3" t="s">
        <v>84</v>
      </c>
      <c r="BJ187" s="3" t="s">
        <v>84</v>
      </c>
      <c r="BK187" s="3" t="s">
        <v>84</v>
      </c>
      <c r="BL187" s="3" t="s">
        <v>84</v>
      </c>
      <c r="BM187" s="3" t="s">
        <v>84</v>
      </c>
      <c r="BN187" s="3" t="s">
        <v>82</v>
      </c>
      <c r="BO187" s="3" t="s">
        <v>84</v>
      </c>
      <c r="BP187" s="3" t="s">
        <v>106</v>
      </c>
      <c r="BQ187" s="3" t="s">
        <v>106</v>
      </c>
      <c r="BR187" s="3" t="s">
        <v>205</v>
      </c>
      <c r="BS187" s="3" t="s">
        <v>379</v>
      </c>
      <c r="BT187" s="3" t="s">
        <v>106</v>
      </c>
      <c r="BU187" s="3" t="s">
        <v>205</v>
      </c>
      <c r="BV187" s="3" t="s">
        <v>82</v>
      </c>
      <c r="BW187" s="3" t="s">
        <v>111</v>
      </c>
      <c r="BX187" s="3" t="s">
        <v>82</v>
      </c>
      <c r="BY187" s="3" t="s">
        <v>380</v>
      </c>
      <c r="BZ187" s="3" t="s">
        <v>93</v>
      </c>
      <c r="CB187" s="3" t="s">
        <v>84</v>
      </c>
    </row>
    <row r="188" spans="1:87" x14ac:dyDescent="0.15">
      <c r="A188" s="3">
        <v>1228371759</v>
      </c>
      <c r="B188" s="3" t="s">
        <v>376</v>
      </c>
      <c r="C188" s="3" t="s">
        <v>376</v>
      </c>
      <c r="D188" s="3">
        <v>2</v>
      </c>
      <c r="E188" s="3">
        <v>2</v>
      </c>
      <c r="F188" s="3">
        <v>129.69</v>
      </c>
      <c r="G188" s="3">
        <v>4</v>
      </c>
      <c r="H188" s="3">
        <v>48.566000000000003</v>
      </c>
      <c r="I188" s="3">
        <v>22.481999999999999</v>
      </c>
      <c r="J188" s="3">
        <v>41.018999999999998</v>
      </c>
      <c r="K188" s="3">
        <v>15.916</v>
      </c>
      <c r="L188" s="3">
        <v>22.805</v>
      </c>
      <c r="M188" s="3">
        <v>16.798999999999999</v>
      </c>
      <c r="N188" s="3">
        <v>12.548999999999999</v>
      </c>
      <c r="O188" s="3">
        <v>29.216000000000001</v>
      </c>
      <c r="P188" s="3">
        <v>1.0169999999999999</v>
      </c>
      <c r="Q188" s="3" t="s">
        <v>81</v>
      </c>
      <c r="R188" s="3" t="s">
        <v>81</v>
      </c>
      <c r="S188" s="3" t="s">
        <v>81</v>
      </c>
      <c r="T188" s="3" t="s">
        <v>81</v>
      </c>
      <c r="U188" s="3" t="s">
        <v>81</v>
      </c>
      <c r="V188" s="3" t="s">
        <v>81</v>
      </c>
      <c r="W188" s="3" t="s">
        <v>81</v>
      </c>
      <c r="X188" s="3" t="s">
        <v>81</v>
      </c>
      <c r="Y188" s="3" t="s">
        <v>81</v>
      </c>
      <c r="Z188" s="3" t="s">
        <v>81</v>
      </c>
      <c r="AA188" s="3" t="s">
        <v>81</v>
      </c>
      <c r="AB188" s="3" t="s">
        <v>81</v>
      </c>
      <c r="AC188" s="3" t="s">
        <v>81</v>
      </c>
      <c r="AD188" s="3" t="s">
        <v>81</v>
      </c>
      <c r="AE188" s="3" t="s">
        <v>81</v>
      </c>
      <c r="AF188" s="3" t="s">
        <v>81</v>
      </c>
      <c r="AG188" s="3" t="s">
        <v>81</v>
      </c>
      <c r="AH188" s="3" t="s">
        <v>81</v>
      </c>
      <c r="AI188" s="3" t="s">
        <v>81</v>
      </c>
      <c r="AJ188" s="3" t="s">
        <v>81</v>
      </c>
      <c r="AK188" s="3" t="s">
        <v>81</v>
      </c>
      <c r="AL188" s="3" t="s">
        <v>81</v>
      </c>
      <c r="AM188" s="3" t="s">
        <v>81</v>
      </c>
      <c r="AN188" s="3" t="s">
        <v>81</v>
      </c>
      <c r="AO188" s="3" t="s">
        <v>81</v>
      </c>
      <c r="AP188" s="3" t="s">
        <v>81</v>
      </c>
      <c r="AQ188" s="3" t="s">
        <v>81</v>
      </c>
      <c r="AR188" s="3" t="s">
        <v>81</v>
      </c>
      <c r="AS188" s="3" t="s">
        <v>81</v>
      </c>
      <c r="AT188" s="3" t="s">
        <v>81</v>
      </c>
      <c r="AU188" s="3" t="s">
        <v>81</v>
      </c>
      <c r="AV188" s="3" t="s">
        <v>81</v>
      </c>
      <c r="AW188" s="3" t="s">
        <v>81</v>
      </c>
      <c r="AX188" s="3" t="s">
        <v>81</v>
      </c>
      <c r="AY188" s="3" t="s">
        <v>81</v>
      </c>
      <c r="AZ188" s="3" t="s">
        <v>81</v>
      </c>
      <c r="BA188" s="3" t="s">
        <v>81</v>
      </c>
      <c r="BB188" s="3" t="s">
        <v>81</v>
      </c>
      <c r="BC188" s="3" t="s">
        <v>81</v>
      </c>
      <c r="BD188" s="3" t="s">
        <v>81</v>
      </c>
      <c r="BE188" s="3" t="s">
        <v>81</v>
      </c>
      <c r="BF188" s="3" t="s">
        <v>81</v>
      </c>
      <c r="BG188" s="3" t="s">
        <v>81</v>
      </c>
      <c r="BH188" s="3" t="s">
        <v>81</v>
      </c>
      <c r="BI188" s="3" t="s">
        <v>84</v>
      </c>
      <c r="BJ188" s="3" t="s">
        <v>84</v>
      </c>
      <c r="BK188" s="3" t="s">
        <v>84</v>
      </c>
      <c r="BL188" s="3" t="s">
        <v>84</v>
      </c>
      <c r="BM188" s="3" t="s">
        <v>84</v>
      </c>
      <c r="BN188" s="3" t="s">
        <v>82</v>
      </c>
      <c r="BO188" s="3" t="s">
        <v>83</v>
      </c>
      <c r="BP188" s="3" t="s">
        <v>106</v>
      </c>
      <c r="BQ188" s="3" t="s">
        <v>106</v>
      </c>
      <c r="BR188" s="3" t="s">
        <v>106</v>
      </c>
      <c r="BS188" s="3" t="s">
        <v>106</v>
      </c>
      <c r="BT188" s="3" t="s">
        <v>106</v>
      </c>
      <c r="BU188" s="3" t="s">
        <v>81</v>
      </c>
      <c r="BV188" s="3" t="s">
        <v>82</v>
      </c>
      <c r="BW188" s="3" t="s">
        <v>111</v>
      </c>
      <c r="BX188" s="3" t="s">
        <v>82</v>
      </c>
      <c r="BY188" s="3" t="s">
        <v>381</v>
      </c>
      <c r="BZ188" s="3" t="s">
        <v>93</v>
      </c>
      <c r="CB188" s="3" t="s">
        <v>84</v>
      </c>
    </row>
    <row r="189" spans="1:87" x14ac:dyDescent="0.15">
      <c r="A189" s="3">
        <v>1699821181</v>
      </c>
      <c r="B189" s="3" t="s">
        <v>382</v>
      </c>
      <c r="C189" s="3" t="s">
        <v>382</v>
      </c>
      <c r="D189" s="3">
        <v>3</v>
      </c>
      <c r="E189" s="3">
        <v>3</v>
      </c>
      <c r="F189" s="3"/>
      <c r="G189" s="3">
        <v>2</v>
      </c>
      <c r="H189" s="3" t="s">
        <v>81</v>
      </c>
      <c r="I189" s="3" t="s">
        <v>81</v>
      </c>
      <c r="J189" s="3" t="s">
        <v>81</v>
      </c>
      <c r="K189" s="3" t="s">
        <v>81</v>
      </c>
      <c r="L189" s="3" t="s">
        <v>81</v>
      </c>
      <c r="M189" s="3" t="s">
        <v>81</v>
      </c>
      <c r="N189" s="3" t="s">
        <v>81</v>
      </c>
      <c r="O189" s="3" t="s">
        <v>81</v>
      </c>
      <c r="P189" s="3" t="s">
        <v>81</v>
      </c>
      <c r="Q189" s="3" t="s">
        <v>81</v>
      </c>
      <c r="R189" s="3">
        <v>0</v>
      </c>
      <c r="S189" s="3" t="s">
        <v>81</v>
      </c>
      <c r="T189" s="3" t="s">
        <v>81</v>
      </c>
      <c r="U189" s="3" t="s">
        <v>81</v>
      </c>
      <c r="V189" s="3" t="s">
        <v>81</v>
      </c>
      <c r="W189" s="3" t="s">
        <v>81</v>
      </c>
      <c r="X189" s="3" t="s">
        <v>81</v>
      </c>
      <c r="Y189" s="3" t="s">
        <v>81</v>
      </c>
      <c r="Z189" s="3" t="s">
        <v>81</v>
      </c>
      <c r="AA189" s="3" t="s">
        <v>81</v>
      </c>
      <c r="AB189" s="3" t="s">
        <v>81</v>
      </c>
      <c r="AC189" s="3">
        <v>0</v>
      </c>
      <c r="AD189" s="3" t="s">
        <v>81</v>
      </c>
      <c r="AE189" s="3" t="s">
        <v>81</v>
      </c>
      <c r="AF189" s="3" t="s">
        <v>81</v>
      </c>
      <c r="AG189" s="3" t="s">
        <v>81</v>
      </c>
      <c r="AH189" s="3" t="s">
        <v>81</v>
      </c>
      <c r="AI189" s="3" t="s">
        <v>81</v>
      </c>
      <c r="AJ189" s="3" t="s">
        <v>81</v>
      </c>
      <c r="AK189" s="3" t="s">
        <v>81</v>
      </c>
      <c r="AL189" s="3" t="s">
        <v>81</v>
      </c>
      <c r="AM189" s="3" t="s">
        <v>81</v>
      </c>
      <c r="AN189" s="3">
        <v>0</v>
      </c>
      <c r="AO189" s="3" t="s">
        <v>81</v>
      </c>
      <c r="AP189" s="3" t="s">
        <v>81</v>
      </c>
      <c r="AQ189" s="3" t="s">
        <v>81</v>
      </c>
      <c r="AR189" s="3" t="s">
        <v>81</v>
      </c>
      <c r="AS189" s="3" t="s">
        <v>81</v>
      </c>
      <c r="AT189" s="3" t="s">
        <v>81</v>
      </c>
      <c r="AU189" s="3" t="s">
        <v>81</v>
      </c>
      <c r="AV189" s="3" t="s">
        <v>81</v>
      </c>
      <c r="AW189" s="3" t="s">
        <v>81</v>
      </c>
      <c r="AX189" s="3" t="s">
        <v>81</v>
      </c>
      <c r="AY189" s="3">
        <v>0</v>
      </c>
      <c r="AZ189" s="3" t="s">
        <v>81</v>
      </c>
      <c r="BA189" s="3" t="s">
        <v>81</v>
      </c>
      <c r="BB189" s="3" t="s">
        <v>81</v>
      </c>
      <c r="BC189" s="3" t="s">
        <v>81</v>
      </c>
      <c r="BD189" s="3" t="s">
        <v>81</v>
      </c>
      <c r="BE189" s="3" t="s">
        <v>81</v>
      </c>
      <c r="BF189" s="3" t="s">
        <v>81</v>
      </c>
      <c r="BG189" s="3" t="s">
        <v>81</v>
      </c>
      <c r="BH189" s="3" t="s">
        <v>81</v>
      </c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 t="s">
        <v>84</v>
      </c>
      <c r="CC189" s="3"/>
      <c r="CD189" s="3"/>
      <c r="CE189" s="3"/>
      <c r="CF189" s="3"/>
      <c r="CG189" s="3"/>
      <c r="CH189" s="3"/>
      <c r="CI189" s="3"/>
    </row>
    <row r="190" spans="1:87" x14ac:dyDescent="0.15">
      <c r="A190" s="3">
        <v>912335811</v>
      </c>
      <c r="B190" s="3" t="s">
        <v>382</v>
      </c>
      <c r="C190" s="3" t="s">
        <v>382</v>
      </c>
      <c r="D190" s="3">
        <v>2</v>
      </c>
      <c r="E190" s="3">
        <v>2</v>
      </c>
      <c r="F190" s="3">
        <v>32.046999999999997</v>
      </c>
      <c r="G190" s="3">
        <v>1</v>
      </c>
      <c r="H190" s="3">
        <v>1.946</v>
      </c>
      <c r="I190" s="3">
        <v>6.6120000000000001</v>
      </c>
      <c r="J190" s="3">
        <v>29.015000000000001</v>
      </c>
      <c r="K190" s="3" t="s">
        <v>81</v>
      </c>
      <c r="L190" s="3" t="s">
        <v>81</v>
      </c>
      <c r="M190" s="3" t="s">
        <v>81</v>
      </c>
      <c r="N190" s="3" t="s">
        <v>81</v>
      </c>
      <c r="O190" s="3" t="s">
        <v>81</v>
      </c>
      <c r="P190" s="3" t="s">
        <v>81</v>
      </c>
      <c r="Q190" s="3">
        <v>17.834</v>
      </c>
      <c r="R190" s="3">
        <v>1</v>
      </c>
      <c r="S190" s="3">
        <v>2.931</v>
      </c>
      <c r="T190" s="3">
        <v>7.2229999999999999</v>
      </c>
      <c r="U190" s="3">
        <v>13.202999999999999</v>
      </c>
      <c r="V190" s="3" t="s">
        <v>81</v>
      </c>
      <c r="W190" s="3" t="s">
        <v>81</v>
      </c>
      <c r="X190" s="3" t="s">
        <v>81</v>
      </c>
      <c r="Y190" s="3" t="s">
        <v>81</v>
      </c>
      <c r="Z190" s="3" t="s">
        <v>81</v>
      </c>
      <c r="AA190" s="3" t="s">
        <v>81</v>
      </c>
      <c r="AB190" s="3" t="s">
        <v>81</v>
      </c>
      <c r="AC190" s="3" t="s">
        <v>81</v>
      </c>
      <c r="AD190" s="3" t="s">
        <v>81</v>
      </c>
      <c r="AE190" s="3" t="s">
        <v>81</v>
      </c>
      <c r="AF190" s="3" t="s">
        <v>81</v>
      </c>
      <c r="AG190" s="3" t="s">
        <v>81</v>
      </c>
      <c r="AH190" s="3" t="s">
        <v>81</v>
      </c>
      <c r="AI190" s="3" t="s">
        <v>81</v>
      </c>
      <c r="AJ190" s="3" t="s">
        <v>81</v>
      </c>
      <c r="AK190" s="3" t="s">
        <v>81</v>
      </c>
      <c r="AL190" s="3" t="s">
        <v>81</v>
      </c>
      <c r="AM190" s="3" t="s">
        <v>81</v>
      </c>
      <c r="AN190" s="3" t="s">
        <v>81</v>
      </c>
      <c r="AO190" s="3" t="s">
        <v>81</v>
      </c>
      <c r="AP190" s="3" t="s">
        <v>81</v>
      </c>
      <c r="AQ190" s="3" t="s">
        <v>81</v>
      </c>
      <c r="AR190" s="3" t="s">
        <v>81</v>
      </c>
      <c r="AS190" s="3" t="s">
        <v>81</v>
      </c>
      <c r="AT190" s="3" t="s">
        <v>81</v>
      </c>
      <c r="AU190" s="3" t="s">
        <v>81</v>
      </c>
      <c r="AV190" s="3" t="s">
        <v>81</v>
      </c>
      <c r="AW190" s="3" t="s">
        <v>81</v>
      </c>
      <c r="AX190" s="3" t="s">
        <v>81</v>
      </c>
      <c r="AY190" s="3" t="s">
        <v>81</v>
      </c>
      <c r="AZ190" s="3" t="s">
        <v>81</v>
      </c>
      <c r="BA190" s="3" t="s">
        <v>81</v>
      </c>
      <c r="BB190" s="3" t="s">
        <v>81</v>
      </c>
      <c r="BC190" s="3" t="s">
        <v>81</v>
      </c>
      <c r="BD190" s="3" t="s">
        <v>81</v>
      </c>
      <c r="BE190" s="3" t="s">
        <v>81</v>
      </c>
      <c r="BF190" s="3" t="s">
        <v>81</v>
      </c>
      <c r="BG190" s="3" t="s">
        <v>81</v>
      </c>
      <c r="BH190" s="3" t="s">
        <v>81</v>
      </c>
      <c r="BI190" s="3" t="s">
        <v>84</v>
      </c>
      <c r="BJ190" s="3" t="s">
        <v>82</v>
      </c>
      <c r="BK190" s="3" t="s">
        <v>83</v>
      </c>
      <c r="BL190" s="3" t="s">
        <v>84</v>
      </c>
      <c r="BM190" s="3" t="s">
        <v>84</v>
      </c>
      <c r="BN190" s="3" t="s">
        <v>82</v>
      </c>
      <c r="BO190" s="3" t="s">
        <v>83</v>
      </c>
      <c r="BP190" s="3" t="s">
        <v>81</v>
      </c>
      <c r="BQ190" s="3" t="s">
        <v>81</v>
      </c>
      <c r="BR190" s="3" t="s">
        <v>81</v>
      </c>
      <c r="BS190" s="3" t="s">
        <v>81</v>
      </c>
      <c r="BT190" s="3" t="s">
        <v>81</v>
      </c>
      <c r="BU190" s="3" t="s">
        <v>81</v>
      </c>
      <c r="BV190" s="3" t="s">
        <v>84</v>
      </c>
      <c r="BW190" s="3" t="s">
        <v>83</v>
      </c>
      <c r="BX190" s="3" t="s">
        <v>82</v>
      </c>
      <c r="BY190" s="3" t="s">
        <v>383</v>
      </c>
      <c r="BZ190" s="3" t="s">
        <v>384</v>
      </c>
      <c r="CA190" s="3"/>
      <c r="CB190" s="3" t="s">
        <v>84</v>
      </c>
      <c r="CC190" s="3"/>
      <c r="CD190" s="3"/>
      <c r="CE190" s="3"/>
      <c r="CF190" s="3"/>
      <c r="CG190" s="3"/>
      <c r="CH190" s="3"/>
      <c r="CI190" s="3"/>
    </row>
    <row r="191" spans="1:87" x14ac:dyDescent="0.15">
      <c r="A191" s="3">
        <v>1847924430</v>
      </c>
      <c r="B191" s="3" t="s">
        <v>469</v>
      </c>
      <c r="C191" s="3" t="s">
        <v>469</v>
      </c>
      <c r="D191" s="3" t="s">
        <v>81</v>
      </c>
      <c r="E191" s="3">
        <v>9</v>
      </c>
      <c r="F191" s="3">
        <v>39.061999999999998</v>
      </c>
      <c r="G191" s="3">
        <v>1</v>
      </c>
      <c r="H191" s="3">
        <v>21.24</v>
      </c>
      <c r="I191" s="3">
        <v>3.302</v>
      </c>
      <c r="J191" s="3">
        <v>16.32</v>
      </c>
      <c r="K191" s="3" t="s">
        <v>81</v>
      </c>
      <c r="L191" s="3" t="s">
        <v>81</v>
      </c>
      <c r="M191" s="3" t="s">
        <v>81</v>
      </c>
      <c r="N191" s="3" t="s">
        <v>81</v>
      </c>
      <c r="O191" s="3" t="s">
        <v>81</v>
      </c>
      <c r="P191" s="3" t="s">
        <v>81</v>
      </c>
      <c r="Q191" s="3">
        <v>34.786000000000001</v>
      </c>
      <c r="R191" s="3">
        <v>1</v>
      </c>
      <c r="S191" s="3">
        <v>19.219000000000001</v>
      </c>
      <c r="T191" s="3">
        <v>4.5709999999999997</v>
      </c>
      <c r="U191" s="3">
        <v>14.231999999999999</v>
      </c>
      <c r="V191" s="3" t="s">
        <v>81</v>
      </c>
      <c r="W191" s="3" t="s">
        <v>81</v>
      </c>
      <c r="X191" s="3" t="s">
        <v>81</v>
      </c>
      <c r="Y191" s="3" t="s">
        <v>81</v>
      </c>
      <c r="Z191" s="3" t="s">
        <v>81</v>
      </c>
      <c r="AA191" s="3" t="s">
        <v>81</v>
      </c>
      <c r="AB191" s="3">
        <v>31.404</v>
      </c>
      <c r="AC191" s="3">
        <v>1</v>
      </c>
      <c r="AD191" s="3">
        <v>18.704999999999998</v>
      </c>
      <c r="AE191" s="3">
        <v>4.58</v>
      </c>
      <c r="AF191" s="3">
        <v>14.722</v>
      </c>
      <c r="AG191" s="3" t="s">
        <v>81</v>
      </c>
      <c r="AH191" s="3" t="s">
        <v>81</v>
      </c>
      <c r="AI191" s="3" t="s">
        <v>81</v>
      </c>
      <c r="AJ191" s="3" t="s">
        <v>81</v>
      </c>
      <c r="AK191" s="3" t="s">
        <v>81</v>
      </c>
      <c r="AL191" s="3" t="s">
        <v>81</v>
      </c>
      <c r="AM191" s="3">
        <v>33.427999999999997</v>
      </c>
      <c r="AN191" s="3">
        <v>1</v>
      </c>
      <c r="AO191" s="3">
        <v>19.594000000000001</v>
      </c>
      <c r="AP191" s="3">
        <v>3.6339999999999999</v>
      </c>
      <c r="AQ191" s="3">
        <v>13.358000000000001</v>
      </c>
      <c r="AR191" s="3" t="s">
        <v>81</v>
      </c>
      <c r="AS191" s="3" t="s">
        <v>81</v>
      </c>
      <c r="AT191" s="3" t="s">
        <v>81</v>
      </c>
      <c r="AU191" s="3" t="s">
        <v>81</v>
      </c>
      <c r="AV191" s="3" t="s">
        <v>81</v>
      </c>
      <c r="AW191" s="3" t="s">
        <v>81</v>
      </c>
      <c r="AX191" s="3" t="s">
        <v>81</v>
      </c>
      <c r="AY191" s="3" t="s">
        <v>81</v>
      </c>
      <c r="AZ191" s="3" t="s">
        <v>81</v>
      </c>
      <c r="BA191" s="3" t="s">
        <v>81</v>
      </c>
      <c r="BB191" s="3" t="s">
        <v>81</v>
      </c>
      <c r="BC191" s="3" t="s">
        <v>81</v>
      </c>
      <c r="BD191" s="3" t="s">
        <v>81</v>
      </c>
      <c r="BE191" s="3" t="s">
        <v>81</v>
      </c>
      <c r="BF191" s="3" t="s">
        <v>81</v>
      </c>
      <c r="BG191" s="3" t="s">
        <v>81</v>
      </c>
      <c r="BH191" s="3" t="s">
        <v>81</v>
      </c>
      <c r="BI191" s="3" t="s">
        <v>84</v>
      </c>
      <c r="BJ191" s="3" t="s">
        <v>82</v>
      </c>
      <c r="BK191" s="3" t="s">
        <v>83</v>
      </c>
      <c r="BL191" s="3" t="s">
        <v>84</v>
      </c>
      <c r="BM191" s="3" t="s">
        <v>84</v>
      </c>
      <c r="BN191" s="3" t="s">
        <v>84</v>
      </c>
      <c r="BO191" s="3" t="s">
        <v>82</v>
      </c>
      <c r="BP191" s="3" t="s">
        <v>81</v>
      </c>
      <c r="BQ191" s="3" t="s">
        <v>81</v>
      </c>
      <c r="BR191" s="3" t="s">
        <v>81</v>
      </c>
      <c r="BS191" s="3" t="s">
        <v>81</v>
      </c>
      <c r="BT191" s="3" t="s">
        <v>81</v>
      </c>
      <c r="BU191" s="3" t="s">
        <v>81</v>
      </c>
      <c r="BV191" s="3" t="s">
        <v>84</v>
      </c>
      <c r="BW191" s="3" t="s">
        <v>83</v>
      </c>
      <c r="BX191" s="3" t="s">
        <v>82</v>
      </c>
      <c r="BY191" s="3" t="s">
        <v>470</v>
      </c>
      <c r="BZ191" s="3" t="s">
        <v>93</v>
      </c>
      <c r="CA191" s="3"/>
      <c r="CB191" s="3" t="s">
        <v>84</v>
      </c>
      <c r="CC191" s="3"/>
      <c r="CD191" s="3"/>
      <c r="CE191" s="3"/>
      <c r="CF191" s="3"/>
      <c r="CG191" s="3"/>
      <c r="CH191" s="3"/>
      <c r="CI191" s="3"/>
    </row>
    <row r="192" spans="1:87" x14ac:dyDescent="0.15">
      <c r="A192" s="3">
        <v>2625892819</v>
      </c>
      <c r="B192" s="3" t="s">
        <v>469</v>
      </c>
      <c r="C192" s="3" t="s">
        <v>469</v>
      </c>
      <c r="D192" s="3" t="s">
        <v>81</v>
      </c>
      <c r="E192" s="3">
        <v>7</v>
      </c>
      <c r="F192" s="3">
        <v>31.914999999999999</v>
      </c>
      <c r="G192" s="3">
        <v>1</v>
      </c>
      <c r="H192" s="3">
        <v>2.347</v>
      </c>
      <c r="I192" s="3">
        <v>18.579000000000001</v>
      </c>
      <c r="J192" s="3">
        <v>29.129000000000001</v>
      </c>
      <c r="K192" s="3" t="s">
        <v>81</v>
      </c>
      <c r="L192" s="3" t="s">
        <v>81</v>
      </c>
      <c r="M192" s="3" t="s">
        <v>81</v>
      </c>
      <c r="N192" s="3" t="s">
        <v>81</v>
      </c>
      <c r="O192" s="3" t="s">
        <v>81</v>
      </c>
      <c r="P192" s="3" t="s">
        <v>81</v>
      </c>
      <c r="Q192" s="3">
        <v>37.186999999999998</v>
      </c>
      <c r="R192" s="3">
        <v>1</v>
      </c>
      <c r="S192" s="3">
        <v>3.0390000000000001</v>
      </c>
      <c r="T192" s="3">
        <v>16.631</v>
      </c>
      <c r="U192" s="3">
        <v>34.317</v>
      </c>
      <c r="V192" s="3" t="s">
        <v>81</v>
      </c>
      <c r="W192" s="3" t="s">
        <v>81</v>
      </c>
      <c r="X192" s="3" t="s">
        <v>81</v>
      </c>
      <c r="Y192" s="3" t="s">
        <v>81</v>
      </c>
      <c r="Z192" s="3" t="s">
        <v>81</v>
      </c>
      <c r="AA192" s="3" t="s">
        <v>81</v>
      </c>
      <c r="AB192" s="3">
        <v>36.139000000000003</v>
      </c>
      <c r="AC192" s="3">
        <v>1</v>
      </c>
      <c r="AD192" s="3">
        <v>3.9929999999999999</v>
      </c>
      <c r="AE192" s="3">
        <v>18.143000000000001</v>
      </c>
      <c r="AF192" s="3">
        <v>31.861999999999998</v>
      </c>
      <c r="AG192" s="3" t="s">
        <v>81</v>
      </c>
      <c r="AH192" s="3" t="s">
        <v>81</v>
      </c>
      <c r="AI192" s="3" t="s">
        <v>81</v>
      </c>
      <c r="AJ192" s="3" t="s">
        <v>81</v>
      </c>
      <c r="AK192" s="3" t="s">
        <v>81</v>
      </c>
      <c r="AL192" s="3" t="s">
        <v>81</v>
      </c>
      <c r="AM192" s="3">
        <v>32.045000000000002</v>
      </c>
      <c r="AN192" s="3">
        <v>1</v>
      </c>
      <c r="AO192" s="3">
        <v>4.0990000000000002</v>
      </c>
      <c r="AP192" s="3">
        <v>13.247999999999999</v>
      </c>
      <c r="AQ192" s="3">
        <v>27.463000000000001</v>
      </c>
      <c r="AR192" s="3" t="s">
        <v>81</v>
      </c>
      <c r="AS192" s="3" t="s">
        <v>81</v>
      </c>
      <c r="AT192" s="3" t="s">
        <v>81</v>
      </c>
      <c r="AU192" s="3" t="s">
        <v>81</v>
      </c>
      <c r="AV192" s="3" t="s">
        <v>81</v>
      </c>
      <c r="AW192" s="3" t="s">
        <v>81</v>
      </c>
      <c r="AX192" s="3">
        <v>38.323</v>
      </c>
      <c r="AY192" s="3">
        <v>1</v>
      </c>
      <c r="AZ192" s="3">
        <v>10.085000000000001</v>
      </c>
      <c r="BA192" s="3">
        <v>11.731</v>
      </c>
      <c r="BB192" s="3">
        <v>27.852</v>
      </c>
      <c r="BC192" s="3" t="s">
        <v>81</v>
      </c>
      <c r="BD192" s="3" t="s">
        <v>81</v>
      </c>
      <c r="BE192" s="3" t="s">
        <v>81</v>
      </c>
      <c r="BF192" s="3" t="s">
        <v>81</v>
      </c>
      <c r="BG192" s="3" t="s">
        <v>81</v>
      </c>
      <c r="BH192" s="3" t="s">
        <v>81</v>
      </c>
      <c r="BI192" s="3" t="s">
        <v>84</v>
      </c>
      <c r="BJ192" s="3" t="s">
        <v>84</v>
      </c>
      <c r="BK192" s="3" t="s">
        <v>84</v>
      </c>
      <c r="BL192" s="3" t="s">
        <v>84</v>
      </c>
      <c r="BM192" s="3" t="s">
        <v>84</v>
      </c>
      <c r="BN192" s="3" t="s">
        <v>82</v>
      </c>
      <c r="BO192" s="3" t="s">
        <v>84</v>
      </c>
      <c r="BP192" s="3" t="s">
        <v>87</v>
      </c>
      <c r="BQ192" s="3" t="s">
        <v>87</v>
      </c>
      <c r="BR192" s="3" t="s">
        <v>87</v>
      </c>
      <c r="BS192" s="3" t="s">
        <v>471</v>
      </c>
      <c r="BT192" s="3" t="s">
        <v>87</v>
      </c>
      <c r="BU192" s="3" t="s">
        <v>81</v>
      </c>
      <c r="BV192" s="3" t="s">
        <v>84</v>
      </c>
      <c r="BW192" s="3" t="s">
        <v>83</v>
      </c>
      <c r="BX192" s="3" t="s">
        <v>82</v>
      </c>
      <c r="BZ192" s="3" t="s">
        <v>86</v>
      </c>
      <c r="CB192" s="3" t="s">
        <v>84</v>
      </c>
    </row>
    <row r="193" spans="1:80" x14ac:dyDescent="0.15">
      <c r="A193" s="3">
        <v>2643383797</v>
      </c>
      <c r="B193" s="3" t="s">
        <v>469</v>
      </c>
      <c r="C193" s="3" t="s">
        <v>469</v>
      </c>
      <c r="D193" s="3">
        <v>5</v>
      </c>
      <c r="E193" s="3">
        <v>10</v>
      </c>
      <c r="F193" s="3">
        <v>85.563000000000002</v>
      </c>
      <c r="G193" s="3">
        <v>2</v>
      </c>
      <c r="H193" s="3">
        <v>41.604999999999997</v>
      </c>
      <c r="I193" s="3">
        <v>10.151</v>
      </c>
      <c r="J193" s="3">
        <v>25.148</v>
      </c>
      <c r="K193" s="3">
        <v>6.9880000000000004</v>
      </c>
      <c r="L193" s="3">
        <v>17.175999999999998</v>
      </c>
      <c r="M193" s="3" t="s">
        <v>81</v>
      </c>
      <c r="N193" s="3" t="s">
        <v>81</v>
      </c>
      <c r="O193" s="3" t="s">
        <v>81</v>
      </c>
      <c r="P193" s="3" t="s">
        <v>81</v>
      </c>
      <c r="Q193" s="3">
        <v>80.881</v>
      </c>
      <c r="R193" s="3">
        <v>2</v>
      </c>
      <c r="S193" s="3">
        <v>43.195999999999998</v>
      </c>
      <c r="T193" s="3">
        <v>9.5239999999999991</v>
      </c>
      <c r="U193" s="3">
        <v>32.96</v>
      </c>
      <c r="V193" s="3">
        <v>8.5079999999999991</v>
      </c>
      <c r="W193" s="3">
        <v>5.0469999999999997</v>
      </c>
      <c r="X193" s="3" t="s">
        <v>81</v>
      </c>
      <c r="Y193" s="3" t="s">
        <v>81</v>
      </c>
      <c r="Z193" s="3" t="s">
        <v>81</v>
      </c>
      <c r="AA193" s="3" t="s">
        <v>81</v>
      </c>
      <c r="AB193" s="3">
        <v>85.87</v>
      </c>
      <c r="AC193" s="3">
        <v>2</v>
      </c>
      <c r="AD193" s="3">
        <v>37.883000000000003</v>
      </c>
      <c r="AE193" s="3">
        <v>14.513999999999999</v>
      </c>
      <c r="AF193" s="3">
        <v>33.887999999999998</v>
      </c>
      <c r="AG193" s="3">
        <v>5.9820000000000002</v>
      </c>
      <c r="AH193" s="3">
        <v>13.755000000000001</v>
      </c>
      <c r="AI193" s="3" t="s">
        <v>81</v>
      </c>
      <c r="AJ193" s="3" t="s">
        <v>81</v>
      </c>
      <c r="AK193" s="3" t="s">
        <v>81</v>
      </c>
      <c r="AL193" s="3" t="s">
        <v>81</v>
      </c>
      <c r="AM193" s="3">
        <v>83.915000000000006</v>
      </c>
      <c r="AN193" s="3">
        <v>2</v>
      </c>
      <c r="AO193" s="3">
        <v>38.814</v>
      </c>
      <c r="AP193" s="3">
        <v>9.0120000000000005</v>
      </c>
      <c r="AQ193" s="3">
        <v>29.385999999999999</v>
      </c>
      <c r="AR193" s="3">
        <v>7.3620000000000001</v>
      </c>
      <c r="AS193" s="3">
        <v>15.125</v>
      </c>
      <c r="AT193" s="3" t="s">
        <v>81</v>
      </c>
      <c r="AU193" s="3" t="s">
        <v>81</v>
      </c>
      <c r="AV193" s="3" t="s">
        <v>81</v>
      </c>
      <c r="AW193" s="3" t="s">
        <v>81</v>
      </c>
      <c r="AX193" s="3">
        <v>81.459000000000003</v>
      </c>
      <c r="AY193" s="3">
        <v>2</v>
      </c>
      <c r="AZ193" s="3">
        <v>45.268000000000001</v>
      </c>
      <c r="BA193" s="3">
        <v>6.8090000000000002</v>
      </c>
      <c r="BB193" s="3">
        <v>18.97</v>
      </c>
      <c r="BC193" s="3">
        <v>9.1980000000000004</v>
      </c>
      <c r="BD193" s="3">
        <v>17.021000000000001</v>
      </c>
      <c r="BE193" s="3" t="s">
        <v>81</v>
      </c>
      <c r="BF193" s="3" t="s">
        <v>81</v>
      </c>
      <c r="BG193" s="3" t="s">
        <v>81</v>
      </c>
      <c r="BH193" s="3" t="s">
        <v>81</v>
      </c>
      <c r="BI193" s="3" t="s">
        <v>84</v>
      </c>
      <c r="BJ193" s="3" t="s">
        <v>84</v>
      </c>
      <c r="BK193" s="3" t="s">
        <v>84</v>
      </c>
      <c r="BL193" s="3" t="s">
        <v>84</v>
      </c>
      <c r="BM193" s="3" t="s">
        <v>84</v>
      </c>
      <c r="BN193" s="3" t="s">
        <v>82</v>
      </c>
      <c r="BO193" s="3" t="s">
        <v>82</v>
      </c>
      <c r="BP193" s="3" t="s">
        <v>472</v>
      </c>
      <c r="BQ193" s="3" t="s">
        <v>472</v>
      </c>
      <c r="BR193" s="3" t="s">
        <v>473</v>
      </c>
      <c r="BS193" s="3" t="s">
        <v>473</v>
      </c>
      <c r="BT193" s="3" t="s">
        <v>106</v>
      </c>
      <c r="BU193" s="3" t="s">
        <v>474</v>
      </c>
      <c r="BV193" s="3" t="s">
        <v>84</v>
      </c>
      <c r="BW193" s="3" t="s">
        <v>83</v>
      </c>
      <c r="BX193" s="3" t="s">
        <v>82</v>
      </c>
      <c r="BZ193" s="3" t="s">
        <v>86</v>
      </c>
      <c r="CB193" s="3" t="s">
        <v>84</v>
      </c>
    </row>
  </sheetData>
  <phoneticPr fontId="4" type="noConversion"/>
  <dataValidations count="2">
    <dataValidation type="list" allowBlank="1" sqref="BV1:BV193 BI1:BO193 BX1:BX193" xr:uid="{D86DA675-1729-1247-A9FC-D66E2A8EC6BE}">
      <formula1>"Y,N,NA"</formula1>
    </dataValidation>
    <dataValidation type="list" allowBlank="1" sqref="BW1:BW193" xr:uid="{0DCCFC0E-7CF8-ED4D-8D02-FF5648203854}">
      <formula1>"Longer,Shorter,NA"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CI1009"/>
  <sheetViews>
    <sheetView workbookViewId="0">
      <pane xSplit="3" ySplit="1" topLeftCell="D69" activePane="bottomRight" state="frozen"/>
      <selection pane="topRight" activeCell="D1" sqref="D1"/>
      <selection pane="bottomLeft" activeCell="A2" sqref="A2"/>
      <selection pane="bottomRight" activeCell="B109" sqref="B109"/>
    </sheetView>
  </sheetViews>
  <sheetFormatPr baseColWidth="10" defaultColWidth="12.6640625" defaultRowHeight="15.75" customHeight="1" x14ac:dyDescent="0.15"/>
  <cols>
    <col min="1" max="1" width="14.5" customWidth="1"/>
    <col min="2" max="2" width="20" customWidth="1"/>
    <col min="3" max="3" width="20.1640625" customWidth="1"/>
    <col min="4" max="8" width="14.5" customWidth="1"/>
    <col min="9" max="9" width="18.5" customWidth="1"/>
    <col min="10" max="10" width="14.5" customWidth="1"/>
    <col min="11" max="11" width="19.5" customWidth="1"/>
    <col min="12" max="12" width="14.5" customWidth="1"/>
    <col min="13" max="13" width="19.6640625" customWidth="1"/>
    <col min="14" max="14" width="14.5" customWidth="1"/>
    <col min="15" max="15" width="19.1640625" customWidth="1"/>
    <col min="16" max="19" width="14.5" customWidth="1"/>
    <col min="20" max="20" width="15.33203125" customWidth="1"/>
    <col min="21" max="21" width="14.5" customWidth="1"/>
    <col min="22" max="22" width="16" customWidth="1"/>
    <col min="23" max="23" width="14.5" customWidth="1"/>
    <col min="24" max="24" width="15.6640625" customWidth="1"/>
    <col min="25" max="25" width="14.5" customWidth="1"/>
    <col min="26" max="26" width="15.33203125" customWidth="1"/>
    <col min="27" max="30" width="14.5" customWidth="1"/>
    <col min="31" max="31" width="15.6640625" customWidth="1"/>
    <col min="32" max="32" width="14.5" customWidth="1"/>
    <col min="33" max="33" width="16" customWidth="1"/>
    <col min="34" max="34" width="14.5" customWidth="1"/>
    <col min="35" max="35" width="15.5" customWidth="1"/>
    <col min="36" max="36" width="14.5" customWidth="1"/>
    <col min="37" max="37" width="15" customWidth="1"/>
    <col min="38" max="41" width="14.5" customWidth="1"/>
    <col min="42" max="42" width="15.5" customWidth="1"/>
    <col min="43" max="43" width="14.5" customWidth="1"/>
    <col min="44" max="44" width="15.1640625" customWidth="1"/>
    <col min="45" max="45" width="14.5" customWidth="1"/>
    <col min="46" max="46" width="15.5" customWidth="1"/>
    <col min="47" max="47" width="14.5" customWidth="1"/>
    <col min="48" max="48" width="16.1640625" customWidth="1"/>
    <col min="49" max="52" width="14.5" customWidth="1"/>
    <col min="53" max="53" width="16.1640625" customWidth="1"/>
    <col min="54" max="54" width="14.5" customWidth="1"/>
    <col min="55" max="55" width="16.1640625" customWidth="1"/>
    <col min="56" max="56" width="14.5" customWidth="1"/>
    <col min="57" max="57" width="16.1640625" customWidth="1"/>
    <col min="58" max="58" width="14.5" customWidth="1"/>
    <col min="59" max="59" width="17" customWidth="1"/>
    <col min="60" max="73" width="14.5" customWidth="1"/>
    <col min="74" max="74" width="17.83203125" customWidth="1"/>
    <col min="75" max="78" width="14.5" customWidth="1"/>
    <col min="82" max="82" width="13" customWidth="1"/>
    <col min="83" max="83" width="14.33203125" customWidth="1"/>
    <col min="84" max="84" width="14.83203125" customWidth="1"/>
    <col min="85" max="85" width="19.5" customWidth="1"/>
  </cols>
  <sheetData>
    <row r="1" spans="1:87" ht="16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/>
      <c r="CB1" s="1" t="s">
        <v>78</v>
      </c>
      <c r="CC1" s="1" t="s">
        <v>79</v>
      </c>
      <c r="CD1" s="1" t="s">
        <v>533</v>
      </c>
      <c r="CE1" s="1" t="s">
        <v>534</v>
      </c>
      <c r="CF1" s="10" t="s">
        <v>535</v>
      </c>
      <c r="CG1" s="1" t="s">
        <v>536</v>
      </c>
      <c r="CH1" s="1"/>
      <c r="CI1" s="2"/>
    </row>
    <row r="2" spans="1:87" ht="15.75" hidden="1" customHeight="1" x14ac:dyDescent="0.15">
      <c r="A2" s="3">
        <v>1318587845</v>
      </c>
      <c r="B2" s="3" t="s">
        <v>80</v>
      </c>
      <c r="C2" s="3" t="s">
        <v>80</v>
      </c>
      <c r="D2" s="3">
        <v>8</v>
      </c>
      <c r="E2" s="3">
        <v>10</v>
      </c>
      <c r="F2" s="3">
        <v>28.306000000000001</v>
      </c>
      <c r="G2" s="3">
        <v>0</v>
      </c>
      <c r="H2" s="3" t="s">
        <v>81</v>
      </c>
      <c r="I2" s="3" t="s">
        <v>81</v>
      </c>
      <c r="J2" s="3" t="s">
        <v>81</v>
      </c>
      <c r="K2" s="3" t="s">
        <v>81</v>
      </c>
      <c r="L2" s="3" t="s">
        <v>81</v>
      </c>
      <c r="M2" s="3" t="s">
        <v>81</v>
      </c>
      <c r="N2" s="3" t="s">
        <v>81</v>
      </c>
      <c r="O2" s="3" t="s">
        <v>81</v>
      </c>
      <c r="P2" s="3" t="s">
        <v>81</v>
      </c>
      <c r="Q2" s="3">
        <v>26.587</v>
      </c>
      <c r="R2" s="3">
        <v>0</v>
      </c>
      <c r="S2" s="3" t="s">
        <v>81</v>
      </c>
      <c r="T2" s="3" t="s">
        <v>81</v>
      </c>
      <c r="U2" s="3" t="s">
        <v>81</v>
      </c>
      <c r="V2" s="3" t="s">
        <v>81</v>
      </c>
      <c r="W2" s="3" t="s">
        <v>81</v>
      </c>
      <c r="X2" s="3" t="s">
        <v>81</v>
      </c>
      <c r="Y2" s="3" t="s">
        <v>81</v>
      </c>
      <c r="Z2" s="3" t="s">
        <v>81</v>
      </c>
      <c r="AA2" s="3" t="s">
        <v>81</v>
      </c>
      <c r="AB2" s="3">
        <v>30.436</v>
      </c>
      <c r="AC2" s="3">
        <v>0</v>
      </c>
      <c r="AD2" s="3" t="s">
        <v>81</v>
      </c>
      <c r="AE2" s="3" t="s">
        <v>81</v>
      </c>
      <c r="AF2" s="3" t="s">
        <v>81</v>
      </c>
      <c r="AG2" s="3" t="s">
        <v>81</v>
      </c>
      <c r="AH2" s="3" t="s">
        <v>81</v>
      </c>
      <c r="AI2" s="3" t="s">
        <v>81</v>
      </c>
      <c r="AJ2" s="3" t="s">
        <v>81</v>
      </c>
      <c r="AK2" s="3" t="s">
        <v>81</v>
      </c>
      <c r="AL2" s="3" t="s">
        <v>81</v>
      </c>
      <c r="AM2" s="3">
        <v>28.545999999999999</v>
      </c>
      <c r="AN2" s="3">
        <v>0</v>
      </c>
      <c r="AO2" s="3" t="s">
        <v>81</v>
      </c>
      <c r="AP2" s="3" t="s">
        <v>81</v>
      </c>
      <c r="AQ2" s="3" t="s">
        <v>81</v>
      </c>
      <c r="AR2" s="3" t="s">
        <v>81</v>
      </c>
      <c r="AS2" s="3" t="s">
        <v>81</v>
      </c>
      <c r="AT2" s="3" t="s">
        <v>81</v>
      </c>
      <c r="AU2" s="3" t="s">
        <v>81</v>
      </c>
      <c r="AV2" s="3" t="s">
        <v>81</v>
      </c>
      <c r="AW2" s="3" t="s">
        <v>81</v>
      </c>
      <c r="AX2" s="3">
        <v>26.484999999999999</v>
      </c>
      <c r="AY2" s="3">
        <v>0</v>
      </c>
      <c r="AZ2" s="3" t="s">
        <v>81</v>
      </c>
      <c r="BA2" s="3" t="s">
        <v>81</v>
      </c>
      <c r="BB2" s="3" t="s">
        <v>81</v>
      </c>
      <c r="BC2" s="3" t="s">
        <v>81</v>
      </c>
      <c r="BD2" s="3" t="s">
        <v>81</v>
      </c>
      <c r="BE2" s="3" t="s">
        <v>81</v>
      </c>
      <c r="BF2" s="3" t="s">
        <v>81</v>
      </c>
      <c r="BG2" s="3" t="s">
        <v>81</v>
      </c>
      <c r="BH2" s="3" t="s">
        <v>81</v>
      </c>
      <c r="BI2" s="3" t="s">
        <v>82</v>
      </c>
      <c r="BJ2" s="3" t="s">
        <v>82</v>
      </c>
      <c r="BK2" s="3" t="s">
        <v>83</v>
      </c>
      <c r="BL2" s="3" t="s">
        <v>84</v>
      </c>
      <c r="BM2" s="3" t="s">
        <v>84</v>
      </c>
      <c r="BN2" s="3"/>
      <c r="BO2" s="3" t="s">
        <v>82</v>
      </c>
      <c r="BP2" s="3" t="s">
        <v>85</v>
      </c>
      <c r="BQ2" s="3" t="s">
        <v>85</v>
      </c>
      <c r="BR2" s="3" t="s">
        <v>85</v>
      </c>
      <c r="BS2" s="3" t="s">
        <v>85</v>
      </c>
      <c r="BT2" s="3" t="s">
        <v>85</v>
      </c>
      <c r="BU2" s="3" t="s">
        <v>85</v>
      </c>
      <c r="BV2" s="3" t="s">
        <v>82</v>
      </c>
      <c r="BW2" s="3"/>
      <c r="BX2" s="3" t="s">
        <v>82</v>
      </c>
      <c r="BZ2" s="3" t="s">
        <v>86</v>
      </c>
      <c r="CD2">
        <v>12</v>
      </c>
    </row>
    <row r="3" spans="1:87" ht="15.75" hidden="1" customHeight="1" x14ac:dyDescent="0.15">
      <c r="A3" s="3">
        <v>1228605501</v>
      </c>
      <c r="B3" s="3" t="s">
        <v>80</v>
      </c>
      <c r="C3" s="3" t="s">
        <v>80</v>
      </c>
      <c r="D3" s="3">
        <v>5</v>
      </c>
      <c r="E3" s="3">
        <v>5</v>
      </c>
      <c r="F3" s="3">
        <v>25.317</v>
      </c>
      <c r="G3" s="3">
        <v>0</v>
      </c>
      <c r="H3" s="3" t="s">
        <v>81</v>
      </c>
      <c r="I3" s="3" t="s">
        <v>81</v>
      </c>
      <c r="J3" s="3" t="s">
        <v>81</v>
      </c>
      <c r="K3" s="3" t="s">
        <v>81</v>
      </c>
      <c r="L3" s="3" t="s">
        <v>81</v>
      </c>
      <c r="M3" s="3" t="s">
        <v>81</v>
      </c>
      <c r="N3" s="3" t="s">
        <v>81</v>
      </c>
      <c r="O3" s="3" t="s">
        <v>81</v>
      </c>
      <c r="P3" s="3" t="s">
        <v>81</v>
      </c>
      <c r="Q3" s="3">
        <v>23.773</v>
      </c>
      <c r="R3" s="3">
        <v>0</v>
      </c>
      <c r="S3" s="3" t="s">
        <v>81</v>
      </c>
      <c r="T3" s="3" t="s">
        <v>81</v>
      </c>
      <c r="U3" s="3" t="s">
        <v>81</v>
      </c>
      <c r="V3" s="3" t="s">
        <v>81</v>
      </c>
      <c r="W3" s="3" t="s">
        <v>81</v>
      </c>
      <c r="X3" s="3" t="s">
        <v>81</v>
      </c>
      <c r="Y3" s="3" t="s">
        <v>81</v>
      </c>
      <c r="Z3" s="3" t="s">
        <v>81</v>
      </c>
      <c r="AA3" s="3" t="s">
        <v>81</v>
      </c>
      <c r="AB3" s="3">
        <v>28.484000000000002</v>
      </c>
      <c r="AC3" s="3">
        <v>0</v>
      </c>
      <c r="AD3" s="3" t="s">
        <v>81</v>
      </c>
      <c r="AE3" s="3" t="s">
        <v>81</v>
      </c>
      <c r="AF3" s="3" t="s">
        <v>81</v>
      </c>
      <c r="AG3" s="3" t="s">
        <v>81</v>
      </c>
      <c r="AH3" s="3" t="s">
        <v>81</v>
      </c>
      <c r="AI3" s="3" t="s">
        <v>81</v>
      </c>
      <c r="AJ3" s="3" t="s">
        <v>81</v>
      </c>
      <c r="AK3" s="3" t="s">
        <v>81</v>
      </c>
      <c r="AL3" s="3" t="s">
        <v>81</v>
      </c>
      <c r="AM3" s="3">
        <v>27.491</v>
      </c>
      <c r="AN3" s="3">
        <v>0</v>
      </c>
      <c r="AO3" s="3" t="s">
        <v>81</v>
      </c>
      <c r="AP3" s="3" t="s">
        <v>81</v>
      </c>
      <c r="AQ3" s="3" t="s">
        <v>81</v>
      </c>
      <c r="AR3" s="3" t="s">
        <v>81</v>
      </c>
      <c r="AS3" s="3" t="s">
        <v>81</v>
      </c>
      <c r="AT3" s="3" t="s">
        <v>81</v>
      </c>
      <c r="AU3" s="3" t="s">
        <v>81</v>
      </c>
      <c r="AV3" s="3" t="s">
        <v>81</v>
      </c>
      <c r="AW3" s="3" t="s">
        <v>81</v>
      </c>
      <c r="AX3" s="3" t="s">
        <v>81</v>
      </c>
      <c r="AY3" s="3" t="s">
        <v>81</v>
      </c>
      <c r="AZ3" s="3" t="s">
        <v>81</v>
      </c>
      <c r="BA3" s="3" t="s">
        <v>81</v>
      </c>
      <c r="BB3" s="3" t="s">
        <v>81</v>
      </c>
      <c r="BC3" s="3" t="s">
        <v>81</v>
      </c>
      <c r="BD3" s="3" t="s">
        <v>81</v>
      </c>
      <c r="BE3" s="3" t="s">
        <v>81</v>
      </c>
      <c r="BF3" s="3" t="s">
        <v>81</v>
      </c>
      <c r="BG3" s="3" t="s">
        <v>81</v>
      </c>
      <c r="BH3" s="3" t="s">
        <v>81</v>
      </c>
      <c r="BI3" s="3" t="s">
        <v>82</v>
      </c>
      <c r="BJ3" s="3" t="s">
        <v>82</v>
      </c>
      <c r="BK3" s="3" t="s">
        <v>83</v>
      </c>
      <c r="BL3" s="3" t="s">
        <v>84</v>
      </c>
      <c r="BM3" s="3" t="s">
        <v>84</v>
      </c>
      <c r="BN3" s="3" t="s">
        <v>84</v>
      </c>
      <c r="BO3" s="3" t="s">
        <v>82</v>
      </c>
      <c r="BP3" s="3" t="s">
        <v>87</v>
      </c>
      <c r="BQ3" s="3" t="s">
        <v>88</v>
      </c>
      <c r="BR3" s="3" t="s">
        <v>89</v>
      </c>
      <c r="BS3" s="3" t="s">
        <v>90</v>
      </c>
      <c r="BT3" s="3" t="s">
        <v>87</v>
      </c>
      <c r="BU3" s="3" t="s">
        <v>85</v>
      </c>
      <c r="BV3" s="3" t="s">
        <v>82</v>
      </c>
      <c r="BW3" s="3" t="s">
        <v>91</v>
      </c>
      <c r="BX3" s="3" t="s">
        <v>82</v>
      </c>
      <c r="BY3" s="3" t="s">
        <v>92</v>
      </c>
      <c r="BZ3" s="3" t="s">
        <v>93</v>
      </c>
      <c r="CD3">
        <v>5</v>
      </c>
      <c r="CE3">
        <v>6</v>
      </c>
    </row>
    <row r="4" spans="1:87" ht="15.75" hidden="1" customHeight="1" x14ac:dyDescent="0.15">
      <c r="A4" s="3">
        <v>1847922085</v>
      </c>
      <c r="B4" s="3" t="s">
        <v>80</v>
      </c>
      <c r="C4" s="3" t="s">
        <v>80</v>
      </c>
      <c r="D4" s="3">
        <v>6</v>
      </c>
      <c r="E4" s="3">
        <v>13</v>
      </c>
      <c r="F4" s="3">
        <v>42.813000000000002</v>
      </c>
      <c r="G4" s="3">
        <v>0</v>
      </c>
      <c r="H4" s="3" t="s">
        <v>81</v>
      </c>
      <c r="I4" s="3" t="s">
        <v>81</v>
      </c>
      <c r="J4" s="3" t="s">
        <v>81</v>
      </c>
      <c r="K4" s="3" t="s">
        <v>81</v>
      </c>
      <c r="L4" s="3" t="s">
        <v>81</v>
      </c>
      <c r="M4" s="3" t="s">
        <v>81</v>
      </c>
      <c r="N4" s="3" t="s">
        <v>81</v>
      </c>
      <c r="O4" s="3" t="s">
        <v>81</v>
      </c>
      <c r="P4" s="3" t="s">
        <v>81</v>
      </c>
      <c r="Q4" s="3">
        <v>42.543999999999997</v>
      </c>
      <c r="R4" s="3">
        <v>0</v>
      </c>
      <c r="S4" s="3" t="s">
        <v>81</v>
      </c>
      <c r="T4" s="3" t="s">
        <v>81</v>
      </c>
      <c r="U4" s="3" t="s">
        <v>81</v>
      </c>
      <c r="V4" s="3" t="s">
        <v>81</v>
      </c>
      <c r="W4" s="3" t="s">
        <v>81</v>
      </c>
      <c r="X4" s="3" t="s">
        <v>81</v>
      </c>
      <c r="Y4" s="3" t="s">
        <v>81</v>
      </c>
      <c r="Z4" s="3" t="s">
        <v>81</v>
      </c>
      <c r="AA4" s="3" t="s">
        <v>81</v>
      </c>
      <c r="AB4" s="3">
        <v>43.695999999999998</v>
      </c>
      <c r="AC4" s="3">
        <v>0</v>
      </c>
      <c r="AD4" s="3" t="s">
        <v>81</v>
      </c>
      <c r="AE4" s="3" t="s">
        <v>81</v>
      </c>
      <c r="AF4" s="3" t="s">
        <v>81</v>
      </c>
      <c r="AG4" s="3" t="s">
        <v>81</v>
      </c>
      <c r="AH4" s="3" t="s">
        <v>81</v>
      </c>
      <c r="AI4" s="3" t="s">
        <v>81</v>
      </c>
      <c r="AJ4" s="3" t="s">
        <v>81</v>
      </c>
      <c r="AK4" s="3" t="s">
        <v>81</v>
      </c>
      <c r="AL4" s="3" t="s">
        <v>81</v>
      </c>
      <c r="AM4" s="3">
        <v>45.615000000000002</v>
      </c>
      <c r="AN4" s="3">
        <v>0</v>
      </c>
      <c r="AO4" s="3" t="s">
        <v>81</v>
      </c>
      <c r="AP4" s="3" t="s">
        <v>81</v>
      </c>
      <c r="AQ4" s="3" t="s">
        <v>81</v>
      </c>
      <c r="AR4" s="3" t="s">
        <v>81</v>
      </c>
      <c r="AS4" s="3" t="s">
        <v>81</v>
      </c>
      <c r="AT4" s="3" t="s">
        <v>81</v>
      </c>
      <c r="AU4" s="3" t="s">
        <v>81</v>
      </c>
      <c r="AV4" s="3" t="s">
        <v>81</v>
      </c>
      <c r="AW4" s="3" t="s">
        <v>81</v>
      </c>
      <c r="AX4" s="3">
        <v>42.779000000000003</v>
      </c>
      <c r="AY4" s="3">
        <v>0</v>
      </c>
      <c r="AZ4" s="3" t="s">
        <v>81</v>
      </c>
      <c r="BA4" s="3" t="s">
        <v>81</v>
      </c>
      <c r="BB4" s="3" t="s">
        <v>81</v>
      </c>
      <c r="BC4" s="3" t="s">
        <v>81</v>
      </c>
      <c r="BD4" s="3" t="s">
        <v>81</v>
      </c>
      <c r="BE4" s="3" t="s">
        <v>81</v>
      </c>
      <c r="BF4" s="3" t="s">
        <v>81</v>
      </c>
      <c r="BG4" s="3" t="s">
        <v>81</v>
      </c>
      <c r="BH4" s="3" t="s">
        <v>81</v>
      </c>
      <c r="BI4" s="3" t="s">
        <v>82</v>
      </c>
      <c r="BJ4" s="3" t="s">
        <v>84</v>
      </c>
      <c r="BK4" s="3" t="s">
        <v>84</v>
      </c>
      <c r="BL4" s="3" t="s">
        <v>82</v>
      </c>
      <c r="BM4" s="3" t="s">
        <v>83</v>
      </c>
      <c r="BN4" s="3" t="s">
        <v>83</v>
      </c>
      <c r="BO4" s="3" t="s">
        <v>83</v>
      </c>
      <c r="BP4" s="3" t="s">
        <v>81</v>
      </c>
      <c r="BQ4" s="3" t="s">
        <v>81</v>
      </c>
      <c r="BR4" s="3" t="s">
        <v>81</v>
      </c>
      <c r="BS4" s="3" t="s">
        <v>81</v>
      </c>
      <c r="BT4" s="3" t="s">
        <v>81</v>
      </c>
      <c r="BU4" s="3" t="s">
        <v>81</v>
      </c>
      <c r="BV4" s="3" t="s">
        <v>83</v>
      </c>
      <c r="BW4" s="3" t="s">
        <v>83</v>
      </c>
      <c r="BX4" s="3" t="s">
        <v>83</v>
      </c>
      <c r="BZ4" s="3" t="s">
        <v>93</v>
      </c>
      <c r="CD4">
        <v>13</v>
      </c>
    </row>
    <row r="5" spans="1:87" ht="15.75" hidden="1" customHeight="1" x14ac:dyDescent="0.15">
      <c r="A5" s="3">
        <v>1847926519</v>
      </c>
      <c r="B5" s="3" t="s">
        <v>80</v>
      </c>
      <c r="C5" s="3" t="s">
        <v>80</v>
      </c>
      <c r="D5" s="3">
        <v>5</v>
      </c>
      <c r="E5" s="3">
        <v>5</v>
      </c>
      <c r="F5" s="3">
        <v>26.141999999999999</v>
      </c>
      <c r="G5" s="3">
        <v>0</v>
      </c>
      <c r="H5" s="3" t="s">
        <v>81</v>
      </c>
      <c r="I5" s="3" t="s">
        <v>81</v>
      </c>
      <c r="J5" s="3" t="s">
        <v>81</v>
      </c>
      <c r="K5" s="3" t="s">
        <v>81</v>
      </c>
      <c r="L5" s="3" t="s">
        <v>81</v>
      </c>
      <c r="M5" s="3" t="s">
        <v>81</v>
      </c>
      <c r="N5" s="3" t="s">
        <v>81</v>
      </c>
      <c r="O5" s="3" t="s">
        <v>81</v>
      </c>
      <c r="P5" s="3" t="s">
        <v>81</v>
      </c>
      <c r="Q5" s="3">
        <v>26.869</v>
      </c>
      <c r="R5" s="3">
        <v>0</v>
      </c>
      <c r="S5" s="3" t="s">
        <v>81</v>
      </c>
      <c r="T5" s="3" t="s">
        <v>81</v>
      </c>
      <c r="U5" s="3" t="s">
        <v>81</v>
      </c>
      <c r="V5" s="3" t="s">
        <v>81</v>
      </c>
      <c r="W5" s="3" t="s">
        <v>81</v>
      </c>
      <c r="X5" s="3" t="s">
        <v>81</v>
      </c>
      <c r="Y5" s="3" t="s">
        <v>81</v>
      </c>
      <c r="Z5" s="3" t="s">
        <v>81</v>
      </c>
      <c r="AA5" s="3" t="s">
        <v>81</v>
      </c>
      <c r="AB5" s="3">
        <v>22.530999999999999</v>
      </c>
      <c r="AC5" s="3">
        <v>0</v>
      </c>
      <c r="AD5" s="3" t="s">
        <v>81</v>
      </c>
      <c r="AE5" s="3" t="s">
        <v>81</v>
      </c>
      <c r="AF5" s="3" t="s">
        <v>81</v>
      </c>
      <c r="AG5" s="3" t="s">
        <v>81</v>
      </c>
      <c r="AH5" s="3" t="s">
        <v>81</v>
      </c>
      <c r="AI5" s="3" t="s">
        <v>81</v>
      </c>
      <c r="AJ5" s="3" t="s">
        <v>81</v>
      </c>
      <c r="AK5" s="3" t="s">
        <v>81</v>
      </c>
      <c r="AL5" s="3" t="s">
        <v>81</v>
      </c>
      <c r="AM5" s="3">
        <v>27.512</v>
      </c>
      <c r="AN5" s="3">
        <v>0</v>
      </c>
      <c r="AO5" s="3" t="s">
        <v>81</v>
      </c>
      <c r="AP5" s="3" t="s">
        <v>81</v>
      </c>
      <c r="AQ5" s="3" t="s">
        <v>81</v>
      </c>
      <c r="AR5" s="3" t="s">
        <v>81</v>
      </c>
      <c r="AS5" s="3" t="s">
        <v>81</v>
      </c>
      <c r="AT5" s="3" t="s">
        <v>81</v>
      </c>
      <c r="AU5" s="3" t="s">
        <v>81</v>
      </c>
      <c r="AV5" s="3" t="s">
        <v>81</v>
      </c>
      <c r="AW5" s="3" t="s">
        <v>81</v>
      </c>
      <c r="AX5" s="3">
        <v>28.609000000000002</v>
      </c>
      <c r="AY5" s="3">
        <v>0</v>
      </c>
      <c r="AZ5" s="3" t="s">
        <v>81</v>
      </c>
      <c r="BA5" s="3" t="s">
        <v>81</v>
      </c>
      <c r="BB5" s="3" t="s">
        <v>81</v>
      </c>
      <c r="BC5" s="3" t="s">
        <v>81</v>
      </c>
      <c r="BD5" s="3" t="s">
        <v>81</v>
      </c>
      <c r="BE5" s="3" t="s">
        <v>81</v>
      </c>
      <c r="BF5" s="3" t="s">
        <v>81</v>
      </c>
      <c r="BG5" s="3" t="s">
        <v>81</v>
      </c>
      <c r="BH5" s="3" t="s">
        <v>81</v>
      </c>
      <c r="BI5" s="3" t="s">
        <v>82</v>
      </c>
      <c r="BJ5" s="3" t="s">
        <v>82</v>
      </c>
      <c r="BK5" s="3" t="s">
        <v>83</v>
      </c>
      <c r="BL5" s="3" t="s">
        <v>84</v>
      </c>
      <c r="BM5" s="3" t="s">
        <v>84</v>
      </c>
      <c r="BN5" s="3" t="s">
        <v>84</v>
      </c>
      <c r="BO5" s="3" t="s">
        <v>84</v>
      </c>
      <c r="BP5" s="3" t="s">
        <v>94</v>
      </c>
      <c r="BQ5" s="3" t="s">
        <v>95</v>
      </c>
      <c r="BR5" s="3" t="s">
        <v>96</v>
      </c>
      <c r="BS5" s="3" t="s">
        <v>97</v>
      </c>
      <c r="BT5" s="3" t="s">
        <v>85</v>
      </c>
      <c r="BU5" s="3" t="s">
        <v>98</v>
      </c>
      <c r="BV5" s="3" t="s">
        <v>82</v>
      </c>
      <c r="BW5" s="3" t="s">
        <v>91</v>
      </c>
      <c r="BX5" s="3" t="s">
        <v>82</v>
      </c>
      <c r="BZ5" s="3" t="s">
        <v>93</v>
      </c>
      <c r="CD5">
        <v>5</v>
      </c>
    </row>
    <row r="6" spans="1:87" ht="15.75" hidden="1" customHeight="1" x14ac:dyDescent="0.15">
      <c r="A6" s="3">
        <v>1847944974</v>
      </c>
      <c r="B6" s="3" t="s">
        <v>80</v>
      </c>
      <c r="C6" s="3" t="s">
        <v>80</v>
      </c>
      <c r="D6" s="3">
        <v>4</v>
      </c>
      <c r="E6" s="3">
        <v>9</v>
      </c>
      <c r="F6" s="3">
        <v>28.562000000000001</v>
      </c>
      <c r="G6" s="3">
        <v>0</v>
      </c>
      <c r="H6" s="3" t="s">
        <v>81</v>
      </c>
      <c r="I6" s="3" t="s">
        <v>81</v>
      </c>
      <c r="J6" s="3" t="s">
        <v>81</v>
      </c>
      <c r="K6" s="3" t="s">
        <v>81</v>
      </c>
      <c r="L6" s="3" t="s">
        <v>81</v>
      </c>
      <c r="M6" s="3" t="s">
        <v>81</v>
      </c>
      <c r="N6" s="3" t="s">
        <v>81</v>
      </c>
      <c r="O6" s="3" t="s">
        <v>81</v>
      </c>
      <c r="P6" s="3" t="s">
        <v>81</v>
      </c>
      <c r="Q6" s="3">
        <v>36.780999999999999</v>
      </c>
      <c r="R6" s="3">
        <v>0</v>
      </c>
      <c r="S6" s="3" t="s">
        <v>81</v>
      </c>
      <c r="T6" s="3" t="s">
        <v>81</v>
      </c>
      <c r="U6" s="3" t="s">
        <v>81</v>
      </c>
      <c r="V6" s="3" t="s">
        <v>81</v>
      </c>
      <c r="W6" s="3" t="s">
        <v>81</v>
      </c>
      <c r="X6" s="3" t="s">
        <v>81</v>
      </c>
      <c r="Y6" s="3" t="s">
        <v>81</v>
      </c>
      <c r="Z6" s="3" t="s">
        <v>81</v>
      </c>
      <c r="AA6" s="3" t="s">
        <v>81</v>
      </c>
      <c r="AB6" s="3">
        <v>24.635999999999999</v>
      </c>
      <c r="AC6" s="3">
        <v>0</v>
      </c>
      <c r="AD6" s="3" t="s">
        <v>81</v>
      </c>
      <c r="AE6" s="3" t="s">
        <v>81</v>
      </c>
      <c r="AF6" s="3" t="s">
        <v>81</v>
      </c>
      <c r="AG6" s="3" t="s">
        <v>81</v>
      </c>
      <c r="AH6" s="3" t="s">
        <v>81</v>
      </c>
      <c r="AI6" s="3" t="s">
        <v>81</v>
      </c>
      <c r="AJ6" s="3" t="s">
        <v>81</v>
      </c>
      <c r="AK6" s="3" t="s">
        <v>81</v>
      </c>
      <c r="AL6" s="3" t="s">
        <v>81</v>
      </c>
      <c r="AM6" s="3">
        <v>28.234999999999999</v>
      </c>
      <c r="AN6" s="3">
        <v>0</v>
      </c>
      <c r="AO6" s="3" t="s">
        <v>81</v>
      </c>
      <c r="AP6" s="3" t="s">
        <v>81</v>
      </c>
      <c r="AQ6" s="3" t="s">
        <v>81</v>
      </c>
      <c r="AR6" s="3" t="s">
        <v>81</v>
      </c>
      <c r="AS6" s="3" t="s">
        <v>81</v>
      </c>
      <c r="AT6" s="3" t="s">
        <v>81</v>
      </c>
      <c r="AU6" s="3" t="s">
        <v>81</v>
      </c>
      <c r="AV6" s="3" t="s">
        <v>81</v>
      </c>
      <c r="AW6" s="3" t="s">
        <v>81</v>
      </c>
      <c r="AX6" s="3">
        <v>31.841000000000001</v>
      </c>
      <c r="AY6" s="3">
        <v>0</v>
      </c>
      <c r="AZ6" s="3" t="s">
        <v>81</v>
      </c>
      <c r="BA6" s="3" t="s">
        <v>81</v>
      </c>
      <c r="BB6" s="3" t="s">
        <v>81</v>
      </c>
      <c r="BC6" s="3" t="s">
        <v>81</v>
      </c>
      <c r="BD6" s="3" t="s">
        <v>81</v>
      </c>
      <c r="BE6" s="3" t="s">
        <v>81</v>
      </c>
      <c r="BF6" s="3" t="s">
        <v>81</v>
      </c>
      <c r="BG6" s="3" t="s">
        <v>81</v>
      </c>
      <c r="BH6" s="3" t="s">
        <v>81</v>
      </c>
      <c r="BI6" s="3" t="s">
        <v>82</v>
      </c>
      <c r="BJ6" s="3" t="s">
        <v>82</v>
      </c>
      <c r="BK6" s="3" t="s">
        <v>83</v>
      </c>
      <c r="BL6" s="3" t="s">
        <v>84</v>
      </c>
      <c r="BM6" s="3" t="s">
        <v>82</v>
      </c>
      <c r="BN6" s="3" t="s">
        <v>84</v>
      </c>
      <c r="BO6" s="3" t="s">
        <v>82</v>
      </c>
      <c r="BP6" s="3" t="s">
        <v>99</v>
      </c>
      <c r="BQ6" s="3" t="s">
        <v>99</v>
      </c>
      <c r="BR6" s="3" t="s">
        <v>99</v>
      </c>
      <c r="BS6" s="3" t="s">
        <v>99</v>
      </c>
      <c r="BT6" s="3" t="s">
        <v>85</v>
      </c>
      <c r="BU6" s="3" t="s">
        <v>81</v>
      </c>
      <c r="BV6" s="3" t="s">
        <v>82</v>
      </c>
      <c r="BW6" s="3" t="s">
        <v>91</v>
      </c>
      <c r="BX6" s="3" t="s">
        <v>82</v>
      </c>
      <c r="BY6" s="3" t="s">
        <v>100</v>
      </c>
      <c r="BZ6" s="3" t="s">
        <v>93</v>
      </c>
      <c r="CD6">
        <v>9</v>
      </c>
    </row>
    <row r="7" spans="1:87" ht="15.75" customHeight="1" x14ac:dyDescent="0.15">
      <c r="A7" s="3">
        <v>1228384138</v>
      </c>
      <c r="B7" s="3" t="s">
        <v>101</v>
      </c>
      <c r="C7" s="3" t="s">
        <v>101</v>
      </c>
      <c r="D7" s="3" t="s">
        <v>81</v>
      </c>
      <c r="E7" s="3">
        <v>8</v>
      </c>
      <c r="F7" s="3">
        <v>8.2949999999999999</v>
      </c>
      <c r="G7" s="3">
        <v>0</v>
      </c>
      <c r="H7" s="3" t="s">
        <v>81</v>
      </c>
      <c r="I7" s="3" t="s">
        <v>81</v>
      </c>
      <c r="J7" s="3" t="s">
        <v>81</v>
      </c>
      <c r="K7" s="3" t="s">
        <v>81</v>
      </c>
      <c r="L7" s="3" t="s">
        <v>81</v>
      </c>
      <c r="M7" s="3" t="s">
        <v>81</v>
      </c>
      <c r="N7" s="3" t="s">
        <v>81</v>
      </c>
      <c r="O7" s="3" t="s">
        <v>81</v>
      </c>
      <c r="P7" s="3" t="s">
        <v>81</v>
      </c>
      <c r="Q7" s="3">
        <v>8.9830000000000005</v>
      </c>
      <c r="R7" s="3">
        <v>0</v>
      </c>
      <c r="S7" s="3" t="s">
        <v>81</v>
      </c>
      <c r="T7" s="3" t="s">
        <v>81</v>
      </c>
      <c r="U7" s="3" t="s">
        <v>81</v>
      </c>
      <c r="V7" s="3" t="s">
        <v>81</v>
      </c>
      <c r="W7" s="3" t="s">
        <v>81</v>
      </c>
      <c r="X7" s="3" t="s">
        <v>81</v>
      </c>
      <c r="Y7" s="3" t="s">
        <v>81</v>
      </c>
      <c r="Z7" s="3" t="s">
        <v>81</v>
      </c>
      <c r="AA7" s="3" t="s">
        <v>81</v>
      </c>
      <c r="AB7" s="3">
        <v>7.0430000000000001</v>
      </c>
      <c r="AC7" s="3">
        <v>0</v>
      </c>
      <c r="AD7" s="3" t="s">
        <v>81</v>
      </c>
      <c r="AE7" s="3" t="s">
        <v>81</v>
      </c>
      <c r="AF7" s="3" t="s">
        <v>81</v>
      </c>
      <c r="AG7" s="3" t="s">
        <v>81</v>
      </c>
      <c r="AH7" s="3" t="s">
        <v>81</v>
      </c>
      <c r="AI7" s="3" t="s">
        <v>81</v>
      </c>
      <c r="AJ7" s="3" t="s">
        <v>81</v>
      </c>
      <c r="AK7" s="3" t="s">
        <v>81</v>
      </c>
      <c r="AL7" s="3" t="s">
        <v>81</v>
      </c>
      <c r="AM7" s="3" t="s">
        <v>81</v>
      </c>
      <c r="AN7" s="3" t="s">
        <v>81</v>
      </c>
      <c r="AO7" s="3" t="s">
        <v>81</v>
      </c>
      <c r="AP7" s="3" t="s">
        <v>81</v>
      </c>
      <c r="AQ7" s="3" t="s">
        <v>81</v>
      </c>
      <c r="AR7" s="3" t="s">
        <v>81</v>
      </c>
      <c r="AS7" s="3" t="s">
        <v>81</v>
      </c>
      <c r="AT7" s="3" t="s">
        <v>81</v>
      </c>
      <c r="AU7" s="3" t="s">
        <v>81</v>
      </c>
      <c r="AV7" s="3" t="s">
        <v>81</v>
      </c>
      <c r="AW7" s="3" t="s">
        <v>81</v>
      </c>
      <c r="AX7" s="3" t="s">
        <v>81</v>
      </c>
      <c r="AY7" s="3" t="s">
        <v>81</v>
      </c>
      <c r="AZ7" s="3" t="s">
        <v>81</v>
      </c>
      <c r="BA7" s="3" t="s">
        <v>81</v>
      </c>
      <c r="BB7" s="3" t="s">
        <v>81</v>
      </c>
      <c r="BC7" s="3" t="s">
        <v>81</v>
      </c>
      <c r="BD7" s="3" t="s">
        <v>81</v>
      </c>
      <c r="BE7" s="3" t="s">
        <v>81</v>
      </c>
      <c r="BF7" s="3" t="s">
        <v>81</v>
      </c>
      <c r="BG7" s="3" t="s">
        <v>81</v>
      </c>
      <c r="BH7" s="3" t="s">
        <v>81</v>
      </c>
      <c r="BI7" s="3" t="s">
        <v>82</v>
      </c>
      <c r="BJ7" s="3" t="s">
        <v>82</v>
      </c>
      <c r="BK7" s="3" t="s">
        <v>83</v>
      </c>
      <c r="BL7" s="3" t="s">
        <v>84</v>
      </c>
      <c r="BM7" s="3" t="s">
        <v>84</v>
      </c>
      <c r="BN7" s="3" t="s">
        <v>84</v>
      </c>
      <c r="BO7" s="3" t="s">
        <v>82</v>
      </c>
      <c r="BP7" s="3" t="s">
        <v>87</v>
      </c>
      <c r="BQ7" s="3" t="s">
        <v>87</v>
      </c>
      <c r="BR7" s="3" t="s">
        <v>87</v>
      </c>
      <c r="BS7" s="3" t="s">
        <v>87</v>
      </c>
      <c r="BT7" s="3" t="s">
        <v>87</v>
      </c>
      <c r="BU7" s="3" t="s">
        <v>81</v>
      </c>
      <c r="BV7" s="3" t="s">
        <v>84</v>
      </c>
      <c r="BW7" s="3" t="s">
        <v>83</v>
      </c>
      <c r="BX7" s="3" t="s">
        <v>82</v>
      </c>
      <c r="BY7" s="3" t="s">
        <v>102</v>
      </c>
      <c r="BZ7" s="3" t="s">
        <v>93</v>
      </c>
      <c r="CA7" s="3" t="s">
        <v>103</v>
      </c>
      <c r="CB7" s="3" t="s">
        <v>84</v>
      </c>
      <c r="CC7" s="3"/>
      <c r="CD7" s="3">
        <v>3</v>
      </c>
      <c r="CE7" s="3">
        <v>8</v>
      </c>
      <c r="CF7" s="3"/>
      <c r="CG7" s="3"/>
      <c r="CH7" s="3"/>
      <c r="CI7" s="3"/>
    </row>
    <row r="8" spans="1:87" ht="15.75" customHeight="1" x14ac:dyDescent="0.15">
      <c r="A8" s="3">
        <v>1228607592</v>
      </c>
      <c r="B8" s="3" t="s">
        <v>104</v>
      </c>
      <c r="C8" s="3" t="s">
        <v>104</v>
      </c>
      <c r="D8" s="3">
        <v>2</v>
      </c>
      <c r="E8" s="3">
        <v>4</v>
      </c>
      <c r="F8" s="3">
        <v>28.545999999999999</v>
      </c>
      <c r="G8" s="3">
        <v>0</v>
      </c>
      <c r="H8" s="3" t="s">
        <v>81</v>
      </c>
      <c r="I8" s="3" t="s">
        <v>81</v>
      </c>
      <c r="J8" s="3" t="s">
        <v>81</v>
      </c>
      <c r="K8" s="3" t="s">
        <v>81</v>
      </c>
      <c r="L8" s="3" t="s">
        <v>81</v>
      </c>
      <c r="M8" s="3" t="s">
        <v>81</v>
      </c>
      <c r="N8" s="3" t="s">
        <v>81</v>
      </c>
      <c r="O8" s="3" t="s">
        <v>81</v>
      </c>
      <c r="P8" s="3" t="s">
        <v>81</v>
      </c>
      <c r="Q8" s="3">
        <v>31.123000000000001</v>
      </c>
      <c r="R8" s="3">
        <v>0</v>
      </c>
      <c r="S8" s="3" t="s">
        <v>81</v>
      </c>
      <c r="T8" s="3" t="s">
        <v>81</v>
      </c>
      <c r="U8" s="3" t="s">
        <v>81</v>
      </c>
      <c r="V8" s="3" t="s">
        <v>81</v>
      </c>
      <c r="W8" s="3" t="s">
        <v>81</v>
      </c>
      <c r="X8" s="3" t="s">
        <v>81</v>
      </c>
      <c r="Y8" s="3" t="s">
        <v>81</v>
      </c>
      <c r="Z8" s="3" t="s">
        <v>81</v>
      </c>
      <c r="AA8" s="3" t="s">
        <v>81</v>
      </c>
      <c r="AB8" s="3">
        <v>29.957999999999998</v>
      </c>
      <c r="AC8" s="3">
        <v>0</v>
      </c>
      <c r="AD8" s="3" t="s">
        <v>81</v>
      </c>
      <c r="AE8" s="3" t="s">
        <v>81</v>
      </c>
      <c r="AF8" s="3" t="s">
        <v>81</v>
      </c>
      <c r="AG8" s="3" t="s">
        <v>81</v>
      </c>
      <c r="AH8" s="3" t="s">
        <v>81</v>
      </c>
      <c r="AI8" s="3" t="s">
        <v>81</v>
      </c>
      <c r="AJ8" s="3" t="s">
        <v>81</v>
      </c>
      <c r="AK8" s="3" t="s">
        <v>81</v>
      </c>
      <c r="AL8" s="3" t="s">
        <v>81</v>
      </c>
      <c r="AM8" s="3" t="s">
        <v>81</v>
      </c>
      <c r="AN8" s="3" t="s">
        <v>81</v>
      </c>
      <c r="AO8" s="3" t="s">
        <v>81</v>
      </c>
      <c r="AP8" s="3" t="s">
        <v>81</v>
      </c>
      <c r="AQ8" s="3" t="s">
        <v>81</v>
      </c>
      <c r="AR8" s="3" t="s">
        <v>81</v>
      </c>
      <c r="AS8" s="3" t="s">
        <v>81</v>
      </c>
      <c r="AT8" s="3" t="s">
        <v>81</v>
      </c>
      <c r="AU8" s="3" t="s">
        <v>81</v>
      </c>
      <c r="AV8" s="3" t="s">
        <v>81</v>
      </c>
      <c r="AW8" s="3" t="s">
        <v>81</v>
      </c>
      <c r="AX8" s="3" t="s">
        <v>81</v>
      </c>
      <c r="AY8" s="3" t="s">
        <v>81</v>
      </c>
      <c r="AZ8" s="3" t="s">
        <v>81</v>
      </c>
      <c r="BA8" s="3" t="s">
        <v>81</v>
      </c>
      <c r="BB8" s="3" t="s">
        <v>81</v>
      </c>
      <c r="BC8" s="3" t="s">
        <v>81</v>
      </c>
      <c r="BD8" s="3" t="s">
        <v>81</v>
      </c>
      <c r="BE8" s="3" t="s">
        <v>81</v>
      </c>
      <c r="BF8" s="3" t="s">
        <v>81</v>
      </c>
      <c r="BG8" s="3" t="s">
        <v>81</v>
      </c>
      <c r="BH8" s="3" t="s">
        <v>81</v>
      </c>
      <c r="BI8" s="3" t="s">
        <v>82</v>
      </c>
      <c r="BJ8" s="3" t="s">
        <v>82</v>
      </c>
      <c r="BK8" s="3" t="s">
        <v>83</v>
      </c>
      <c r="BL8" s="3" t="s">
        <v>84</v>
      </c>
      <c r="BM8" s="3" t="s">
        <v>84</v>
      </c>
      <c r="BN8" s="3" t="s">
        <v>84</v>
      </c>
      <c r="BO8" s="3" t="s">
        <v>84</v>
      </c>
      <c r="BP8" s="3" t="s">
        <v>87</v>
      </c>
      <c r="BQ8" s="3" t="s">
        <v>87</v>
      </c>
      <c r="BR8" s="3" t="s">
        <v>87</v>
      </c>
      <c r="BS8" s="3" t="s">
        <v>87</v>
      </c>
      <c r="BT8" s="3" t="s">
        <v>87</v>
      </c>
      <c r="BU8" s="3" t="s">
        <v>81</v>
      </c>
      <c r="BV8" s="3" t="s">
        <v>84</v>
      </c>
      <c r="BW8" s="3" t="s">
        <v>83</v>
      </c>
      <c r="BX8" s="3" t="s">
        <v>82</v>
      </c>
      <c r="BY8" s="3" t="s">
        <v>105</v>
      </c>
      <c r="BZ8" s="3" t="s">
        <v>93</v>
      </c>
      <c r="CA8" s="3" t="s">
        <v>103</v>
      </c>
      <c r="CB8" s="3" t="s">
        <v>84</v>
      </c>
      <c r="CC8" s="3"/>
      <c r="CD8" s="3">
        <v>4</v>
      </c>
      <c r="CE8" s="3">
        <v>7</v>
      </c>
      <c r="CF8" s="3"/>
      <c r="CG8" s="3"/>
      <c r="CH8" s="3"/>
    </row>
    <row r="9" spans="1:87" ht="15.75" hidden="1" customHeight="1" x14ac:dyDescent="0.15">
      <c r="A9" s="3">
        <v>1847922522</v>
      </c>
      <c r="B9" s="3" t="s">
        <v>108</v>
      </c>
      <c r="C9" s="3" t="s">
        <v>108</v>
      </c>
      <c r="D9" s="3" t="s">
        <v>81</v>
      </c>
      <c r="E9" s="3">
        <v>7</v>
      </c>
      <c r="F9" s="3">
        <v>49.664999999999999</v>
      </c>
      <c r="G9" s="3">
        <v>0</v>
      </c>
      <c r="H9" s="3" t="s">
        <v>81</v>
      </c>
      <c r="I9" s="3" t="s">
        <v>81</v>
      </c>
      <c r="J9" s="3" t="s">
        <v>81</v>
      </c>
      <c r="K9" s="3" t="s">
        <v>81</v>
      </c>
      <c r="L9" s="3" t="s">
        <v>81</v>
      </c>
      <c r="M9" s="3" t="s">
        <v>81</v>
      </c>
      <c r="N9" s="3" t="s">
        <v>81</v>
      </c>
      <c r="O9" s="3" t="s">
        <v>81</v>
      </c>
      <c r="P9" s="3" t="s">
        <v>81</v>
      </c>
      <c r="Q9" s="3">
        <v>58.203000000000003</v>
      </c>
      <c r="R9" s="3">
        <v>0</v>
      </c>
      <c r="S9" s="3" t="s">
        <v>81</v>
      </c>
      <c r="T9" s="3" t="s">
        <v>81</v>
      </c>
      <c r="U9" s="3" t="s">
        <v>81</v>
      </c>
      <c r="V9" s="3" t="s">
        <v>81</v>
      </c>
      <c r="W9" s="3" t="s">
        <v>81</v>
      </c>
      <c r="X9" s="3" t="s">
        <v>81</v>
      </c>
      <c r="Y9" s="3" t="s">
        <v>81</v>
      </c>
      <c r="Z9" s="3" t="s">
        <v>81</v>
      </c>
      <c r="AA9" s="3" t="s">
        <v>81</v>
      </c>
      <c r="AB9" s="3">
        <v>56.981000000000002</v>
      </c>
      <c r="AC9" s="3">
        <v>0</v>
      </c>
      <c r="AD9" s="3" t="s">
        <v>81</v>
      </c>
      <c r="AE9" s="3" t="s">
        <v>81</v>
      </c>
      <c r="AF9" s="3" t="s">
        <v>81</v>
      </c>
      <c r="AG9" s="3" t="s">
        <v>81</v>
      </c>
      <c r="AH9" s="3" t="s">
        <v>81</v>
      </c>
      <c r="AI9" s="3" t="s">
        <v>81</v>
      </c>
      <c r="AJ9" s="3" t="s">
        <v>81</v>
      </c>
      <c r="AK9" s="3" t="s">
        <v>81</v>
      </c>
      <c r="AL9" s="3" t="s">
        <v>81</v>
      </c>
      <c r="AM9" s="3">
        <v>47.942</v>
      </c>
      <c r="AN9" s="3">
        <v>0</v>
      </c>
      <c r="AO9" s="3" t="s">
        <v>81</v>
      </c>
      <c r="AP9" s="3" t="s">
        <v>81</v>
      </c>
      <c r="AQ9" s="3" t="s">
        <v>81</v>
      </c>
      <c r="AR9" s="3" t="s">
        <v>81</v>
      </c>
      <c r="AS9" s="3" t="s">
        <v>81</v>
      </c>
      <c r="AT9" s="3" t="s">
        <v>81</v>
      </c>
      <c r="AU9" s="3" t="s">
        <v>81</v>
      </c>
      <c r="AV9" s="3" t="s">
        <v>81</v>
      </c>
      <c r="AW9" s="3" t="s">
        <v>81</v>
      </c>
      <c r="AX9" s="3">
        <v>52.287999999999997</v>
      </c>
      <c r="AY9" s="3">
        <v>0</v>
      </c>
      <c r="AZ9" s="3" t="s">
        <v>81</v>
      </c>
      <c r="BA9" s="3" t="s">
        <v>81</v>
      </c>
      <c r="BB9" s="3" t="s">
        <v>81</v>
      </c>
      <c r="BC9" s="3" t="s">
        <v>81</v>
      </c>
      <c r="BD9" s="3" t="s">
        <v>81</v>
      </c>
      <c r="BE9" s="3" t="s">
        <v>81</v>
      </c>
      <c r="BF9" s="3" t="s">
        <v>81</v>
      </c>
      <c r="BG9" s="3" t="s">
        <v>81</v>
      </c>
      <c r="BH9" s="3" t="s">
        <v>81</v>
      </c>
      <c r="BI9" s="3" t="s">
        <v>82</v>
      </c>
      <c r="BJ9" s="3" t="s">
        <v>82</v>
      </c>
      <c r="BK9" s="3" t="s">
        <v>83</v>
      </c>
      <c r="BL9" s="3" t="s">
        <v>84</v>
      </c>
      <c r="BM9" s="3" t="s">
        <v>84</v>
      </c>
      <c r="BN9" s="3" t="s">
        <v>84</v>
      </c>
      <c r="BO9" s="3" t="s">
        <v>84</v>
      </c>
      <c r="BP9" s="3" t="s">
        <v>109</v>
      </c>
      <c r="BQ9" s="3" t="s">
        <v>109</v>
      </c>
      <c r="BR9" s="3" t="s">
        <v>110</v>
      </c>
      <c r="BS9" s="3" t="s">
        <v>110</v>
      </c>
      <c r="BT9" s="3" t="s">
        <v>87</v>
      </c>
      <c r="BU9" s="3" t="s">
        <v>85</v>
      </c>
      <c r="BV9" s="3" t="s">
        <v>84</v>
      </c>
      <c r="BW9" s="3" t="s">
        <v>83</v>
      </c>
      <c r="BX9" s="3" t="s">
        <v>82</v>
      </c>
      <c r="BY9" s="3" t="s">
        <v>100</v>
      </c>
      <c r="BZ9" s="3" t="s">
        <v>93</v>
      </c>
      <c r="CA9" s="3" t="s">
        <v>103</v>
      </c>
      <c r="CB9" s="3"/>
      <c r="CC9" s="3"/>
      <c r="CD9" s="3">
        <v>7</v>
      </c>
      <c r="CE9" s="3"/>
      <c r="CF9" s="3"/>
      <c r="CG9" s="3"/>
      <c r="CH9" s="3"/>
      <c r="CI9" s="3"/>
    </row>
    <row r="10" spans="1:87" ht="15.75" hidden="1" customHeight="1" x14ac:dyDescent="0.15">
      <c r="A10" s="3">
        <v>1228280420</v>
      </c>
      <c r="B10" s="3" t="s">
        <v>108</v>
      </c>
      <c r="C10" s="3" t="s">
        <v>108</v>
      </c>
      <c r="D10" s="3" t="s">
        <v>81</v>
      </c>
      <c r="E10" s="3">
        <v>9</v>
      </c>
      <c r="F10" s="3">
        <v>41.514000000000003</v>
      </c>
      <c r="G10" s="3">
        <v>0</v>
      </c>
      <c r="H10" s="3" t="s">
        <v>81</v>
      </c>
      <c r="I10" s="3" t="s">
        <v>81</v>
      </c>
      <c r="J10" s="3" t="s">
        <v>81</v>
      </c>
      <c r="K10" s="3" t="s">
        <v>81</v>
      </c>
      <c r="L10" s="3" t="s">
        <v>81</v>
      </c>
      <c r="M10" s="3" t="s">
        <v>81</v>
      </c>
      <c r="N10" s="3" t="s">
        <v>81</v>
      </c>
      <c r="O10" s="3" t="s">
        <v>81</v>
      </c>
      <c r="P10" s="3" t="s">
        <v>81</v>
      </c>
      <c r="Q10" s="3">
        <v>23.923999999999999</v>
      </c>
      <c r="R10" s="3">
        <v>0</v>
      </c>
      <c r="S10" s="3" t="s">
        <v>81</v>
      </c>
      <c r="T10" s="3" t="s">
        <v>81</v>
      </c>
      <c r="U10" s="3" t="s">
        <v>81</v>
      </c>
      <c r="V10" s="3" t="s">
        <v>81</v>
      </c>
      <c r="W10" s="3" t="s">
        <v>81</v>
      </c>
      <c r="X10" s="3" t="s">
        <v>81</v>
      </c>
      <c r="Y10" s="3" t="s">
        <v>81</v>
      </c>
      <c r="Z10" s="3" t="s">
        <v>81</v>
      </c>
      <c r="AA10" s="3" t="s">
        <v>81</v>
      </c>
      <c r="AB10" s="3" t="s">
        <v>81</v>
      </c>
      <c r="AC10" s="3" t="s">
        <v>81</v>
      </c>
      <c r="AD10" s="3" t="s">
        <v>81</v>
      </c>
      <c r="AE10" s="3" t="s">
        <v>81</v>
      </c>
      <c r="AF10" s="3" t="s">
        <v>81</v>
      </c>
      <c r="AG10" s="3" t="s">
        <v>81</v>
      </c>
      <c r="AH10" s="3" t="s">
        <v>81</v>
      </c>
      <c r="AI10" s="3" t="s">
        <v>81</v>
      </c>
      <c r="AJ10" s="3" t="s">
        <v>81</v>
      </c>
      <c r="AK10" s="3" t="s">
        <v>81</v>
      </c>
      <c r="AL10" s="3" t="s">
        <v>81</v>
      </c>
      <c r="AM10" s="3" t="s">
        <v>81</v>
      </c>
      <c r="AN10" s="3" t="s">
        <v>81</v>
      </c>
      <c r="AO10" s="3" t="s">
        <v>81</v>
      </c>
      <c r="AP10" s="3" t="s">
        <v>81</v>
      </c>
      <c r="AQ10" s="3" t="s">
        <v>81</v>
      </c>
      <c r="AR10" s="3" t="s">
        <v>81</v>
      </c>
      <c r="AS10" s="3" t="s">
        <v>81</v>
      </c>
      <c r="AT10" s="3" t="s">
        <v>81</v>
      </c>
      <c r="AU10" s="3" t="s">
        <v>81</v>
      </c>
      <c r="AV10" s="3" t="s">
        <v>81</v>
      </c>
      <c r="AW10" s="3" t="s">
        <v>81</v>
      </c>
      <c r="AX10" s="3" t="s">
        <v>81</v>
      </c>
      <c r="AY10" s="3" t="s">
        <v>81</v>
      </c>
      <c r="AZ10" s="3" t="s">
        <v>81</v>
      </c>
      <c r="BA10" s="3" t="s">
        <v>81</v>
      </c>
      <c r="BB10" s="3" t="s">
        <v>81</v>
      </c>
      <c r="BC10" s="3" t="s">
        <v>81</v>
      </c>
      <c r="BD10" s="3" t="s">
        <v>81</v>
      </c>
      <c r="BE10" s="3" t="s">
        <v>81</v>
      </c>
      <c r="BF10" s="3" t="s">
        <v>81</v>
      </c>
      <c r="BG10" s="3" t="s">
        <v>81</v>
      </c>
      <c r="BH10" s="3" t="s">
        <v>81</v>
      </c>
      <c r="BI10" s="3" t="s">
        <v>82</v>
      </c>
      <c r="BJ10" s="3" t="s">
        <v>82</v>
      </c>
      <c r="BK10" s="3" t="s">
        <v>83</v>
      </c>
      <c r="BL10" s="3" t="s">
        <v>84</v>
      </c>
      <c r="BM10" s="3" t="s">
        <v>82</v>
      </c>
      <c r="BN10" s="3" t="s">
        <v>84</v>
      </c>
      <c r="BO10" s="3" t="s">
        <v>82</v>
      </c>
      <c r="BP10" s="3" t="s">
        <v>87</v>
      </c>
      <c r="BQ10" s="3" t="s">
        <v>87</v>
      </c>
      <c r="BR10" s="3" t="s">
        <v>87</v>
      </c>
      <c r="BS10" s="3" t="s">
        <v>87</v>
      </c>
      <c r="BT10" s="3" t="s">
        <v>87</v>
      </c>
      <c r="BU10" s="3" t="s">
        <v>81</v>
      </c>
      <c r="BV10" s="3" t="s">
        <v>82</v>
      </c>
      <c r="BW10" s="3" t="s">
        <v>111</v>
      </c>
      <c r="BX10" s="3" t="s">
        <v>82</v>
      </c>
      <c r="BY10" s="3" t="s">
        <v>112</v>
      </c>
      <c r="BZ10" s="3" t="s">
        <v>93</v>
      </c>
      <c r="CD10" s="3">
        <v>9</v>
      </c>
    </row>
    <row r="11" spans="1:87" ht="15.75" hidden="1" customHeight="1" x14ac:dyDescent="0.15">
      <c r="A11" s="3">
        <v>1319811909</v>
      </c>
      <c r="B11" s="3" t="s">
        <v>108</v>
      </c>
      <c r="C11" s="3" t="s">
        <v>108</v>
      </c>
      <c r="D11" s="3">
        <v>3</v>
      </c>
      <c r="E11" s="3">
        <v>4</v>
      </c>
      <c r="F11" s="3">
        <v>52.088000000000001</v>
      </c>
      <c r="G11" s="3">
        <v>0</v>
      </c>
      <c r="H11" s="3" t="s">
        <v>81</v>
      </c>
      <c r="I11" s="3" t="s">
        <v>81</v>
      </c>
      <c r="J11" s="3" t="s">
        <v>81</v>
      </c>
      <c r="K11" s="3" t="s">
        <v>81</v>
      </c>
      <c r="L11" s="3" t="s">
        <v>81</v>
      </c>
      <c r="M11" s="3" t="s">
        <v>81</v>
      </c>
      <c r="N11" s="3" t="s">
        <v>81</v>
      </c>
      <c r="O11" s="3" t="s">
        <v>81</v>
      </c>
      <c r="P11" s="3" t="s">
        <v>81</v>
      </c>
      <c r="Q11" s="3">
        <v>51.18</v>
      </c>
      <c r="R11" s="3">
        <v>0</v>
      </c>
      <c r="S11" s="3" t="s">
        <v>81</v>
      </c>
      <c r="T11" s="3" t="s">
        <v>81</v>
      </c>
      <c r="U11" s="3" t="s">
        <v>81</v>
      </c>
      <c r="V11" s="3" t="s">
        <v>81</v>
      </c>
      <c r="W11" s="3" t="s">
        <v>81</v>
      </c>
      <c r="X11" s="3" t="s">
        <v>81</v>
      </c>
      <c r="Y11" s="3" t="s">
        <v>81</v>
      </c>
      <c r="Z11" s="3" t="s">
        <v>81</v>
      </c>
      <c r="AA11" s="3" t="s">
        <v>81</v>
      </c>
      <c r="AB11" s="3">
        <v>48.805999999999997</v>
      </c>
      <c r="AC11" s="3">
        <v>0</v>
      </c>
      <c r="AD11" s="3" t="s">
        <v>81</v>
      </c>
      <c r="AE11" s="3" t="s">
        <v>81</v>
      </c>
      <c r="AF11" s="3" t="s">
        <v>81</v>
      </c>
      <c r="AG11" s="3" t="s">
        <v>81</v>
      </c>
      <c r="AH11" s="3" t="s">
        <v>81</v>
      </c>
      <c r="AI11" s="3" t="s">
        <v>81</v>
      </c>
      <c r="AJ11" s="3" t="s">
        <v>81</v>
      </c>
      <c r="AK11" s="3" t="s">
        <v>81</v>
      </c>
      <c r="AL11" s="3" t="s">
        <v>81</v>
      </c>
      <c r="AM11" s="3" t="s">
        <v>81</v>
      </c>
      <c r="AN11" s="3">
        <v>0</v>
      </c>
      <c r="AO11" s="3" t="s">
        <v>81</v>
      </c>
      <c r="AP11" s="3" t="s">
        <v>81</v>
      </c>
      <c r="AQ11" s="3" t="s">
        <v>81</v>
      </c>
      <c r="AR11" s="3" t="s">
        <v>81</v>
      </c>
      <c r="AS11" s="3" t="s">
        <v>81</v>
      </c>
      <c r="AT11" s="3" t="s">
        <v>81</v>
      </c>
      <c r="AU11" s="3" t="s">
        <v>81</v>
      </c>
      <c r="AV11" s="3" t="s">
        <v>81</v>
      </c>
      <c r="AW11" s="3" t="s">
        <v>81</v>
      </c>
      <c r="AX11" s="3" t="s">
        <v>81</v>
      </c>
      <c r="AY11" s="3" t="s">
        <v>81</v>
      </c>
      <c r="AZ11" s="3" t="s">
        <v>81</v>
      </c>
      <c r="BA11" s="3" t="s">
        <v>81</v>
      </c>
      <c r="BB11" s="3" t="s">
        <v>81</v>
      </c>
      <c r="BC11" s="3" t="s">
        <v>81</v>
      </c>
      <c r="BD11" s="3" t="s">
        <v>81</v>
      </c>
      <c r="BE11" s="3" t="s">
        <v>81</v>
      </c>
      <c r="BF11" s="3" t="s">
        <v>81</v>
      </c>
      <c r="BG11" s="3" t="s">
        <v>81</v>
      </c>
      <c r="BH11" s="3" t="s">
        <v>81</v>
      </c>
      <c r="BI11" s="3" t="s">
        <v>82</v>
      </c>
      <c r="BJ11" s="3" t="s">
        <v>82</v>
      </c>
      <c r="BK11" s="3" t="s">
        <v>83</v>
      </c>
      <c r="BL11" s="3" t="s">
        <v>84</v>
      </c>
      <c r="BM11" s="3" t="s">
        <v>84</v>
      </c>
      <c r="BN11" s="3" t="s">
        <v>84</v>
      </c>
      <c r="BO11" s="3" t="s">
        <v>84</v>
      </c>
      <c r="BP11" s="3" t="s">
        <v>113</v>
      </c>
      <c r="BQ11" s="3" t="s">
        <v>113</v>
      </c>
      <c r="BR11" s="3" t="s">
        <v>113</v>
      </c>
      <c r="BS11" s="3" t="s">
        <v>114</v>
      </c>
      <c r="BT11" s="3" t="s">
        <v>87</v>
      </c>
      <c r="BU11" s="3" t="s">
        <v>81</v>
      </c>
      <c r="BV11" s="3" t="s">
        <v>84</v>
      </c>
      <c r="BW11" s="3" t="s">
        <v>83</v>
      </c>
      <c r="BX11" s="3" t="s">
        <v>82</v>
      </c>
      <c r="BZ11" s="3" t="s">
        <v>86</v>
      </c>
      <c r="CD11" s="3">
        <v>4</v>
      </c>
    </row>
    <row r="12" spans="1:87" ht="15.75" customHeight="1" x14ac:dyDescent="0.15">
      <c r="A12" s="3">
        <v>1318340552</v>
      </c>
      <c r="B12" s="3" t="s">
        <v>104</v>
      </c>
      <c r="C12" s="3" t="s">
        <v>104</v>
      </c>
      <c r="D12" s="3">
        <v>3</v>
      </c>
      <c r="E12" s="3">
        <v>3</v>
      </c>
      <c r="F12" s="3">
        <v>33.643000000000001</v>
      </c>
      <c r="G12" s="3">
        <v>2</v>
      </c>
      <c r="H12" s="3">
        <v>20.204000000000001</v>
      </c>
      <c r="I12" s="3">
        <v>10.728</v>
      </c>
      <c r="J12" s="3">
        <v>10.231999999999999</v>
      </c>
      <c r="K12" s="3">
        <v>10.291</v>
      </c>
      <c r="L12" s="3">
        <v>1.556</v>
      </c>
      <c r="M12" s="3" t="s">
        <v>81</v>
      </c>
      <c r="N12" s="3" t="s">
        <v>81</v>
      </c>
      <c r="O12" s="3" t="s">
        <v>81</v>
      </c>
      <c r="P12" s="3" t="s">
        <v>81</v>
      </c>
      <c r="Q12" s="3">
        <v>35.966000000000001</v>
      </c>
      <c r="R12" s="3">
        <v>2</v>
      </c>
      <c r="S12" s="3">
        <v>22.931000000000001</v>
      </c>
      <c r="T12" s="3">
        <v>14.654</v>
      </c>
      <c r="U12" s="3">
        <v>11.795999999999999</v>
      </c>
      <c r="V12" s="3">
        <v>13.039</v>
      </c>
      <c r="W12" s="3">
        <v>1.0640000000000001</v>
      </c>
      <c r="X12" s="3" t="s">
        <v>81</v>
      </c>
      <c r="Y12" s="3" t="s">
        <v>81</v>
      </c>
      <c r="Z12" s="3" t="s">
        <v>81</v>
      </c>
      <c r="AA12" s="3" t="s">
        <v>81</v>
      </c>
      <c r="AB12" s="3">
        <v>18.452000000000002</v>
      </c>
      <c r="AC12" s="3">
        <v>1</v>
      </c>
      <c r="AD12" s="3">
        <v>16.271000000000001</v>
      </c>
      <c r="AE12" s="3">
        <v>11.247999999999999</v>
      </c>
      <c r="AF12" s="3">
        <v>1.6359999999999999</v>
      </c>
      <c r="AG12" s="3" t="s">
        <v>81</v>
      </c>
      <c r="AH12" s="3" t="s">
        <v>81</v>
      </c>
      <c r="AI12" s="3" t="s">
        <v>81</v>
      </c>
      <c r="AJ12" s="3" t="s">
        <v>81</v>
      </c>
      <c r="AK12" s="3" t="s">
        <v>81</v>
      </c>
      <c r="AL12" s="3" t="s">
        <v>81</v>
      </c>
      <c r="AM12" s="3" t="s">
        <v>81</v>
      </c>
      <c r="AN12" s="3" t="s">
        <v>81</v>
      </c>
      <c r="AO12" s="3" t="s">
        <v>81</v>
      </c>
      <c r="AP12" s="3" t="s">
        <v>81</v>
      </c>
      <c r="AQ12" s="3" t="s">
        <v>81</v>
      </c>
      <c r="AR12" s="3" t="s">
        <v>81</v>
      </c>
      <c r="AS12" s="3" t="s">
        <v>81</v>
      </c>
      <c r="AT12" s="3" t="s">
        <v>81</v>
      </c>
      <c r="AU12" s="3" t="s">
        <v>81</v>
      </c>
      <c r="AV12" s="3" t="s">
        <v>81</v>
      </c>
      <c r="AW12" s="3" t="s">
        <v>81</v>
      </c>
      <c r="AX12" s="3" t="s">
        <v>81</v>
      </c>
      <c r="AY12" s="3" t="s">
        <v>81</v>
      </c>
      <c r="AZ12" s="3" t="s">
        <v>81</v>
      </c>
      <c r="BA12" s="3" t="s">
        <v>81</v>
      </c>
      <c r="BB12" s="3" t="s">
        <v>81</v>
      </c>
      <c r="BC12" s="3" t="s">
        <v>81</v>
      </c>
      <c r="BD12" s="3" t="s">
        <v>81</v>
      </c>
      <c r="BE12" s="3" t="s">
        <v>81</v>
      </c>
      <c r="BF12" s="3" t="s">
        <v>81</v>
      </c>
      <c r="BG12" s="3" t="s">
        <v>81</v>
      </c>
      <c r="BH12" s="3" t="s">
        <v>81</v>
      </c>
      <c r="BI12" s="3" t="s">
        <v>84</v>
      </c>
      <c r="BJ12" s="3" t="s">
        <v>84</v>
      </c>
      <c r="BK12" s="3" t="s">
        <v>82</v>
      </c>
      <c r="BL12" s="3" t="s">
        <v>84</v>
      </c>
      <c r="BM12" s="3" t="s">
        <v>84</v>
      </c>
      <c r="BN12" s="3" t="s">
        <v>82</v>
      </c>
      <c r="BO12" s="3" t="s">
        <v>84</v>
      </c>
      <c r="BP12" s="3" t="s">
        <v>106</v>
      </c>
      <c r="BQ12" s="3" t="s">
        <v>106</v>
      </c>
      <c r="BR12" s="3" t="s">
        <v>106</v>
      </c>
      <c r="BS12" s="3" t="s">
        <v>106</v>
      </c>
      <c r="BT12" s="3" t="s">
        <v>106</v>
      </c>
      <c r="BU12" s="3" t="s">
        <v>81</v>
      </c>
      <c r="BV12" s="3" t="s">
        <v>84</v>
      </c>
      <c r="BW12" s="3" t="s">
        <v>83</v>
      </c>
      <c r="BX12" s="3" t="s">
        <v>82</v>
      </c>
      <c r="BY12" s="3" t="s">
        <v>107</v>
      </c>
      <c r="BZ12" s="3" t="s">
        <v>86</v>
      </c>
      <c r="CB12" s="3" t="s">
        <v>84</v>
      </c>
      <c r="CD12" s="3">
        <v>2</v>
      </c>
      <c r="CE12">
        <v>6</v>
      </c>
      <c r="CI12" s="3"/>
    </row>
    <row r="13" spans="1:87" ht="15.75" customHeight="1" x14ac:dyDescent="0.15">
      <c r="A13" s="3">
        <v>1228626221</v>
      </c>
      <c r="B13" s="3" t="s">
        <v>115</v>
      </c>
      <c r="C13" s="3" t="s">
        <v>115</v>
      </c>
      <c r="D13" s="3">
        <v>4</v>
      </c>
      <c r="E13" s="3">
        <v>6</v>
      </c>
      <c r="F13" s="3">
        <v>48.377000000000002</v>
      </c>
      <c r="G13" s="3">
        <v>1</v>
      </c>
      <c r="H13" s="3">
        <v>31.984999999999999</v>
      </c>
      <c r="I13" s="3">
        <v>26.481999999999999</v>
      </c>
      <c r="J13" s="3">
        <v>15.906000000000001</v>
      </c>
      <c r="K13" s="3" t="s">
        <v>81</v>
      </c>
      <c r="L13" s="3" t="s">
        <v>81</v>
      </c>
      <c r="M13" s="3" t="s">
        <v>81</v>
      </c>
      <c r="N13" s="3" t="s">
        <v>81</v>
      </c>
      <c r="O13" s="3" t="s">
        <v>81</v>
      </c>
      <c r="P13" s="3" t="s">
        <v>81</v>
      </c>
      <c r="Q13" s="3">
        <v>53.752000000000002</v>
      </c>
      <c r="R13" s="3">
        <v>1</v>
      </c>
      <c r="S13" s="3">
        <v>37.651000000000003</v>
      </c>
      <c r="T13" s="3">
        <v>19.358000000000001</v>
      </c>
      <c r="U13" s="3">
        <v>14.372999999999999</v>
      </c>
      <c r="V13" s="3" t="s">
        <v>81</v>
      </c>
      <c r="W13" s="3" t="s">
        <v>81</v>
      </c>
      <c r="X13" s="3" t="s">
        <v>81</v>
      </c>
      <c r="Y13" s="3" t="s">
        <v>81</v>
      </c>
      <c r="Z13" s="3" t="s">
        <v>81</v>
      </c>
      <c r="AA13" s="3" t="s">
        <v>81</v>
      </c>
      <c r="AB13" s="3">
        <v>51.744</v>
      </c>
      <c r="AC13" s="3">
        <v>1</v>
      </c>
      <c r="AD13" s="3">
        <v>34.661000000000001</v>
      </c>
      <c r="AE13" s="3">
        <v>21.236000000000001</v>
      </c>
      <c r="AF13" s="3">
        <v>16.356000000000002</v>
      </c>
      <c r="AG13" s="3" t="s">
        <v>81</v>
      </c>
      <c r="AH13" s="3" t="s">
        <v>81</v>
      </c>
      <c r="AI13" s="3" t="s">
        <v>81</v>
      </c>
      <c r="AJ13" s="3" t="s">
        <v>81</v>
      </c>
      <c r="AK13" s="3" t="s">
        <v>81</v>
      </c>
      <c r="AL13" s="3" t="s">
        <v>81</v>
      </c>
      <c r="AM13" s="3">
        <v>51.066000000000003</v>
      </c>
      <c r="AN13" s="3">
        <v>1</v>
      </c>
      <c r="AO13" s="3">
        <v>35.551000000000002</v>
      </c>
      <c r="AP13" s="3">
        <v>26.120999999999999</v>
      </c>
      <c r="AQ13" s="3">
        <v>15.005000000000001</v>
      </c>
      <c r="AR13" s="3" t="s">
        <v>81</v>
      </c>
      <c r="AS13" s="3" t="s">
        <v>81</v>
      </c>
      <c r="AT13" s="3" t="s">
        <v>81</v>
      </c>
      <c r="AU13" s="3" t="s">
        <v>81</v>
      </c>
      <c r="AV13" s="3" t="s">
        <v>81</v>
      </c>
      <c r="AW13" s="3" t="s">
        <v>81</v>
      </c>
      <c r="AX13" s="3">
        <v>48.744</v>
      </c>
      <c r="AY13" s="3">
        <v>1</v>
      </c>
      <c r="AZ13" s="3">
        <v>33.899000000000001</v>
      </c>
      <c r="BA13" s="3">
        <v>20.468</v>
      </c>
      <c r="BB13" s="3">
        <v>15.371</v>
      </c>
      <c r="BC13" s="3" t="s">
        <v>81</v>
      </c>
      <c r="BD13" s="3" t="s">
        <v>81</v>
      </c>
      <c r="BE13" s="3" t="s">
        <v>81</v>
      </c>
      <c r="BF13" s="3" t="s">
        <v>81</v>
      </c>
      <c r="BG13" s="3" t="s">
        <v>81</v>
      </c>
      <c r="BH13" s="3" t="s">
        <v>81</v>
      </c>
      <c r="BI13" s="3" t="s">
        <v>84</v>
      </c>
      <c r="BJ13" s="3" t="s">
        <v>82</v>
      </c>
      <c r="BK13" s="3" t="s">
        <v>83</v>
      </c>
      <c r="BL13" s="3" t="s">
        <v>84</v>
      </c>
      <c r="BM13" s="3" t="s">
        <v>84</v>
      </c>
      <c r="BN13" s="3" t="s">
        <v>82</v>
      </c>
      <c r="BO13" s="3" t="s">
        <v>82</v>
      </c>
      <c r="BP13" s="3" t="s">
        <v>87</v>
      </c>
      <c r="BQ13" s="3" t="s">
        <v>87</v>
      </c>
      <c r="BR13" s="3" t="s">
        <v>116</v>
      </c>
      <c r="BS13" s="3" t="s">
        <v>116</v>
      </c>
      <c r="BT13" s="3" t="s">
        <v>87</v>
      </c>
      <c r="BU13" s="3" t="s">
        <v>81</v>
      </c>
      <c r="BV13" s="3" t="s">
        <v>84</v>
      </c>
      <c r="BW13" s="3" t="s">
        <v>83</v>
      </c>
      <c r="BX13" s="3" t="s">
        <v>82</v>
      </c>
      <c r="BY13" s="3"/>
      <c r="BZ13" s="3" t="s">
        <v>93</v>
      </c>
      <c r="CA13" s="3"/>
      <c r="CB13" s="3" t="s">
        <v>84</v>
      </c>
      <c r="CC13" s="3"/>
      <c r="CD13" s="3">
        <v>12</v>
      </c>
      <c r="CE13" s="3"/>
      <c r="CF13" s="3"/>
      <c r="CG13" s="3"/>
      <c r="CH13" s="3"/>
    </row>
    <row r="14" spans="1:87" ht="15.75" customHeight="1" x14ac:dyDescent="0.15">
      <c r="A14" s="3">
        <v>1322214876</v>
      </c>
      <c r="B14" s="3" t="s">
        <v>115</v>
      </c>
      <c r="C14" s="3" t="s">
        <v>115</v>
      </c>
      <c r="D14" s="3">
        <v>9</v>
      </c>
      <c r="E14" s="3">
        <v>12</v>
      </c>
      <c r="F14" s="3">
        <v>62.137</v>
      </c>
      <c r="G14" s="3">
        <v>1</v>
      </c>
      <c r="H14" s="3">
        <v>28.681999999999999</v>
      </c>
      <c r="I14" s="3">
        <v>12.845000000000001</v>
      </c>
      <c r="J14" s="3">
        <v>31.195</v>
      </c>
      <c r="K14" s="3" t="s">
        <v>81</v>
      </c>
      <c r="L14" s="3" t="s">
        <v>81</v>
      </c>
      <c r="M14" s="3" t="s">
        <v>81</v>
      </c>
      <c r="N14" s="3" t="s">
        <v>81</v>
      </c>
      <c r="O14" s="3" t="s">
        <v>81</v>
      </c>
      <c r="P14" s="3" t="s">
        <v>81</v>
      </c>
      <c r="Q14" s="3">
        <v>54.701999999999998</v>
      </c>
      <c r="R14" s="3">
        <v>1</v>
      </c>
      <c r="S14" s="3">
        <v>31.045000000000002</v>
      </c>
      <c r="T14" s="3">
        <v>16.052</v>
      </c>
      <c r="U14" s="3">
        <v>24.516999999999999</v>
      </c>
      <c r="V14" s="3" t="s">
        <v>81</v>
      </c>
      <c r="W14" s="3" t="s">
        <v>81</v>
      </c>
      <c r="X14" s="3" t="s">
        <v>81</v>
      </c>
      <c r="Y14" s="3" t="s">
        <v>81</v>
      </c>
      <c r="Z14" s="3" t="s">
        <v>81</v>
      </c>
      <c r="AA14" s="3" t="s">
        <v>81</v>
      </c>
      <c r="AB14" s="3">
        <v>60.423000000000002</v>
      </c>
      <c r="AC14" s="3">
        <v>1</v>
      </c>
      <c r="AD14" s="3">
        <v>21.734999999999999</v>
      </c>
      <c r="AE14" s="3">
        <v>22.015999999999998</v>
      </c>
      <c r="AF14" s="3">
        <v>37.728000000000002</v>
      </c>
      <c r="AG14" s="3" t="s">
        <v>81</v>
      </c>
      <c r="AH14" s="3" t="s">
        <v>81</v>
      </c>
      <c r="AI14" s="3" t="s">
        <v>81</v>
      </c>
      <c r="AJ14" s="3" t="s">
        <v>81</v>
      </c>
      <c r="AK14" s="3" t="s">
        <v>81</v>
      </c>
      <c r="AL14" s="3" t="s">
        <v>81</v>
      </c>
      <c r="AM14" s="3">
        <v>73.206999999999994</v>
      </c>
      <c r="AN14" s="3">
        <v>1</v>
      </c>
      <c r="AO14" s="3">
        <v>38.521999999999998</v>
      </c>
      <c r="AP14" s="3">
        <v>17.445</v>
      </c>
      <c r="AQ14" s="3">
        <v>33.674999999999997</v>
      </c>
      <c r="AR14" s="3" t="s">
        <v>81</v>
      </c>
      <c r="AS14" s="3" t="s">
        <v>81</v>
      </c>
      <c r="AT14" s="3" t="s">
        <v>81</v>
      </c>
      <c r="AU14" s="3" t="s">
        <v>81</v>
      </c>
      <c r="AV14" s="3" t="s">
        <v>81</v>
      </c>
      <c r="AW14" s="3" t="s">
        <v>81</v>
      </c>
      <c r="AX14" s="3">
        <v>59.534999999999997</v>
      </c>
      <c r="AY14" s="3">
        <v>1</v>
      </c>
      <c r="AZ14" s="3">
        <v>23.308</v>
      </c>
      <c r="BA14" s="3">
        <v>14.945</v>
      </c>
      <c r="BB14" s="3">
        <v>35</v>
      </c>
      <c r="BC14" s="3" t="s">
        <v>81</v>
      </c>
      <c r="BD14" s="3" t="s">
        <v>81</v>
      </c>
      <c r="BE14" s="3" t="s">
        <v>81</v>
      </c>
      <c r="BF14" s="3" t="s">
        <v>81</v>
      </c>
      <c r="BG14" s="3" t="s">
        <v>81</v>
      </c>
      <c r="BH14" s="3" t="s">
        <v>81</v>
      </c>
      <c r="BI14" s="3" t="s">
        <v>84</v>
      </c>
      <c r="BJ14" s="3" t="s">
        <v>84</v>
      </c>
      <c r="BK14" s="3" t="s">
        <v>82</v>
      </c>
      <c r="BL14" s="3" t="s">
        <v>84</v>
      </c>
      <c r="BM14" s="3" t="s">
        <v>84</v>
      </c>
      <c r="BN14" s="3" t="s">
        <v>82</v>
      </c>
      <c r="BO14" s="3" t="s">
        <v>82</v>
      </c>
      <c r="BP14" s="3" t="s">
        <v>87</v>
      </c>
      <c r="BQ14" s="3" t="s">
        <v>87</v>
      </c>
      <c r="BR14" s="3" t="s">
        <v>87</v>
      </c>
      <c r="BS14" s="3" t="s">
        <v>87</v>
      </c>
      <c r="BT14" s="3" t="s">
        <v>87</v>
      </c>
      <c r="BU14" s="3" t="s">
        <v>81</v>
      </c>
      <c r="BV14" s="3" t="s">
        <v>82</v>
      </c>
      <c r="BW14" s="3" t="s">
        <v>91</v>
      </c>
      <c r="BX14" s="3" t="s">
        <v>82</v>
      </c>
      <c r="BY14" s="3" t="s">
        <v>117</v>
      </c>
      <c r="BZ14" s="3" t="s">
        <v>86</v>
      </c>
      <c r="CB14" s="3" t="s">
        <v>84</v>
      </c>
      <c r="CD14" s="3">
        <v>22</v>
      </c>
    </row>
    <row r="15" spans="1:87" ht="15.75" customHeight="1" x14ac:dyDescent="0.15">
      <c r="A15" s="3">
        <v>1322106996</v>
      </c>
      <c r="B15" s="3" t="s">
        <v>115</v>
      </c>
      <c r="C15" s="3" t="s">
        <v>115</v>
      </c>
      <c r="D15" s="3">
        <v>6</v>
      </c>
      <c r="E15" s="3">
        <v>6</v>
      </c>
      <c r="F15" s="3">
        <v>79.078000000000003</v>
      </c>
      <c r="G15" s="3">
        <v>3</v>
      </c>
      <c r="H15" s="3">
        <v>45.631</v>
      </c>
      <c r="I15" s="3">
        <v>10.773999999999999</v>
      </c>
      <c r="J15" s="3">
        <v>24.167000000000002</v>
      </c>
      <c r="K15" s="3">
        <v>8.8439999999999994</v>
      </c>
      <c r="L15" s="3">
        <v>8.6739999999999995</v>
      </c>
      <c r="M15" s="3">
        <v>3.21</v>
      </c>
      <c r="N15" s="3">
        <v>0.55600000000000005</v>
      </c>
      <c r="O15" s="3" t="s">
        <v>81</v>
      </c>
      <c r="P15" s="3" t="s">
        <v>81</v>
      </c>
      <c r="Q15" s="3">
        <v>85.031999999999996</v>
      </c>
      <c r="R15" s="3">
        <v>3</v>
      </c>
      <c r="S15" s="3">
        <v>48.540999999999997</v>
      </c>
      <c r="T15" s="3">
        <v>10.220000000000001</v>
      </c>
      <c r="U15" s="3">
        <v>25.748999999999999</v>
      </c>
      <c r="V15" s="3">
        <v>7.87</v>
      </c>
      <c r="W15" s="3">
        <v>8.3610000000000007</v>
      </c>
      <c r="X15" s="3">
        <v>2.536</v>
      </c>
      <c r="Y15" s="3">
        <v>0.28299999999999997</v>
      </c>
      <c r="Z15" s="3" t="s">
        <v>81</v>
      </c>
      <c r="AA15" s="3" t="s">
        <v>81</v>
      </c>
      <c r="AB15" s="3">
        <v>79.010000000000005</v>
      </c>
      <c r="AC15" s="3">
        <v>3</v>
      </c>
      <c r="AD15" s="3">
        <v>36.112000000000002</v>
      </c>
      <c r="AE15" s="3">
        <v>17.102</v>
      </c>
      <c r="AF15" s="3">
        <v>29.859000000000002</v>
      </c>
      <c r="AG15" s="3">
        <v>7.8490000000000002</v>
      </c>
      <c r="AH15" s="3">
        <v>9.7379999999999995</v>
      </c>
      <c r="AI15" s="3">
        <v>3.7269999999999999</v>
      </c>
      <c r="AJ15" s="3">
        <v>0.68100000000000005</v>
      </c>
      <c r="AK15" s="3" t="s">
        <v>81</v>
      </c>
      <c r="AL15" s="3" t="s">
        <v>81</v>
      </c>
      <c r="AM15" s="3">
        <v>76.721999999999994</v>
      </c>
      <c r="AN15" s="3">
        <v>3</v>
      </c>
      <c r="AO15" s="3">
        <v>39.387999999999998</v>
      </c>
      <c r="AP15" s="3">
        <v>12.388999999999999</v>
      </c>
      <c r="AQ15" s="3">
        <v>26.748000000000001</v>
      </c>
      <c r="AR15" s="3" t="s">
        <v>81</v>
      </c>
      <c r="AS15" s="3">
        <v>7.8280000000000003</v>
      </c>
      <c r="AT15" s="3">
        <v>3.22</v>
      </c>
      <c r="AU15" s="3">
        <v>1.2270000000000001</v>
      </c>
      <c r="AV15" s="3" t="s">
        <v>81</v>
      </c>
      <c r="AW15" s="3" t="s">
        <v>81</v>
      </c>
      <c r="AX15" s="3">
        <v>75.385000000000005</v>
      </c>
      <c r="AY15" s="3">
        <v>3</v>
      </c>
      <c r="AZ15" s="3">
        <v>39.162999999999997</v>
      </c>
      <c r="BA15" s="3" t="s">
        <v>81</v>
      </c>
      <c r="BB15" s="3">
        <v>27.356999999999999</v>
      </c>
      <c r="BC15" s="3">
        <v>7.8280000000000003</v>
      </c>
      <c r="BD15" s="3">
        <v>6.6159999999999997</v>
      </c>
      <c r="BE15" s="3">
        <v>2.8780000000000001</v>
      </c>
      <c r="BF15" s="3">
        <v>0.625</v>
      </c>
      <c r="BG15" s="3" t="s">
        <v>81</v>
      </c>
      <c r="BH15" s="3" t="s">
        <v>81</v>
      </c>
      <c r="BI15" s="3" t="s">
        <v>84</v>
      </c>
      <c r="BJ15" s="3" t="s">
        <v>84</v>
      </c>
      <c r="BK15" s="3" t="s">
        <v>82</v>
      </c>
      <c r="BL15" s="3" t="s">
        <v>84</v>
      </c>
      <c r="BM15" s="3" t="s">
        <v>84</v>
      </c>
      <c r="BN15" s="3" t="s">
        <v>82</v>
      </c>
      <c r="BO15" s="3" t="s">
        <v>83</v>
      </c>
      <c r="BP15" s="3" t="s">
        <v>81</v>
      </c>
      <c r="BQ15" s="3" t="s">
        <v>81</v>
      </c>
      <c r="BR15" s="3" t="s">
        <v>81</v>
      </c>
      <c r="BS15" s="3" t="s">
        <v>81</v>
      </c>
      <c r="BT15" s="3" t="s">
        <v>81</v>
      </c>
      <c r="BU15" s="3" t="s">
        <v>81</v>
      </c>
      <c r="BV15" s="3" t="s">
        <v>82</v>
      </c>
      <c r="BW15" s="3" t="s">
        <v>91</v>
      </c>
      <c r="BX15" s="3" t="s">
        <v>82</v>
      </c>
      <c r="BY15" s="3" t="s">
        <v>118</v>
      </c>
      <c r="BZ15" s="3" t="s">
        <v>86</v>
      </c>
      <c r="CB15" s="3" t="s">
        <v>84</v>
      </c>
      <c r="CD15" s="3">
        <v>16</v>
      </c>
      <c r="CI15" s="3"/>
    </row>
    <row r="16" spans="1:87" ht="15.75" customHeight="1" x14ac:dyDescent="0.15">
      <c r="A16" s="3">
        <v>1322745819</v>
      </c>
      <c r="B16" s="3" t="s">
        <v>119</v>
      </c>
      <c r="C16" s="3" t="s">
        <v>119</v>
      </c>
      <c r="D16" s="3" t="s">
        <v>81</v>
      </c>
      <c r="E16" s="3">
        <v>4</v>
      </c>
      <c r="F16" s="3">
        <v>31.943999999999999</v>
      </c>
      <c r="G16" s="3">
        <v>1</v>
      </c>
      <c r="H16" s="3">
        <v>7.69</v>
      </c>
      <c r="I16" s="3">
        <v>22.986000000000001</v>
      </c>
      <c r="J16" s="3">
        <v>23.966999999999999</v>
      </c>
      <c r="K16" s="3" t="s">
        <v>81</v>
      </c>
      <c r="L16" s="3" t="s">
        <v>81</v>
      </c>
      <c r="M16" s="3" t="s">
        <v>81</v>
      </c>
      <c r="N16" s="3" t="s">
        <v>81</v>
      </c>
      <c r="O16" s="3" t="s">
        <v>81</v>
      </c>
      <c r="P16" s="3" t="s">
        <v>81</v>
      </c>
      <c r="Q16" s="3">
        <v>34.668999999999997</v>
      </c>
      <c r="R16" s="3">
        <v>1</v>
      </c>
      <c r="S16" s="3">
        <v>4.3390000000000004</v>
      </c>
      <c r="T16" s="3">
        <v>28.806999999999999</v>
      </c>
      <c r="U16" s="3">
        <v>29.423999999999999</v>
      </c>
      <c r="V16" s="3" t="s">
        <v>81</v>
      </c>
      <c r="W16" s="3" t="s">
        <v>81</v>
      </c>
      <c r="X16" s="3" t="s">
        <v>81</v>
      </c>
      <c r="Y16" s="3" t="s">
        <v>81</v>
      </c>
      <c r="Z16" s="3" t="s">
        <v>81</v>
      </c>
      <c r="AA16" s="3" t="s">
        <v>81</v>
      </c>
      <c r="AB16" s="3" t="s">
        <v>81</v>
      </c>
      <c r="AC16" s="3" t="s">
        <v>81</v>
      </c>
      <c r="AD16" s="3" t="s">
        <v>81</v>
      </c>
      <c r="AE16" s="3" t="s">
        <v>81</v>
      </c>
      <c r="AF16" s="3" t="s">
        <v>81</v>
      </c>
      <c r="AG16" s="3" t="s">
        <v>81</v>
      </c>
      <c r="AH16" s="3" t="s">
        <v>81</v>
      </c>
      <c r="AI16" s="3" t="s">
        <v>81</v>
      </c>
      <c r="AJ16" s="3" t="s">
        <v>81</v>
      </c>
      <c r="AK16" s="3" t="s">
        <v>81</v>
      </c>
      <c r="AL16" s="3" t="s">
        <v>81</v>
      </c>
      <c r="AM16" s="3" t="s">
        <v>81</v>
      </c>
      <c r="AN16" s="3" t="s">
        <v>81</v>
      </c>
      <c r="AO16" s="3" t="s">
        <v>81</v>
      </c>
      <c r="AP16" s="3" t="s">
        <v>81</v>
      </c>
      <c r="AQ16" s="3" t="s">
        <v>81</v>
      </c>
      <c r="AR16" s="3" t="s">
        <v>81</v>
      </c>
      <c r="AS16" s="3" t="s">
        <v>81</v>
      </c>
      <c r="AT16" s="3" t="s">
        <v>81</v>
      </c>
      <c r="AU16" s="3" t="s">
        <v>81</v>
      </c>
      <c r="AV16" s="3" t="s">
        <v>81</v>
      </c>
      <c r="AW16" s="3" t="s">
        <v>81</v>
      </c>
      <c r="AX16" s="3" t="s">
        <v>81</v>
      </c>
      <c r="AY16" s="3" t="s">
        <v>81</v>
      </c>
      <c r="AZ16" s="3" t="s">
        <v>81</v>
      </c>
      <c r="BA16" s="3" t="s">
        <v>81</v>
      </c>
      <c r="BB16" s="3" t="s">
        <v>81</v>
      </c>
      <c r="BC16" s="3" t="s">
        <v>81</v>
      </c>
      <c r="BD16" s="3" t="s">
        <v>81</v>
      </c>
      <c r="BE16" s="3" t="s">
        <v>81</v>
      </c>
      <c r="BF16" s="3" t="s">
        <v>81</v>
      </c>
      <c r="BG16" s="3" t="s">
        <v>81</v>
      </c>
      <c r="BH16" s="3" t="s">
        <v>81</v>
      </c>
      <c r="BI16" s="3" t="s">
        <v>84</v>
      </c>
      <c r="BJ16" s="3" t="s">
        <v>82</v>
      </c>
      <c r="BK16" s="3" t="s">
        <v>83</v>
      </c>
      <c r="BL16" s="3" t="s">
        <v>84</v>
      </c>
      <c r="BM16" s="3" t="s">
        <v>84</v>
      </c>
      <c r="BN16" s="3" t="s">
        <v>82</v>
      </c>
      <c r="BO16" s="3" t="s">
        <v>82</v>
      </c>
      <c r="BP16" s="3" t="s">
        <v>120</v>
      </c>
      <c r="BQ16" s="3" t="s">
        <v>120</v>
      </c>
      <c r="BR16" s="3" t="s">
        <v>120</v>
      </c>
      <c r="BS16" s="3" t="s">
        <v>120</v>
      </c>
      <c r="BT16" s="3" t="s">
        <v>87</v>
      </c>
      <c r="BU16" s="3" t="s">
        <v>98</v>
      </c>
      <c r="BV16" s="3" t="s">
        <v>82</v>
      </c>
      <c r="BW16" s="3" t="s">
        <v>91</v>
      </c>
      <c r="BX16" s="3" t="s">
        <v>84</v>
      </c>
      <c r="BY16" s="3" t="s">
        <v>121</v>
      </c>
      <c r="BZ16" s="3" t="s">
        <v>86</v>
      </c>
      <c r="CA16" s="3"/>
      <c r="CB16" s="3" t="s">
        <v>84</v>
      </c>
      <c r="CC16" s="3"/>
      <c r="CD16" s="3">
        <v>9</v>
      </c>
      <c r="CE16" s="3"/>
      <c r="CF16" s="3"/>
      <c r="CG16" s="3"/>
      <c r="CH16" s="3"/>
    </row>
    <row r="17" spans="1:87" ht="15.75" customHeight="1" x14ac:dyDescent="0.15">
      <c r="A17" s="3">
        <v>1260871688</v>
      </c>
      <c r="B17" s="3" t="s">
        <v>119</v>
      </c>
      <c r="C17" s="3" t="s">
        <v>119</v>
      </c>
      <c r="D17" s="3" t="s">
        <v>81</v>
      </c>
      <c r="E17" s="3">
        <v>4</v>
      </c>
      <c r="F17" s="3">
        <v>32.353999999999999</v>
      </c>
      <c r="G17" s="3">
        <v>1</v>
      </c>
      <c r="H17" s="3">
        <v>8.5</v>
      </c>
      <c r="I17" s="3">
        <v>23.721</v>
      </c>
      <c r="J17" s="3">
        <v>23.149000000000001</v>
      </c>
      <c r="K17" s="3" t="s">
        <v>81</v>
      </c>
      <c r="L17" s="3" t="s">
        <v>81</v>
      </c>
      <c r="M17" s="3" t="s">
        <v>81</v>
      </c>
      <c r="N17" s="3" t="s">
        <v>81</v>
      </c>
      <c r="O17" s="3" t="s">
        <v>81</v>
      </c>
      <c r="P17" s="3" t="s">
        <v>81</v>
      </c>
      <c r="Q17" s="3">
        <v>31.899000000000001</v>
      </c>
      <c r="R17" s="3">
        <v>1</v>
      </c>
      <c r="S17" s="3">
        <v>8.0839999999999996</v>
      </c>
      <c r="T17" s="3">
        <v>25.077000000000002</v>
      </c>
      <c r="U17" s="3">
        <v>24.356999999999999</v>
      </c>
      <c r="V17" s="3" t="s">
        <v>81</v>
      </c>
      <c r="W17" s="3" t="s">
        <v>81</v>
      </c>
      <c r="X17" s="3" t="s">
        <v>81</v>
      </c>
      <c r="Y17" s="3" t="s">
        <v>81</v>
      </c>
      <c r="Z17" s="3" t="s">
        <v>81</v>
      </c>
      <c r="AA17" s="3" t="s">
        <v>81</v>
      </c>
      <c r="AB17" s="3">
        <v>35.051000000000002</v>
      </c>
      <c r="AC17" s="3">
        <v>1</v>
      </c>
      <c r="AD17" s="3">
        <v>11.766999999999999</v>
      </c>
      <c r="AE17" s="3" t="s">
        <v>81</v>
      </c>
      <c r="AF17" s="3">
        <v>23.617000000000001</v>
      </c>
      <c r="AG17" s="3" t="s">
        <v>81</v>
      </c>
      <c r="AH17" s="3" t="s">
        <v>81</v>
      </c>
      <c r="AI17" s="3" t="s">
        <v>81</v>
      </c>
      <c r="AJ17" s="3" t="s">
        <v>81</v>
      </c>
      <c r="AK17" s="3" t="s">
        <v>81</v>
      </c>
      <c r="AL17" s="3" t="s">
        <v>81</v>
      </c>
      <c r="AM17" s="3" t="s">
        <v>81</v>
      </c>
      <c r="AN17" s="3">
        <v>1</v>
      </c>
      <c r="AO17" s="3" t="s">
        <v>81</v>
      </c>
      <c r="AP17" s="3" t="s">
        <v>81</v>
      </c>
      <c r="AQ17" s="3" t="s">
        <v>81</v>
      </c>
      <c r="AR17" s="3" t="s">
        <v>81</v>
      </c>
      <c r="AS17" s="3" t="s">
        <v>81</v>
      </c>
      <c r="AT17" s="3" t="s">
        <v>81</v>
      </c>
      <c r="AU17" s="3" t="s">
        <v>81</v>
      </c>
      <c r="AV17" s="3" t="s">
        <v>81</v>
      </c>
      <c r="AW17" s="3" t="s">
        <v>81</v>
      </c>
      <c r="AX17" s="3" t="s">
        <v>81</v>
      </c>
      <c r="AY17" s="3" t="s">
        <v>81</v>
      </c>
      <c r="AZ17" s="3" t="s">
        <v>81</v>
      </c>
      <c r="BA17" s="3" t="s">
        <v>81</v>
      </c>
      <c r="BB17" s="3" t="s">
        <v>81</v>
      </c>
      <c r="BC17" s="3" t="s">
        <v>81</v>
      </c>
      <c r="BD17" s="3" t="s">
        <v>81</v>
      </c>
      <c r="BE17" s="3" t="s">
        <v>81</v>
      </c>
      <c r="BF17" s="3" t="s">
        <v>81</v>
      </c>
      <c r="BG17" s="3" t="s">
        <v>81</v>
      </c>
      <c r="BH17" s="3" t="s">
        <v>81</v>
      </c>
      <c r="BI17" s="3" t="s">
        <v>84</v>
      </c>
      <c r="BJ17" s="3" t="s">
        <v>82</v>
      </c>
      <c r="BK17" s="3" t="s">
        <v>83</v>
      </c>
      <c r="BL17" s="3" t="s">
        <v>84</v>
      </c>
      <c r="BM17" s="3" t="s">
        <v>84</v>
      </c>
      <c r="BN17" s="3" t="s">
        <v>82</v>
      </c>
      <c r="BO17" s="3" t="s">
        <v>82</v>
      </c>
      <c r="BP17" s="3" t="s">
        <v>81</v>
      </c>
      <c r="BQ17" s="3" t="s">
        <v>81</v>
      </c>
      <c r="BR17" s="3" t="s">
        <v>81</v>
      </c>
      <c r="BS17" s="3" t="s">
        <v>81</v>
      </c>
      <c r="BT17" s="3" t="s">
        <v>81</v>
      </c>
      <c r="BU17" s="3" t="s">
        <v>81</v>
      </c>
      <c r="BV17" s="3" t="s">
        <v>82</v>
      </c>
      <c r="BW17" s="3" t="s">
        <v>91</v>
      </c>
      <c r="BX17" s="3" t="s">
        <v>84</v>
      </c>
      <c r="BY17" s="3" t="s">
        <v>122</v>
      </c>
      <c r="BZ17" s="3" t="s">
        <v>123</v>
      </c>
      <c r="CB17" s="3" t="s">
        <v>84</v>
      </c>
      <c r="CD17" s="3"/>
    </row>
    <row r="18" spans="1:87" ht="15.75" customHeight="1" x14ac:dyDescent="0.15">
      <c r="A18" s="3">
        <v>1998734384</v>
      </c>
      <c r="B18" s="3" t="s">
        <v>119</v>
      </c>
      <c r="C18" s="3" t="s">
        <v>119</v>
      </c>
      <c r="D18" s="3" t="s">
        <v>81</v>
      </c>
      <c r="E18" s="3">
        <v>2</v>
      </c>
      <c r="F18" s="3">
        <v>39.741</v>
      </c>
      <c r="G18" s="3">
        <v>1</v>
      </c>
      <c r="H18" s="3">
        <v>11.537000000000001</v>
      </c>
      <c r="I18" s="3">
        <v>20.53</v>
      </c>
      <c r="J18" s="3">
        <v>27.79</v>
      </c>
      <c r="K18" s="3" t="s">
        <v>81</v>
      </c>
      <c r="L18" s="3" t="s">
        <v>81</v>
      </c>
      <c r="M18" s="3" t="s">
        <v>81</v>
      </c>
      <c r="N18" s="3" t="s">
        <v>81</v>
      </c>
      <c r="O18" s="3" t="s">
        <v>81</v>
      </c>
      <c r="P18" s="3" t="s">
        <v>81</v>
      </c>
      <c r="Q18" s="3">
        <v>32.631</v>
      </c>
      <c r="R18" s="3">
        <v>1</v>
      </c>
      <c r="S18" s="3">
        <v>10.271000000000001</v>
      </c>
      <c r="T18" s="3">
        <v>20.343</v>
      </c>
      <c r="U18" s="3">
        <v>21.577000000000002</v>
      </c>
      <c r="V18" s="3" t="s">
        <v>81</v>
      </c>
      <c r="W18" s="3" t="s">
        <v>81</v>
      </c>
      <c r="X18" s="3" t="s">
        <v>81</v>
      </c>
      <c r="Y18" s="3" t="s">
        <v>81</v>
      </c>
      <c r="Z18" s="3" t="s">
        <v>81</v>
      </c>
      <c r="AA18" s="3" t="s">
        <v>81</v>
      </c>
      <c r="AB18" s="3" t="s">
        <v>81</v>
      </c>
      <c r="AC18" s="3" t="s">
        <v>81</v>
      </c>
      <c r="AD18" s="3" t="s">
        <v>81</v>
      </c>
      <c r="AE18" s="3" t="s">
        <v>81</v>
      </c>
      <c r="AF18" s="3" t="s">
        <v>81</v>
      </c>
      <c r="AG18" s="3" t="s">
        <v>81</v>
      </c>
      <c r="AH18" s="3" t="s">
        <v>81</v>
      </c>
      <c r="AI18" s="3" t="s">
        <v>81</v>
      </c>
      <c r="AJ18" s="3" t="s">
        <v>81</v>
      </c>
      <c r="AK18" s="3" t="s">
        <v>81</v>
      </c>
      <c r="AL18" s="3" t="s">
        <v>81</v>
      </c>
      <c r="AM18" s="3" t="s">
        <v>81</v>
      </c>
      <c r="AN18" s="3" t="s">
        <v>81</v>
      </c>
      <c r="AO18" s="3" t="s">
        <v>81</v>
      </c>
      <c r="AP18" s="3" t="s">
        <v>81</v>
      </c>
      <c r="AQ18" s="3" t="s">
        <v>81</v>
      </c>
      <c r="AR18" s="3" t="s">
        <v>81</v>
      </c>
      <c r="AS18" s="3" t="s">
        <v>81</v>
      </c>
      <c r="AT18" s="3" t="s">
        <v>81</v>
      </c>
      <c r="AU18" s="3" t="s">
        <v>81</v>
      </c>
      <c r="AV18" s="3" t="s">
        <v>81</v>
      </c>
      <c r="AW18" s="3" t="s">
        <v>81</v>
      </c>
      <c r="AX18" s="3" t="s">
        <v>81</v>
      </c>
      <c r="AY18" s="3" t="s">
        <v>81</v>
      </c>
      <c r="AZ18" s="3" t="s">
        <v>81</v>
      </c>
      <c r="BA18" s="3" t="s">
        <v>81</v>
      </c>
      <c r="BB18" s="3" t="s">
        <v>81</v>
      </c>
      <c r="BC18" s="3" t="s">
        <v>81</v>
      </c>
      <c r="BD18" s="3" t="s">
        <v>81</v>
      </c>
      <c r="BE18" s="3" t="s">
        <v>81</v>
      </c>
      <c r="BF18" s="3" t="s">
        <v>81</v>
      </c>
      <c r="BG18" s="3" t="s">
        <v>81</v>
      </c>
      <c r="BH18" s="3" t="s">
        <v>81</v>
      </c>
      <c r="BI18" s="3" t="s">
        <v>84</v>
      </c>
      <c r="BJ18" s="3" t="s">
        <v>82</v>
      </c>
      <c r="BK18" s="3" t="s">
        <v>83</v>
      </c>
      <c r="BL18" s="3" t="s">
        <v>84</v>
      </c>
      <c r="BM18" s="3" t="s">
        <v>84</v>
      </c>
      <c r="BN18" s="3" t="s">
        <v>82</v>
      </c>
      <c r="BO18" s="3" t="s">
        <v>83</v>
      </c>
      <c r="BP18" s="3" t="s">
        <v>81</v>
      </c>
      <c r="BQ18" s="3" t="s">
        <v>81</v>
      </c>
      <c r="BR18" s="3" t="s">
        <v>81</v>
      </c>
      <c r="BS18" s="3" t="s">
        <v>81</v>
      </c>
      <c r="BT18" s="3" t="s">
        <v>81</v>
      </c>
      <c r="BU18" s="3" t="s">
        <v>81</v>
      </c>
      <c r="BV18" s="3" t="s">
        <v>82</v>
      </c>
      <c r="BW18" s="3" t="s">
        <v>91</v>
      </c>
      <c r="BX18" s="3" t="s">
        <v>84</v>
      </c>
      <c r="BY18" s="3" t="s">
        <v>124</v>
      </c>
      <c r="BZ18" s="3" t="s">
        <v>125</v>
      </c>
      <c r="CB18" s="3" t="s">
        <v>84</v>
      </c>
      <c r="CD18" s="3"/>
      <c r="CI18" s="3"/>
    </row>
    <row r="19" spans="1:87" ht="15.75" customHeight="1" x14ac:dyDescent="0.15">
      <c r="A19" s="3">
        <v>2625831807</v>
      </c>
      <c r="B19" s="3" t="s">
        <v>126</v>
      </c>
      <c r="C19" s="3" t="s">
        <v>126</v>
      </c>
      <c r="D19" s="3">
        <v>8</v>
      </c>
      <c r="E19" s="3">
        <v>20</v>
      </c>
      <c r="F19" s="3">
        <v>28.588000000000001</v>
      </c>
      <c r="G19" s="3">
        <v>0</v>
      </c>
      <c r="H19" s="3" t="s">
        <v>81</v>
      </c>
      <c r="I19" s="3" t="s">
        <v>81</v>
      </c>
      <c r="J19" s="3" t="s">
        <v>81</v>
      </c>
      <c r="K19" s="3" t="s">
        <v>81</v>
      </c>
      <c r="L19" s="3" t="s">
        <v>81</v>
      </c>
      <c r="M19" s="3" t="s">
        <v>81</v>
      </c>
      <c r="N19" s="3" t="s">
        <v>81</v>
      </c>
      <c r="O19" s="3" t="s">
        <v>81</v>
      </c>
      <c r="P19" s="3" t="s">
        <v>81</v>
      </c>
      <c r="Q19" s="3">
        <v>28.565000000000001</v>
      </c>
      <c r="R19" s="3">
        <v>0</v>
      </c>
      <c r="S19" s="3" t="s">
        <v>81</v>
      </c>
      <c r="T19" s="3" t="s">
        <v>81</v>
      </c>
      <c r="U19" s="3" t="s">
        <v>81</v>
      </c>
      <c r="V19" s="3" t="s">
        <v>81</v>
      </c>
      <c r="W19" s="3" t="s">
        <v>81</v>
      </c>
      <c r="X19" s="3" t="s">
        <v>81</v>
      </c>
      <c r="Y19" s="3" t="s">
        <v>81</v>
      </c>
      <c r="Z19" s="3" t="s">
        <v>81</v>
      </c>
      <c r="AA19" s="3" t="s">
        <v>81</v>
      </c>
      <c r="AB19" s="3">
        <v>28.036999999999999</v>
      </c>
      <c r="AC19" s="3">
        <v>0</v>
      </c>
      <c r="AD19" s="3" t="s">
        <v>81</v>
      </c>
      <c r="AE19" s="3" t="s">
        <v>81</v>
      </c>
      <c r="AF19" s="3" t="s">
        <v>81</v>
      </c>
      <c r="AG19" s="3" t="s">
        <v>81</v>
      </c>
      <c r="AH19" s="3" t="s">
        <v>81</v>
      </c>
      <c r="AI19" s="3" t="s">
        <v>81</v>
      </c>
      <c r="AJ19" s="3" t="s">
        <v>81</v>
      </c>
      <c r="AK19" s="3" t="s">
        <v>81</v>
      </c>
      <c r="AL19" s="3" t="s">
        <v>81</v>
      </c>
      <c r="AM19" s="3">
        <v>29.28</v>
      </c>
      <c r="AN19" s="3">
        <v>0</v>
      </c>
      <c r="AO19" s="3" t="s">
        <v>81</v>
      </c>
      <c r="AP19" s="3" t="s">
        <v>81</v>
      </c>
      <c r="AQ19" s="3" t="s">
        <v>81</v>
      </c>
      <c r="AR19" s="3" t="s">
        <v>81</v>
      </c>
      <c r="AS19" s="3" t="s">
        <v>81</v>
      </c>
      <c r="AT19" s="3" t="s">
        <v>81</v>
      </c>
      <c r="AU19" s="3" t="s">
        <v>81</v>
      </c>
      <c r="AV19" s="3" t="s">
        <v>81</v>
      </c>
      <c r="AW19" s="3" t="s">
        <v>81</v>
      </c>
      <c r="AX19" s="3">
        <v>30.619</v>
      </c>
      <c r="AY19" s="3">
        <v>0</v>
      </c>
      <c r="AZ19" s="3" t="s">
        <v>81</v>
      </c>
      <c r="BA19" s="3" t="s">
        <v>81</v>
      </c>
      <c r="BB19" s="3" t="s">
        <v>81</v>
      </c>
      <c r="BC19" s="3" t="s">
        <v>81</v>
      </c>
      <c r="BD19" s="3" t="s">
        <v>81</v>
      </c>
      <c r="BE19" s="3" t="s">
        <v>81</v>
      </c>
      <c r="BF19" s="3" t="s">
        <v>81</v>
      </c>
      <c r="BG19" s="3" t="s">
        <v>81</v>
      </c>
      <c r="BH19" s="3" t="s">
        <v>81</v>
      </c>
      <c r="BI19" s="3" t="s">
        <v>84</v>
      </c>
      <c r="BJ19" s="3" t="s">
        <v>82</v>
      </c>
      <c r="BK19" s="3" t="s">
        <v>83</v>
      </c>
      <c r="BL19" s="3" t="s">
        <v>84</v>
      </c>
      <c r="BM19" s="3" t="s">
        <v>84</v>
      </c>
      <c r="BN19" s="3" t="s">
        <v>84</v>
      </c>
      <c r="BO19" s="3" t="s">
        <v>84</v>
      </c>
      <c r="BP19" s="3" t="s">
        <v>106</v>
      </c>
      <c r="BQ19" s="3" t="s">
        <v>106</v>
      </c>
      <c r="BR19" s="3" t="s">
        <v>127</v>
      </c>
      <c r="BS19" s="3" t="s">
        <v>127</v>
      </c>
      <c r="BT19" s="3" t="s">
        <v>106</v>
      </c>
      <c r="BU19" s="3" t="s">
        <v>98</v>
      </c>
      <c r="BV19" s="3" t="s">
        <v>84</v>
      </c>
      <c r="BW19" s="3" t="s">
        <v>83</v>
      </c>
      <c r="BX19" s="3" t="s">
        <v>82</v>
      </c>
      <c r="BY19" s="3"/>
      <c r="BZ19" s="3" t="s">
        <v>86</v>
      </c>
      <c r="CA19" s="3" t="s">
        <v>103</v>
      </c>
      <c r="CB19" s="3" t="s">
        <v>84</v>
      </c>
      <c r="CC19" s="3"/>
      <c r="CD19" s="3">
        <v>23</v>
      </c>
      <c r="CE19" s="3"/>
      <c r="CF19" s="3"/>
      <c r="CG19" s="3"/>
      <c r="CH19" s="3"/>
    </row>
    <row r="20" spans="1:87" ht="15.75" hidden="1" customHeight="1" x14ac:dyDescent="0.15">
      <c r="A20" s="9" t="s">
        <v>542</v>
      </c>
      <c r="B20" s="9" t="s">
        <v>541</v>
      </c>
      <c r="C20" s="9" t="s">
        <v>541</v>
      </c>
      <c r="E20">
        <v>13</v>
      </c>
      <c r="F20" s="3">
        <v>10.837</v>
      </c>
      <c r="G20" s="3">
        <v>0</v>
      </c>
      <c r="H20" s="3" t="s">
        <v>81</v>
      </c>
      <c r="I20" s="3" t="s">
        <v>81</v>
      </c>
      <c r="J20" s="3" t="s">
        <v>81</v>
      </c>
      <c r="K20" s="3" t="s">
        <v>81</v>
      </c>
      <c r="L20" s="3" t="s">
        <v>81</v>
      </c>
      <c r="M20" s="3" t="s">
        <v>81</v>
      </c>
      <c r="N20" s="3" t="s">
        <v>81</v>
      </c>
      <c r="O20" s="3" t="s">
        <v>81</v>
      </c>
      <c r="P20" s="3" t="s">
        <v>81</v>
      </c>
      <c r="Q20">
        <f>SUM(8.927+4.201)</f>
        <v>13.128</v>
      </c>
      <c r="R20" s="3">
        <v>0</v>
      </c>
      <c r="S20" s="3" t="s">
        <v>81</v>
      </c>
      <c r="T20" s="3" t="s">
        <v>81</v>
      </c>
      <c r="U20" s="3" t="s">
        <v>81</v>
      </c>
      <c r="V20" s="3" t="s">
        <v>81</v>
      </c>
      <c r="W20" s="3" t="s">
        <v>81</v>
      </c>
      <c r="X20" s="3" t="s">
        <v>81</v>
      </c>
      <c r="Y20" s="3" t="s">
        <v>81</v>
      </c>
      <c r="Z20" s="3" t="s">
        <v>81</v>
      </c>
      <c r="AA20" s="3" t="s">
        <v>81</v>
      </c>
      <c r="AB20">
        <v>13.818</v>
      </c>
      <c r="AC20" s="3">
        <v>0</v>
      </c>
      <c r="AD20" s="3" t="s">
        <v>81</v>
      </c>
      <c r="AE20" s="3" t="s">
        <v>81</v>
      </c>
      <c r="AF20" s="3" t="s">
        <v>81</v>
      </c>
      <c r="AG20" s="3" t="s">
        <v>81</v>
      </c>
      <c r="AH20" s="3" t="s">
        <v>81</v>
      </c>
      <c r="AI20" s="3" t="s">
        <v>81</v>
      </c>
      <c r="AJ20" s="3" t="s">
        <v>81</v>
      </c>
      <c r="AK20" s="3" t="s">
        <v>81</v>
      </c>
      <c r="AL20" s="3" t="s">
        <v>81</v>
      </c>
      <c r="AM20">
        <f>SUM(7.513+4.252)</f>
        <v>11.765000000000001</v>
      </c>
      <c r="AN20" s="3">
        <v>0</v>
      </c>
      <c r="AO20" s="3" t="s">
        <v>81</v>
      </c>
      <c r="AP20" s="3" t="s">
        <v>81</v>
      </c>
      <c r="AQ20" s="3" t="s">
        <v>81</v>
      </c>
      <c r="AR20" s="3" t="s">
        <v>81</v>
      </c>
      <c r="AS20" s="3" t="s">
        <v>81</v>
      </c>
      <c r="AT20" s="3" t="s">
        <v>81</v>
      </c>
      <c r="AU20" s="3" t="s">
        <v>81</v>
      </c>
      <c r="AV20" s="3" t="s">
        <v>81</v>
      </c>
      <c r="AW20" s="3" t="s">
        <v>81</v>
      </c>
      <c r="AX20" s="3" t="s">
        <v>81</v>
      </c>
      <c r="AY20">
        <f>SUM(6.14627+6.531)</f>
        <v>12.67727</v>
      </c>
      <c r="AZ20" s="3" t="s">
        <v>81</v>
      </c>
      <c r="BA20" s="3" t="s">
        <v>81</v>
      </c>
      <c r="BB20" s="3" t="s">
        <v>81</v>
      </c>
      <c r="BC20" s="3" t="s">
        <v>81</v>
      </c>
      <c r="BD20" s="3" t="s">
        <v>81</v>
      </c>
      <c r="BE20" s="3" t="s">
        <v>81</v>
      </c>
      <c r="BF20" s="3" t="s">
        <v>81</v>
      </c>
      <c r="BG20" s="3" t="s">
        <v>81</v>
      </c>
      <c r="BH20" s="3" t="s">
        <v>81</v>
      </c>
      <c r="BI20" s="3" t="s">
        <v>84</v>
      </c>
      <c r="BJ20" s="3" t="s">
        <v>82</v>
      </c>
      <c r="BK20" s="3" t="s">
        <v>83</v>
      </c>
      <c r="BL20" s="3" t="s">
        <v>84</v>
      </c>
      <c r="BM20" s="3" t="s">
        <v>84</v>
      </c>
      <c r="BN20" s="3" t="s">
        <v>84</v>
      </c>
      <c r="BO20" s="3"/>
      <c r="BV20" s="3"/>
      <c r="BW20" s="3"/>
      <c r="BX20" s="3"/>
      <c r="BZ20" s="9" t="s">
        <v>93</v>
      </c>
      <c r="CD20">
        <v>13</v>
      </c>
      <c r="CG20">
        <v>13</v>
      </c>
    </row>
    <row r="21" spans="1:87" ht="15.75" hidden="1" customHeight="1" x14ac:dyDescent="0.15">
      <c r="A21" s="9" t="s">
        <v>543</v>
      </c>
      <c r="B21" s="9" t="s">
        <v>541</v>
      </c>
      <c r="C21" s="9" t="s">
        <v>541</v>
      </c>
      <c r="E21">
        <v>8</v>
      </c>
      <c r="F21" s="3">
        <v>17.8</v>
      </c>
      <c r="G21" s="3">
        <v>0</v>
      </c>
      <c r="H21" s="3" t="s">
        <v>81</v>
      </c>
      <c r="I21" s="3" t="s">
        <v>81</v>
      </c>
      <c r="J21" s="3" t="s">
        <v>81</v>
      </c>
      <c r="K21" s="3" t="s">
        <v>81</v>
      </c>
      <c r="L21" s="3" t="s">
        <v>81</v>
      </c>
      <c r="M21" s="3" t="s">
        <v>81</v>
      </c>
      <c r="N21" s="3" t="s">
        <v>81</v>
      </c>
      <c r="O21" s="3" t="s">
        <v>81</v>
      </c>
      <c r="P21" s="3" t="s">
        <v>81</v>
      </c>
      <c r="Q21">
        <v>16.71</v>
      </c>
      <c r="R21" s="3">
        <v>0</v>
      </c>
      <c r="S21" s="3" t="s">
        <v>81</v>
      </c>
      <c r="T21" s="3" t="s">
        <v>81</v>
      </c>
      <c r="U21" s="3" t="s">
        <v>81</v>
      </c>
      <c r="V21" s="3" t="s">
        <v>81</v>
      </c>
      <c r="W21" s="3" t="s">
        <v>81</v>
      </c>
      <c r="X21" s="3" t="s">
        <v>81</v>
      </c>
      <c r="Y21" s="3" t="s">
        <v>81</v>
      </c>
      <c r="Z21" s="3" t="s">
        <v>81</v>
      </c>
      <c r="AA21" s="3" t="s">
        <v>81</v>
      </c>
      <c r="AB21">
        <v>18.62</v>
      </c>
      <c r="AC21" s="3">
        <v>0</v>
      </c>
      <c r="AD21" s="3" t="s">
        <v>81</v>
      </c>
      <c r="AE21" s="3" t="s">
        <v>81</v>
      </c>
      <c r="AF21" s="3" t="s">
        <v>81</v>
      </c>
      <c r="AG21" s="3" t="s">
        <v>81</v>
      </c>
      <c r="AH21" s="3" t="s">
        <v>81</v>
      </c>
      <c r="AI21" s="3" t="s">
        <v>81</v>
      </c>
      <c r="AJ21" s="3" t="s">
        <v>81</v>
      </c>
      <c r="AK21" s="3" t="s">
        <v>81</v>
      </c>
      <c r="AL21" s="3" t="s">
        <v>81</v>
      </c>
      <c r="AM21">
        <v>20.149999999999999</v>
      </c>
      <c r="AN21" s="3">
        <v>0</v>
      </c>
      <c r="AO21" s="3" t="s">
        <v>81</v>
      </c>
      <c r="AP21" s="3" t="s">
        <v>81</v>
      </c>
      <c r="AQ21" s="3" t="s">
        <v>81</v>
      </c>
      <c r="AR21" s="3" t="s">
        <v>81</v>
      </c>
      <c r="AS21" s="3" t="s">
        <v>81</v>
      </c>
      <c r="AT21" s="3" t="s">
        <v>81</v>
      </c>
      <c r="AU21" s="3" t="s">
        <v>81</v>
      </c>
      <c r="AV21" s="3" t="s">
        <v>81</v>
      </c>
      <c r="AW21" s="3" t="s">
        <v>81</v>
      </c>
      <c r="AX21" s="3" t="s">
        <v>81</v>
      </c>
      <c r="AY21">
        <v>21.42</v>
      </c>
      <c r="AZ21" s="3" t="s">
        <v>81</v>
      </c>
      <c r="BA21" s="3" t="s">
        <v>81</v>
      </c>
      <c r="BB21" s="3" t="s">
        <v>81</v>
      </c>
      <c r="BC21" s="3" t="s">
        <v>81</v>
      </c>
      <c r="BD21" s="3" t="s">
        <v>81</v>
      </c>
      <c r="BE21" s="3" t="s">
        <v>81</v>
      </c>
      <c r="BF21" s="3" t="s">
        <v>81</v>
      </c>
      <c r="BG21" s="3" t="s">
        <v>81</v>
      </c>
      <c r="BH21" s="3" t="s">
        <v>81</v>
      </c>
      <c r="BI21" s="3" t="s">
        <v>84</v>
      </c>
      <c r="BJ21" s="3" t="s">
        <v>84</v>
      </c>
      <c r="BK21" s="3" t="s">
        <v>84</v>
      </c>
      <c r="BL21" s="3" t="s">
        <v>82</v>
      </c>
      <c r="BM21" s="3" t="s">
        <v>83</v>
      </c>
      <c r="BN21" s="3" t="s">
        <v>82</v>
      </c>
      <c r="BO21" s="3"/>
      <c r="BV21" s="3"/>
      <c r="BW21" s="3"/>
      <c r="BX21" s="3"/>
      <c r="BZ21" s="9" t="s">
        <v>93</v>
      </c>
      <c r="CD21">
        <v>8</v>
      </c>
      <c r="CG21">
        <v>8</v>
      </c>
    </row>
    <row r="22" spans="1:87" ht="15.75" hidden="1" customHeight="1" x14ac:dyDescent="0.15">
      <c r="A22" s="9" t="s">
        <v>544</v>
      </c>
      <c r="B22" s="9" t="s">
        <v>541</v>
      </c>
      <c r="C22" s="9" t="s">
        <v>541</v>
      </c>
      <c r="E22">
        <v>6</v>
      </c>
      <c r="F22">
        <f>SUM(21.09+3.77)</f>
        <v>24.86</v>
      </c>
      <c r="G22" s="3">
        <v>0</v>
      </c>
      <c r="H22" s="3" t="s">
        <v>81</v>
      </c>
      <c r="I22" s="3" t="s">
        <v>81</v>
      </c>
      <c r="J22" s="3" t="s">
        <v>81</v>
      </c>
      <c r="K22" s="3" t="s">
        <v>81</v>
      </c>
      <c r="L22" s="3" t="s">
        <v>81</v>
      </c>
      <c r="M22" s="3" t="s">
        <v>81</v>
      </c>
      <c r="N22" s="3" t="s">
        <v>81</v>
      </c>
      <c r="O22" s="3" t="s">
        <v>81</v>
      </c>
      <c r="P22" s="3" t="s">
        <v>81</v>
      </c>
      <c r="Q22">
        <f>SUM(9.06+12.05)</f>
        <v>21.11</v>
      </c>
      <c r="R22" s="3">
        <v>0</v>
      </c>
      <c r="S22" s="3" t="s">
        <v>81</v>
      </c>
      <c r="T22" s="3" t="s">
        <v>81</v>
      </c>
      <c r="U22" s="3" t="s">
        <v>81</v>
      </c>
      <c r="V22" s="3" t="s">
        <v>81</v>
      </c>
      <c r="W22" s="3" t="s">
        <v>81</v>
      </c>
      <c r="X22" s="3" t="s">
        <v>81</v>
      </c>
      <c r="Y22" s="3" t="s">
        <v>81</v>
      </c>
      <c r="Z22" s="3" t="s">
        <v>81</v>
      </c>
      <c r="AA22" s="3" t="s">
        <v>81</v>
      </c>
      <c r="AB22">
        <v>19.23</v>
      </c>
      <c r="AC22" s="3">
        <v>0</v>
      </c>
      <c r="AD22" s="3" t="s">
        <v>81</v>
      </c>
      <c r="AE22" s="3" t="s">
        <v>81</v>
      </c>
      <c r="AF22" s="3" t="s">
        <v>81</v>
      </c>
      <c r="AG22" s="3" t="s">
        <v>81</v>
      </c>
      <c r="AH22" s="3" t="s">
        <v>81</v>
      </c>
      <c r="AI22" s="3" t="s">
        <v>81</v>
      </c>
      <c r="AJ22" s="3" t="s">
        <v>81</v>
      </c>
      <c r="AK22" s="3" t="s">
        <v>81</v>
      </c>
      <c r="AL22" s="3" t="s">
        <v>81</v>
      </c>
      <c r="AM22">
        <v>17.329999999999998</v>
      </c>
      <c r="AN22" s="3">
        <v>0</v>
      </c>
      <c r="AO22" s="3" t="s">
        <v>81</v>
      </c>
      <c r="AP22" s="3" t="s">
        <v>81</v>
      </c>
      <c r="AQ22" s="3" t="s">
        <v>81</v>
      </c>
      <c r="AR22" s="3" t="s">
        <v>81</v>
      </c>
      <c r="AS22" s="3" t="s">
        <v>81</v>
      </c>
      <c r="AT22" s="3" t="s">
        <v>81</v>
      </c>
      <c r="AU22" s="3" t="s">
        <v>81</v>
      </c>
      <c r="AV22" s="3" t="s">
        <v>81</v>
      </c>
      <c r="AW22" s="3" t="s">
        <v>81</v>
      </c>
      <c r="AX22" s="3" t="s">
        <v>81</v>
      </c>
      <c r="AY22">
        <v>18.29</v>
      </c>
      <c r="AZ22" s="3" t="s">
        <v>81</v>
      </c>
      <c r="BA22" s="3" t="s">
        <v>81</v>
      </c>
      <c r="BB22" s="3" t="s">
        <v>81</v>
      </c>
      <c r="BC22" s="3" t="s">
        <v>81</v>
      </c>
      <c r="BD22" s="3" t="s">
        <v>81</v>
      </c>
      <c r="BE22" s="3" t="s">
        <v>81</v>
      </c>
      <c r="BF22" s="3" t="s">
        <v>81</v>
      </c>
      <c r="BG22" s="3" t="s">
        <v>81</v>
      </c>
      <c r="BH22" s="3" t="s">
        <v>81</v>
      </c>
      <c r="BI22" s="3" t="s">
        <v>84</v>
      </c>
      <c r="BJ22" s="3" t="s">
        <v>82</v>
      </c>
      <c r="BK22" s="3" t="s">
        <v>83</v>
      </c>
      <c r="BL22" s="3" t="s">
        <v>84</v>
      </c>
      <c r="BM22" s="3" t="s">
        <v>84</v>
      </c>
      <c r="BN22" s="3" t="s">
        <v>84</v>
      </c>
      <c r="BO22" s="3"/>
      <c r="BV22" s="3"/>
      <c r="BW22" s="3"/>
      <c r="BX22" s="3"/>
      <c r="BZ22" s="9" t="s">
        <v>93</v>
      </c>
      <c r="CD22">
        <v>6</v>
      </c>
      <c r="CG22">
        <v>6</v>
      </c>
    </row>
    <row r="23" spans="1:87" ht="15.75" hidden="1" customHeight="1" x14ac:dyDescent="0.15">
      <c r="A23" s="9" t="s">
        <v>545</v>
      </c>
      <c r="B23" s="9" t="s">
        <v>541</v>
      </c>
      <c r="C23" s="9" t="s">
        <v>541</v>
      </c>
      <c r="E23">
        <v>11</v>
      </c>
      <c r="F23">
        <f>SUM(13.04+9.81)</f>
        <v>22.85</v>
      </c>
      <c r="G23" s="3">
        <v>0</v>
      </c>
      <c r="H23" s="3" t="s">
        <v>81</v>
      </c>
      <c r="I23" s="3" t="s">
        <v>81</v>
      </c>
      <c r="J23" s="3" t="s">
        <v>81</v>
      </c>
      <c r="K23" s="3" t="s">
        <v>81</v>
      </c>
      <c r="L23" s="3" t="s">
        <v>81</v>
      </c>
      <c r="M23" s="3" t="s">
        <v>81</v>
      </c>
      <c r="N23" s="3" t="s">
        <v>81</v>
      </c>
      <c r="O23" s="3" t="s">
        <v>81</v>
      </c>
      <c r="P23" s="3" t="s">
        <v>81</v>
      </c>
      <c r="Q23">
        <f>SUM(13.64+10.7)</f>
        <v>24.34</v>
      </c>
      <c r="R23" s="3">
        <v>0</v>
      </c>
      <c r="S23" s="3" t="s">
        <v>81</v>
      </c>
      <c r="T23" s="3" t="s">
        <v>81</v>
      </c>
      <c r="U23" s="3" t="s">
        <v>81</v>
      </c>
      <c r="V23" s="3" t="s">
        <v>81</v>
      </c>
      <c r="W23" s="3" t="s">
        <v>81</v>
      </c>
      <c r="X23" s="3" t="s">
        <v>81</v>
      </c>
      <c r="Y23" s="3" t="s">
        <v>81</v>
      </c>
      <c r="Z23" s="3" t="s">
        <v>81</v>
      </c>
      <c r="AA23" s="3" t="s">
        <v>81</v>
      </c>
      <c r="AB23">
        <f>SUM(6.84+8.66+7.8)</f>
        <v>23.3</v>
      </c>
      <c r="AC23" s="3">
        <v>0</v>
      </c>
      <c r="AD23" s="3" t="s">
        <v>81</v>
      </c>
      <c r="AE23" s="3" t="s">
        <v>81</v>
      </c>
      <c r="AF23" s="3" t="s">
        <v>81</v>
      </c>
      <c r="AG23" s="3" t="s">
        <v>81</v>
      </c>
      <c r="AH23" s="3" t="s">
        <v>81</v>
      </c>
      <c r="AI23" s="3" t="s">
        <v>81</v>
      </c>
      <c r="AJ23" s="3" t="s">
        <v>81</v>
      </c>
      <c r="AK23" s="3" t="s">
        <v>81</v>
      </c>
      <c r="AL23" s="3" t="s">
        <v>81</v>
      </c>
      <c r="AM23">
        <f>SUM(16.48+5.36)</f>
        <v>21.84</v>
      </c>
      <c r="AN23" s="3">
        <v>0</v>
      </c>
      <c r="AO23" s="3" t="s">
        <v>81</v>
      </c>
      <c r="AP23" s="3" t="s">
        <v>81</v>
      </c>
      <c r="AQ23" s="3" t="s">
        <v>81</v>
      </c>
      <c r="AR23" s="3" t="s">
        <v>81</v>
      </c>
      <c r="AS23" s="3" t="s">
        <v>81</v>
      </c>
      <c r="AT23" s="3" t="s">
        <v>81</v>
      </c>
      <c r="AU23" s="3" t="s">
        <v>81</v>
      </c>
      <c r="AV23" s="3" t="s">
        <v>81</v>
      </c>
      <c r="AW23" s="3" t="s">
        <v>81</v>
      </c>
      <c r="AX23" s="3" t="s">
        <v>81</v>
      </c>
      <c r="AY23">
        <f>SUM(5.57+8.15+7.65)</f>
        <v>21.37</v>
      </c>
      <c r="AZ23" s="3" t="s">
        <v>81</v>
      </c>
      <c r="BA23" s="3" t="s">
        <v>81</v>
      </c>
      <c r="BB23" s="3" t="s">
        <v>81</v>
      </c>
      <c r="BC23" s="3" t="s">
        <v>81</v>
      </c>
      <c r="BD23" s="3" t="s">
        <v>81</v>
      </c>
      <c r="BE23" s="3" t="s">
        <v>81</v>
      </c>
      <c r="BF23" s="3" t="s">
        <v>81</v>
      </c>
      <c r="BG23" s="3" t="s">
        <v>81</v>
      </c>
      <c r="BH23" s="3" t="s">
        <v>81</v>
      </c>
      <c r="BI23" s="3" t="s">
        <v>84</v>
      </c>
      <c r="BJ23" s="3" t="s">
        <v>84</v>
      </c>
      <c r="BK23" s="3" t="s">
        <v>84</v>
      </c>
      <c r="BL23" s="3" t="s">
        <v>82</v>
      </c>
      <c r="BM23" s="3" t="s">
        <v>82</v>
      </c>
      <c r="BN23" s="3" t="s">
        <v>82</v>
      </c>
      <c r="BO23" s="3"/>
      <c r="BV23" s="3"/>
      <c r="BW23" s="3"/>
      <c r="BX23" s="3"/>
      <c r="BZ23" s="9" t="s">
        <v>93</v>
      </c>
      <c r="CD23">
        <v>11</v>
      </c>
      <c r="CG23">
        <v>11</v>
      </c>
    </row>
    <row r="24" spans="1:87" ht="15.75" customHeight="1" x14ac:dyDescent="0.15">
      <c r="A24" s="3">
        <v>2643342337</v>
      </c>
      <c r="B24" s="3" t="s">
        <v>126</v>
      </c>
      <c r="C24" s="3" t="s">
        <v>126</v>
      </c>
      <c r="D24" s="3">
        <v>14</v>
      </c>
      <c r="E24" s="3">
        <v>40</v>
      </c>
      <c r="F24" s="3">
        <v>28.094999999999999</v>
      </c>
      <c r="G24" s="3">
        <v>0</v>
      </c>
      <c r="H24" s="3" t="s">
        <v>81</v>
      </c>
      <c r="I24" s="3" t="s">
        <v>81</v>
      </c>
      <c r="J24" s="3" t="s">
        <v>81</v>
      </c>
      <c r="K24" s="3" t="s">
        <v>81</v>
      </c>
      <c r="L24" s="3" t="s">
        <v>81</v>
      </c>
      <c r="M24" s="3" t="s">
        <v>81</v>
      </c>
      <c r="N24" s="3" t="s">
        <v>81</v>
      </c>
      <c r="O24" s="3" t="s">
        <v>81</v>
      </c>
      <c r="P24" s="3" t="s">
        <v>81</v>
      </c>
      <c r="Q24" s="3">
        <v>44.082999999999998</v>
      </c>
      <c r="R24" s="3">
        <v>0</v>
      </c>
      <c r="S24" s="3" t="s">
        <v>81</v>
      </c>
      <c r="T24" s="3" t="s">
        <v>81</v>
      </c>
      <c r="U24" s="3" t="s">
        <v>81</v>
      </c>
      <c r="V24" s="3" t="s">
        <v>81</v>
      </c>
      <c r="W24" s="3" t="s">
        <v>81</v>
      </c>
      <c r="X24" s="3" t="s">
        <v>81</v>
      </c>
      <c r="Y24" s="3" t="s">
        <v>81</v>
      </c>
      <c r="Z24" s="3" t="s">
        <v>81</v>
      </c>
      <c r="AA24" s="3" t="s">
        <v>81</v>
      </c>
      <c r="AB24" s="3">
        <v>47.189</v>
      </c>
      <c r="AC24" s="3">
        <v>0</v>
      </c>
      <c r="AD24" s="3" t="s">
        <v>81</v>
      </c>
      <c r="AE24" s="3" t="s">
        <v>81</v>
      </c>
      <c r="AF24" s="3" t="s">
        <v>81</v>
      </c>
      <c r="AG24" s="3" t="s">
        <v>81</v>
      </c>
      <c r="AH24" s="3" t="s">
        <v>81</v>
      </c>
      <c r="AI24" s="3" t="s">
        <v>81</v>
      </c>
      <c r="AJ24" s="3" t="s">
        <v>81</v>
      </c>
      <c r="AK24" s="3" t="s">
        <v>81</v>
      </c>
      <c r="AL24" s="3" t="s">
        <v>81</v>
      </c>
      <c r="AM24" s="3">
        <v>52.802</v>
      </c>
      <c r="AN24" s="3">
        <v>0</v>
      </c>
      <c r="AO24" s="3" t="s">
        <v>81</v>
      </c>
      <c r="AP24" s="3" t="s">
        <v>81</v>
      </c>
      <c r="AQ24" s="3" t="s">
        <v>81</v>
      </c>
      <c r="AR24" s="3" t="s">
        <v>81</v>
      </c>
      <c r="AS24" s="3" t="s">
        <v>81</v>
      </c>
      <c r="AT24" s="3" t="s">
        <v>81</v>
      </c>
      <c r="AU24" s="3" t="s">
        <v>81</v>
      </c>
      <c r="AV24" s="3" t="s">
        <v>81</v>
      </c>
      <c r="AW24" s="3" t="s">
        <v>81</v>
      </c>
      <c r="AX24" s="3">
        <v>34.39</v>
      </c>
      <c r="AY24" s="3">
        <v>0</v>
      </c>
      <c r="AZ24" s="3" t="s">
        <v>81</v>
      </c>
      <c r="BA24" s="3" t="s">
        <v>81</v>
      </c>
      <c r="BB24" s="3" t="s">
        <v>81</v>
      </c>
      <c r="BC24" s="3" t="s">
        <v>81</v>
      </c>
      <c r="BD24" s="3" t="s">
        <v>81</v>
      </c>
      <c r="BE24" s="3" t="s">
        <v>81</v>
      </c>
      <c r="BF24" s="3" t="s">
        <v>81</v>
      </c>
      <c r="BG24" s="3" t="s">
        <v>81</v>
      </c>
      <c r="BH24" s="3" t="s">
        <v>81</v>
      </c>
      <c r="BI24" s="3" t="s">
        <v>82</v>
      </c>
      <c r="BJ24" s="3" t="s">
        <v>82</v>
      </c>
      <c r="BK24" s="3" t="s">
        <v>83</v>
      </c>
      <c r="BL24" s="3" t="s">
        <v>84</v>
      </c>
      <c r="BM24" s="3" t="s">
        <v>84</v>
      </c>
      <c r="BN24" s="3" t="s">
        <v>84</v>
      </c>
      <c r="BO24" s="3" t="s">
        <v>84</v>
      </c>
      <c r="BP24" s="3" t="s">
        <v>106</v>
      </c>
      <c r="BQ24" s="3" t="s">
        <v>106</v>
      </c>
      <c r="BR24" s="3" t="s">
        <v>128</v>
      </c>
      <c r="BS24" s="3" t="s">
        <v>128</v>
      </c>
      <c r="BT24" s="3" t="s">
        <v>106</v>
      </c>
      <c r="BU24" s="3" t="s">
        <v>129</v>
      </c>
      <c r="BV24" s="3" t="s">
        <v>84</v>
      </c>
      <c r="BW24" s="3" t="s">
        <v>83</v>
      </c>
      <c r="BX24" s="3" t="s">
        <v>82</v>
      </c>
      <c r="BY24" s="3" t="s">
        <v>130</v>
      </c>
      <c r="BZ24" s="3" t="s">
        <v>86</v>
      </c>
      <c r="CB24" s="3" t="s">
        <v>84</v>
      </c>
      <c r="CD24" s="3">
        <v>40</v>
      </c>
      <c r="CG24">
        <v>35</v>
      </c>
    </row>
    <row r="25" spans="1:87" ht="15.75" customHeight="1" x14ac:dyDescent="0.15">
      <c r="A25" s="3">
        <v>2625888549</v>
      </c>
      <c r="B25" s="3" t="s">
        <v>131</v>
      </c>
      <c r="C25" s="3" t="s">
        <v>131</v>
      </c>
      <c r="D25" s="3">
        <v>3</v>
      </c>
      <c r="E25" s="3">
        <v>3</v>
      </c>
      <c r="F25" s="3">
        <v>33.720999999999997</v>
      </c>
      <c r="G25" s="3">
        <v>1</v>
      </c>
      <c r="H25" s="3">
        <v>17.228999999999999</v>
      </c>
      <c r="I25" s="3">
        <v>18.716999999999999</v>
      </c>
      <c r="J25" s="3">
        <v>15.375999999999999</v>
      </c>
      <c r="K25" s="3" t="s">
        <v>81</v>
      </c>
      <c r="L25" s="3" t="s">
        <v>81</v>
      </c>
      <c r="M25" s="3" t="s">
        <v>81</v>
      </c>
      <c r="N25" s="3" t="s">
        <v>81</v>
      </c>
      <c r="O25" s="3" t="s">
        <v>81</v>
      </c>
      <c r="P25" s="3" t="s">
        <v>81</v>
      </c>
      <c r="Q25" s="3">
        <v>37.353999999999999</v>
      </c>
      <c r="R25" s="3">
        <v>2</v>
      </c>
      <c r="S25" s="3">
        <v>12.234999999999999</v>
      </c>
      <c r="T25" s="3">
        <v>18.942</v>
      </c>
      <c r="U25" s="3">
        <v>11.313000000000001</v>
      </c>
      <c r="V25" s="3">
        <v>15.339</v>
      </c>
      <c r="W25" s="3">
        <v>12.058999999999999</v>
      </c>
      <c r="X25" s="3" t="s">
        <v>81</v>
      </c>
      <c r="Y25" s="3" t="s">
        <v>81</v>
      </c>
      <c r="Z25" s="3" t="s">
        <v>81</v>
      </c>
      <c r="AA25" s="3" t="s">
        <v>81</v>
      </c>
      <c r="AB25" s="3">
        <v>33.813000000000002</v>
      </c>
      <c r="AC25" s="3">
        <v>2</v>
      </c>
      <c r="AD25" s="3">
        <v>10.73</v>
      </c>
      <c r="AE25" s="3">
        <v>15.478</v>
      </c>
      <c r="AF25" s="3">
        <v>10.135</v>
      </c>
      <c r="AG25" s="3">
        <v>13.987</v>
      </c>
      <c r="AH25" s="3">
        <v>13.345000000000001</v>
      </c>
      <c r="AI25" s="3" t="s">
        <v>81</v>
      </c>
      <c r="AJ25" s="3" t="s">
        <v>81</v>
      </c>
      <c r="AK25" s="3" t="s">
        <v>81</v>
      </c>
      <c r="AL25" s="3" t="s">
        <v>81</v>
      </c>
      <c r="AM25" s="3" t="s">
        <v>81</v>
      </c>
      <c r="AN25" s="3" t="s">
        <v>81</v>
      </c>
      <c r="AO25" s="3" t="s">
        <v>81</v>
      </c>
      <c r="AP25" s="3" t="s">
        <v>81</v>
      </c>
      <c r="AQ25" s="3" t="s">
        <v>81</v>
      </c>
      <c r="AR25" s="3" t="s">
        <v>81</v>
      </c>
      <c r="AS25" s="3" t="s">
        <v>81</v>
      </c>
      <c r="AT25" s="3" t="s">
        <v>81</v>
      </c>
      <c r="AU25" s="3" t="s">
        <v>81</v>
      </c>
      <c r="AV25" s="3" t="s">
        <v>81</v>
      </c>
      <c r="AW25" s="3" t="s">
        <v>81</v>
      </c>
      <c r="AX25" s="3" t="s">
        <v>81</v>
      </c>
      <c r="AY25" s="3" t="s">
        <v>81</v>
      </c>
      <c r="AZ25" s="3" t="s">
        <v>81</v>
      </c>
      <c r="BA25" s="3" t="s">
        <v>81</v>
      </c>
      <c r="BB25" s="3" t="s">
        <v>81</v>
      </c>
      <c r="BC25" s="3" t="s">
        <v>81</v>
      </c>
      <c r="BD25" s="3" t="s">
        <v>81</v>
      </c>
      <c r="BE25" s="3" t="s">
        <v>81</v>
      </c>
      <c r="BF25" s="3" t="s">
        <v>81</v>
      </c>
      <c r="BG25" s="3" t="s">
        <v>81</v>
      </c>
      <c r="BH25" s="3" t="s">
        <v>81</v>
      </c>
      <c r="BI25" s="3" t="s">
        <v>84</v>
      </c>
      <c r="BJ25" s="3" t="s">
        <v>82</v>
      </c>
      <c r="BK25" s="3" t="s">
        <v>83</v>
      </c>
      <c r="BL25" s="3" t="s">
        <v>84</v>
      </c>
      <c r="BM25" s="3" t="s">
        <v>84</v>
      </c>
      <c r="BN25" s="3" t="s">
        <v>82</v>
      </c>
      <c r="BO25" s="3" t="s">
        <v>84</v>
      </c>
      <c r="BP25" s="3" t="s">
        <v>81</v>
      </c>
      <c r="BQ25" s="3" t="s">
        <v>81</v>
      </c>
      <c r="BR25" s="3" t="s">
        <v>81</v>
      </c>
      <c r="BS25" s="3" t="s">
        <v>81</v>
      </c>
      <c r="BT25" s="3" t="s">
        <v>81</v>
      </c>
      <c r="BU25" s="3" t="s">
        <v>81</v>
      </c>
      <c r="BV25" s="3" t="s">
        <v>82</v>
      </c>
      <c r="BW25" s="3" t="s">
        <v>91</v>
      </c>
      <c r="BX25" s="3" t="s">
        <v>84</v>
      </c>
      <c r="BY25" s="3" t="s">
        <v>132</v>
      </c>
      <c r="BZ25" s="3" t="s">
        <v>86</v>
      </c>
      <c r="CB25" s="3" t="s">
        <v>84</v>
      </c>
      <c r="CD25" s="3">
        <v>6</v>
      </c>
    </row>
    <row r="26" spans="1:87" ht="15.75" customHeight="1" x14ac:dyDescent="0.15">
      <c r="A26" s="3">
        <v>2625900771</v>
      </c>
      <c r="B26" s="3" t="s">
        <v>131</v>
      </c>
      <c r="C26" s="3" t="s">
        <v>131</v>
      </c>
      <c r="D26" s="3">
        <v>2</v>
      </c>
      <c r="E26" s="3">
        <v>2</v>
      </c>
      <c r="F26" s="3">
        <v>31.805</v>
      </c>
      <c r="G26" s="3">
        <v>0</v>
      </c>
      <c r="H26" s="3" t="s">
        <v>81</v>
      </c>
      <c r="I26" s="3" t="s">
        <v>81</v>
      </c>
      <c r="J26" s="3" t="s">
        <v>81</v>
      </c>
      <c r="K26" s="3" t="s">
        <v>81</v>
      </c>
      <c r="L26" s="3" t="s">
        <v>81</v>
      </c>
      <c r="M26" s="3" t="s">
        <v>81</v>
      </c>
      <c r="N26" s="3" t="s">
        <v>81</v>
      </c>
      <c r="O26" s="3" t="s">
        <v>81</v>
      </c>
      <c r="P26" s="3" t="s">
        <v>81</v>
      </c>
      <c r="Q26" s="3">
        <v>31.324999999999999</v>
      </c>
      <c r="R26" s="3">
        <v>0</v>
      </c>
      <c r="S26" s="3" t="s">
        <v>81</v>
      </c>
      <c r="T26" s="3" t="s">
        <v>81</v>
      </c>
      <c r="U26" s="3" t="s">
        <v>81</v>
      </c>
      <c r="V26" s="3" t="s">
        <v>81</v>
      </c>
      <c r="W26" s="3" t="s">
        <v>81</v>
      </c>
      <c r="X26" s="3" t="s">
        <v>81</v>
      </c>
      <c r="Y26" s="3" t="s">
        <v>81</v>
      </c>
      <c r="Z26" s="3" t="s">
        <v>81</v>
      </c>
      <c r="AA26" s="3" t="s">
        <v>81</v>
      </c>
      <c r="AB26" s="3" t="s">
        <v>81</v>
      </c>
      <c r="AC26" s="3" t="s">
        <v>81</v>
      </c>
      <c r="AD26" s="3" t="s">
        <v>81</v>
      </c>
      <c r="AE26" s="3" t="s">
        <v>81</v>
      </c>
      <c r="AF26" s="3" t="s">
        <v>81</v>
      </c>
      <c r="AG26" s="3" t="s">
        <v>81</v>
      </c>
      <c r="AH26" s="3" t="s">
        <v>81</v>
      </c>
      <c r="AI26" s="3" t="s">
        <v>81</v>
      </c>
      <c r="AJ26" s="3" t="s">
        <v>81</v>
      </c>
      <c r="AK26" s="3" t="s">
        <v>81</v>
      </c>
      <c r="AL26" s="3" t="s">
        <v>81</v>
      </c>
      <c r="AM26" s="3" t="s">
        <v>81</v>
      </c>
      <c r="AN26" s="3" t="s">
        <v>81</v>
      </c>
      <c r="AO26" s="3" t="s">
        <v>81</v>
      </c>
      <c r="AP26" s="3" t="s">
        <v>81</v>
      </c>
      <c r="AQ26" s="3" t="s">
        <v>81</v>
      </c>
      <c r="AR26" s="3" t="s">
        <v>81</v>
      </c>
      <c r="AS26" s="3" t="s">
        <v>81</v>
      </c>
      <c r="AT26" s="3" t="s">
        <v>81</v>
      </c>
      <c r="AU26" s="3" t="s">
        <v>81</v>
      </c>
      <c r="AV26" s="3" t="s">
        <v>81</v>
      </c>
      <c r="AW26" s="3" t="s">
        <v>81</v>
      </c>
      <c r="AX26" s="3" t="s">
        <v>81</v>
      </c>
      <c r="AY26" s="3" t="s">
        <v>81</v>
      </c>
      <c r="AZ26" s="3" t="s">
        <v>81</v>
      </c>
      <c r="BA26" s="3" t="s">
        <v>81</v>
      </c>
      <c r="BB26" s="3" t="s">
        <v>81</v>
      </c>
      <c r="BC26" s="3" t="s">
        <v>81</v>
      </c>
      <c r="BD26" s="3" t="s">
        <v>81</v>
      </c>
      <c r="BE26" s="3" t="s">
        <v>81</v>
      </c>
      <c r="BF26" s="3" t="s">
        <v>81</v>
      </c>
      <c r="BG26" s="3" t="s">
        <v>81</v>
      </c>
      <c r="BH26" s="3" t="s">
        <v>81</v>
      </c>
      <c r="BI26" s="3" t="s">
        <v>84</v>
      </c>
      <c r="BJ26" s="3" t="s">
        <v>82</v>
      </c>
      <c r="BK26" s="3" t="s">
        <v>83</v>
      </c>
      <c r="BL26" s="3" t="s">
        <v>84</v>
      </c>
      <c r="BM26" s="3" t="s">
        <v>82</v>
      </c>
      <c r="BN26" s="3" t="s">
        <v>84</v>
      </c>
      <c r="BO26" s="3" t="s">
        <v>83</v>
      </c>
      <c r="BP26" s="3" t="s">
        <v>133</v>
      </c>
      <c r="BQ26" s="3" t="s">
        <v>133</v>
      </c>
      <c r="BR26" s="3" t="s">
        <v>133</v>
      </c>
      <c r="BS26" s="3" t="s">
        <v>133</v>
      </c>
      <c r="BT26" s="3" t="s">
        <v>87</v>
      </c>
      <c r="BU26" s="3" t="s">
        <v>129</v>
      </c>
      <c r="BV26" s="3" t="s">
        <v>83</v>
      </c>
      <c r="BW26" s="3" t="s">
        <v>83</v>
      </c>
      <c r="BX26" s="3" t="s">
        <v>83</v>
      </c>
      <c r="BY26" s="3" t="s">
        <v>134</v>
      </c>
      <c r="BZ26" s="3" t="s">
        <v>86</v>
      </c>
      <c r="CB26" s="3" t="s">
        <v>84</v>
      </c>
      <c r="CD26" s="3">
        <v>2</v>
      </c>
    </row>
    <row r="27" spans="1:87" ht="15.75" hidden="1" customHeight="1" x14ac:dyDescent="0.15">
      <c r="A27" s="3">
        <v>2625850722</v>
      </c>
      <c r="B27" s="3" t="s">
        <v>131</v>
      </c>
      <c r="C27" s="3" t="s">
        <v>131</v>
      </c>
      <c r="D27" s="3">
        <v>4</v>
      </c>
      <c r="E27" s="3">
        <v>3</v>
      </c>
      <c r="F27" s="3">
        <v>37.872999999999998</v>
      </c>
      <c r="G27" s="3">
        <v>1</v>
      </c>
      <c r="H27" s="3">
        <v>10.182</v>
      </c>
      <c r="I27" s="3">
        <v>27.387</v>
      </c>
      <c r="J27" s="3">
        <v>26.977</v>
      </c>
      <c r="K27" s="3" t="s">
        <v>81</v>
      </c>
      <c r="L27" s="3" t="s">
        <v>81</v>
      </c>
      <c r="M27" s="3" t="s">
        <v>81</v>
      </c>
      <c r="N27" s="3" t="s">
        <v>81</v>
      </c>
      <c r="O27" s="3" t="s">
        <v>81</v>
      </c>
      <c r="P27" s="3" t="s">
        <v>81</v>
      </c>
      <c r="Q27" s="3">
        <v>40</v>
      </c>
      <c r="R27" s="3">
        <v>1</v>
      </c>
      <c r="S27" s="3">
        <v>12.11</v>
      </c>
      <c r="T27" s="3">
        <v>29.257000000000001</v>
      </c>
      <c r="U27" s="3">
        <v>25.975999999999999</v>
      </c>
      <c r="V27" s="3" t="s">
        <v>81</v>
      </c>
      <c r="W27" s="3" t="s">
        <v>81</v>
      </c>
      <c r="X27" s="3" t="s">
        <v>81</v>
      </c>
      <c r="Y27" s="3" t="s">
        <v>81</v>
      </c>
      <c r="Z27" s="3" t="s">
        <v>81</v>
      </c>
      <c r="AA27" s="3" t="s">
        <v>81</v>
      </c>
      <c r="AB27" s="3">
        <v>39.573999999999998</v>
      </c>
      <c r="AC27" s="3">
        <v>1</v>
      </c>
      <c r="AD27" s="3">
        <v>9.8000000000000007</v>
      </c>
      <c r="AE27" s="3" t="s">
        <v>81</v>
      </c>
      <c r="AF27" s="3">
        <v>29.922000000000001</v>
      </c>
      <c r="AG27" s="3" t="s">
        <v>81</v>
      </c>
      <c r="AH27" s="3" t="s">
        <v>81</v>
      </c>
      <c r="AI27" s="3" t="s">
        <v>81</v>
      </c>
      <c r="AJ27" s="3" t="s">
        <v>81</v>
      </c>
      <c r="AK27" s="3" t="s">
        <v>81</v>
      </c>
      <c r="AL27" s="3" t="s">
        <v>81</v>
      </c>
      <c r="AM27" s="3" t="s">
        <v>81</v>
      </c>
      <c r="AN27" s="3" t="s">
        <v>81</v>
      </c>
      <c r="AO27" s="3" t="s">
        <v>81</v>
      </c>
      <c r="AP27" s="3" t="s">
        <v>81</v>
      </c>
      <c r="AQ27" s="3" t="s">
        <v>81</v>
      </c>
      <c r="AR27" s="3" t="s">
        <v>81</v>
      </c>
      <c r="AS27" s="3" t="s">
        <v>81</v>
      </c>
      <c r="AT27" s="3" t="s">
        <v>81</v>
      </c>
      <c r="AU27" s="3" t="s">
        <v>81</v>
      </c>
      <c r="AV27" s="3" t="s">
        <v>81</v>
      </c>
      <c r="AW27" s="3" t="s">
        <v>81</v>
      </c>
      <c r="AX27" s="3" t="s">
        <v>81</v>
      </c>
      <c r="AY27" s="3" t="s">
        <v>81</v>
      </c>
      <c r="AZ27" s="3" t="s">
        <v>81</v>
      </c>
      <c r="BA27" s="3" t="s">
        <v>81</v>
      </c>
      <c r="BB27" s="3" t="s">
        <v>81</v>
      </c>
      <c r="BC27" s="3" t="s">
        <v>81</v>
      </c>
      <c r="BD27" s="3" t="s">
        <v>81</v>
      </c>
      <c r="BE27" s="3" t="s">
        <v>81</v>
      </c>
      <c r="BF27" s="3" t="s">
        <v>81</v>
      </c>
      <c r="BG27" s="3" t="s">
        <v>81</v>
      </c>
      <c r="BH27" s="3" t="s">
        <v>81</v>
      </c>
      <c r="BI27" s="3" t="s">
        <v>84</v>
      </c>
      <c r="BJ27" s="3" t="s">
        <v>82</v>
      </c>
      <c r="BK27" s="3" t="s">
        <v>83</v>
      </c>
      <c r="BL27" s="3" t="s">
        <v>84</v>
      </c>
      <c r="BM27" s="3" t="s">
        <v>84</v>
      </c>
      <c r="BN27" s="3" t="s">
        <v>82</v>
      </c>
      <c r="BO27" s="3" t="s">
        <v>82</v>
      </c>
      <c r="BP27" s="3" t="s">
        <v>137</v>
      </c>
      <c r="BQ27" s="3" t="s">
        <v>137</v>
      </c>
      <c r="BR27" s="3" t="s">
        <v>138</v>
      </c>
      <c r="BS27" s="3" t="s">
        <v>138</v>
      </c>
      <c r="BT27" s="3" t="s">
        <v>106</v>
      </c>
      <c r="BU27" s="3" t="s">
        <v>98</v>
      </c>
      <c r="BV27" s="3" t="s">
        <v>84</v>
      </c>
      <c r="BW27" s="3" t="s">
        <v>83</v>
      </c>
      <c r="BX27" s="3" t="s">
        <v>84</v>
      </c>
      <c r="BY27" s="3" t="s">
        <v>139</v>
      </c>
      <c r="BZ27" s="3" t="s">
        <v>86</v>
      </c>
      <c r="CD27" s="3"/>
    </row>
    <row r="28" spans="1:87" ht="15.75" customHeight="1" x14ac:dyDescent="0.15">
      <c r="A28" s="3">
        <v>2625850943</v>
      </c>
      <c r="B28" s="3" t="s">
        <v>131</v>
      </c>
      <c r="C28" s="3" t="s">
        <v>131</v>
      </c>
      <c r="D28" s="3">
        <v>3</v>
      </c>
      <c r="E28" s="3">
        <v>3</v>
      </c>
      <c r="F28" s="3" t="s">
        <v>81</v>
      </c>
      <c r="G28" s="3">
        <v>3</v>
      </c>
      <c r="H28" s="3">
        <v>10.686</v>
      </c>
      <c r="I28" s="3">
        <v>16.593</v>
      </c>
      <c r="J28" s="3">
        <v>6.5</v>
      </c>
      <c r="K28" s="3">
        <v>15.807</v>
      </c>
      <c r="L28" s="3">
        <v>5.4180000000000001</v>
      </c>
      <c r="M28" s="3">
        <v>12.916</v>
      </c>
      <c r="N28" s="3" t="s">
        <v>81</v>
      </c>
      <c r="O28" s="3" t="s">
        <v>81</v>
      </c>
      <c r="P28" s="3" t="s">
        <v>81</v>
      </c>
      <c r="Q28" s="3" t="s">
        <v>81</v>
      </c>
      <c r="R28" s="3">
        <v>3</v>
      </c>
      <c r="S28" s="3">
        <v>10.286</v>
      </c>
      <c r="T28" s="3">
        <v>18.643000000000001</v>
      </c>
      <c r="U28" s="3">
        <v>6.6280000000000001</v>
      </c>
      <c r="V28" s="3">
        <v>20.922999999999998</v>
      </c>
      <c r="W28" s="3">
        <v>4.5140000000000002</v>
      </c>
      <c r="X28" s="3">
        <v>15.058</v>
      </c>
      <c r="Y28" s="3" t="s">
        <v>81</v>
      </c>
      <c r="Z28" s="3" t="s">
        <v>81</v>
      </c>
      <c r="AA28" s="3" t="s">
        <v>81</v>
      </c>
      <c r="AB28" s="3" t="s">
        <v>81</v>
      </c>
      <c r="AC28" s="3" t="s">
        <v>81</v>
      </c>
      <c r="AD28" s="3">
        <v>10.345000000000001</v>
      </c>
      <c r="AE28" s="3">
        <v>16.263999999999999</v>
      </c>
      <c r="AF28" s="3">
        <v>7.15</v>
      </c>
      <c r="AG28" s="3" t="s">
        <v>81</v>
      </c>
      <c r="AH28" s="3" t="s">
        <v>81</v>
      </c>
      <c r="AI28" s="3" t="s">
        <v>81</v>
      </c>
      <c r="AJ28" s="3" t="s">
        <v>81</v>
      </c>
      <c r="AK28" s="3" t="s">
        <v>81</v>
      </c>
      <c r="AL28" s="3" t="s">
        <v>81</v>
      </c>
      <c r="AM28" s="3" t="s">
        <v>81</v>
      </c>
      <c r="AN28" s="3" t="s">
        <v>81</v>
      </c>
      <c r="AO28" s="3" t="s">
        <v>81</v>
      </c>
      <c r="AP28" s="3" t="s">
        <v>81</v>
      </c>
      <c r="AQ28" s="3" t="s">
        <v>81</v>
      </c>
      <c r="AR28" s="3" t="s">
        <v>81</v>
      </c>
      <c r="AS28" s="3" t="s">
        <v>81</v>
      </c>
      <c r="AT28" s="3" t="s">
        <v>81</v>
      </c>
      <c r="AU28" s="3" t="s">
        <v>81</v>
      </c>
      <c r="AV28" s="3" t="s">
        <v>81</v>
      </c>
      <c r="AW28" s="3" t="s">
        <v>81</v>
      </c>
      <c r="AX28" s="3" t="s">
        <v>81</v>
      </c>
      <c r="AY28" s="3" t="s">
        <v>81</v>
      </c>
      <c r="AZ28" s="3" t="s">
        <v>81</v>
      </c>
      <c r="BA28" s="3" t="s">
        <v>81</v>
      </c>
      <c r="BB28" s="3" t="s">
        <v>81</v>
      </c>
      <c r="BC28" s="3" t="s">
        <v>81</v>
      </c>
      <c r="BD28" s="3" t="s">
        <v>81</v>
      </c>
      <c r="BE28" s="3" t="s">
        <v>81</v>
      </c>
      <c r="BF28" s="3" t="s">
        <v>81</v>
      </c>
      <c r="BG28" s="3" t="s">
        <v>81</v>
      </c>
      <c r="BH28" s="3" t="s">
        <v>81</v>
      </c>
      <c r="BI28" s="3" t="s">
        <v>84</v>
      </c>
      <c r="BJ28" s="3" t="s">
        <v>82</v>
      </c>
      <c r="BK28" s="3" t="s">
        <v>83</v>
      </c>
      <c r="BL28" s="3" t="s">
        <v>84</v>
      </c>
      <c r="BM28" s="3" t="s">
        <v>84</v>
      </c>
      <c r="BN28" s="3" t="s">
        <v>84</v>
      </c>
      <c r="BO28" s="3" t="s">
        <v>83</v>
      </c>
      <c r="BP28" s="3" t="s">
        <v>135</v>
      </c>
      <c r="BQ28" s="3" t="s">
        <v>135</v>
      </c>
      <c r="BR28" s="3" t="s">
        <v>135</v>
      </c>
      <c r="BS28" s="3" t="s">
        <v>135</v>
      </c>
      <c r="BT28" s="3" t="s">
        <v>129</v>
      </c>
      <c r="BU28" s="3" t="s">
        <v>81</v>
      </c>
      <c r="BV28" s="3" t="s">
        <v>82</v>
      </c>
      <c r="BW28" s="3" t="s">
        <v>111</v>
      </c>
      <c r="BX28" s="3" t="s">
        <v>82</v>
      </c>
      <c r="BY28" s="3" t="s">
        <v>136</v>
      </c>
      <c r="BZ28" s="3" t="s">
        <v>86</v>
      </c>
      <c r="CB28" s="3" t="s">
        <v>84</v>
      </c>
      <c r="CD28" s="3">
        <v>7</v>
      </c>
      <c r="CI28" s="9"/>
    </row>
    <row r="29" spans="1:87" ht="15.75" customHeight="1" x14ac:dyDescent="0.15">
      <c r="A29" s="9">
        <v>2625850722</v>
      </c>
      <c r="B29" s="9" t="s">
        <v>131</v>
      </c>
      <c r="C29" s="9" t="s">
        <v>131</v>
      </c>
      <c r="D29" s="9">
        <v>4</v>
      </c>
      <c r="E29" s="9">
        <v>3</v>
      </c>
      <c r="F29" s="9">
        <v>37.872999999999998</v>
      </c>
      <c r="G29" s="9">
        <v>1</v>
      </c>
      <c r="H29" s="9">
        <v>10.182</v>
      </c>
      <c r="I29" s="9">
        <v>27.387</v>
      </c>
      <c r="J29" s="9">
        <v>26.977</v>
      </c>
      <c r="K29" s="9" t="s">
        <v>81</v>
      </c>
      <c r="L29" s="9" t="s">
        <v>81</v>
      </c>
      <c r="M29" s="9" t="s">
        <v>81</v>
      </c>
      <c r="N29" s="9" t="s">
        <v>81</v>
      </c>
      <c r="O29" s="9" t="s">
        <v>81</v>
      </c>
      <c r="P29" s="9" t="s">
        <v>81</v>
      </c>
      <c r="Q29" s="9">
        <v>40</v>
      </c>
      <c r="R29" s="9">
        <v>1</v>
      </c>
      <c r="S29" s="9">
        <v>12.11</v>
      </c>
      <c r="T29" s="9">
        <v>29.257000000000001</v>
      </c>
      <c r="U29" s="9">
        <v>25.975999999999999</v>
      </c>
      <c r="V29" s="9" t="s">
        <v>81</v>
      </c>
      <c r="W29" s="9" t="s">
        <v>81</v>
      </c>
      <c r="X29" s="9" t="s">
        <v>81</v>
      </c>
      <c r="Y29" s="9" t="s">
        <v>81</v>
      </c>
      <c r="Z29" s="9" t="s">
        <v>81</v>
      </c>
      <c r="AA29" s="9" t="s">
        <v>81</v>
      </c>
      <c r="AB29" s="9">
        <v>39.573999999999998</v>
      </c>
      <c r="AC29" s="9">
        <v>1</v>
      </c>
      <c r="AD29" s="9">
        <v>9.8000000000000007</v>
      </c>
      <c r="AE29" s="9" t="s">
        <v>81</v>
      </c>
      <c r="AF29" s="9">
        <v>29.922000000000001</v>
      </c>
      <c r="AG29" s="9" t="s">
        <v>81</v>
      </c>
      <c r="AH29" s="9" t="s">
        <v>81</v>
      </c>
      <c r="AI29" s="9" t="s">
        <v>81</v>
      </c>
      <c r="AJ29" s="9" t="s">
        <v>81</v>
      </c>
      <c r="AK29" s="9" t="s">
        <v>81</v>
      </c>
      <c r="AL29" s="9" t="s">
        <v>81</v>
      </c>
      <c r="AM29" s="9" t="s">
        <v>81</v>
      </c>
      <c r="AN29" s="9" t="s">
        <v>81</v>
      </c>
      <c r="AO29" s="9" t="s">
        <v>81</v>
      </c>
      <c r="AP29" s="9" t="s">
        <v>81</v>
      </c>
      <c r="AQ29" s="9" t="s">
        <v>81</v>
      </c>
      <c r="AR29" s="9" t="s">
        <v>81</v>
      </c>
      <c r="AS29" s="9" t="s">
        <v>81</v>
      </c>
      <c r="AT29" s="9" t="s">
        <v>81</v>
      </c>
      <c r="AU29" s="9" t="s">
        <v>81</v>
      </c>
      <c r="AV29" s="9" t="s">
        <v>81</v>
      </c>
      <c r="AW29" s="9" t="s">
        <v>81</v>
      </c>
      <c r="AX29" s="9" t="s">
        <v>81</v>
      </c>
      <c r="AY29" s="9" t="s">
        <v>81</v>
      </c>
      <c r="AZ29" s="9" t="s">
        <v>81</v>
      </c>
      <c r="BA29" s="9" t="s">
        <v>81</v>
      </c>
      <c r="BB29" s="9" t="s">
        <v>81</v>
      </c>
      <c r="BC29" s="9" t="s">
        <v>81</v>
      </c>
      <c r="BD29" s="9" t="s">
        <v>81</v>
      </c>
      <c r="BE29" s="9" t="s">
        <v>81</v>
      </c>
      <c r="BF29" s="9" t="s">
        <v>81</v>
      </c>
      <c r="BG29" s="9" t="s">
        <v>81</v>
      </c>
      <c r="BH29" s="9" t="s">
        <v>81</v>
      </c>
      <c r="BI29" s="9" t="s">
        <v>84</v>
      </c>
      <c r="BJ29" s="9" t="s">
        <v>82</v>
      </c>
      <c r="BK29" s="9" t="s">
        <v>83</v>
      </c>
      <c r="BL29" s="9" t="s">
        <v>84</v>
      </c>
      <c r="BM29" s="9" t="s">
        <v>84</v>
      </c>
      <c r="BN29" s="9" t="s">
        <v>82</v>
      </c>
      <c r="BO29" s="9" t="s">
        <v>82</v>
      </c>
      <c r="BP29" s="9" t="s">
        <v>137</v>
      </c>
      <c r="BQ29" s="9" t="s">
        <v>137</v>
      </c>
      <c r="BR29" s="9" t="s">
        <v>138</v>
      </c>
      <c r="BS29" s="9" t="s">
        <v>138</v>
      </c>
      <c r="BT29" s="9" t="s">
        <v>106</v>
      </c>
      <c r="BU29" s="9" t="s">
        <v>98</v>
      </c>
      <c r="BV29" s="9" t="s">
        <v>84</v>
      </c>
      <c r="BW29" s="9" t="s">
        <v>83</v>
      </c>
      <c r="BX29" s="9" t="s">
        <v>84</v>
      </c>
      <c r="BY29" s="9" t="s">
        <v>565</v>
      </c>
      <c r="BZ29" s="9" t="s">
        <v>86</v>
      </c>
      <c r="CA29" s="9"/>
      <c r="CB29" s="3" t="s">
        <v>84</v>
      </c>
      <c r="CC29" s="9"/>
      <c r="CD29" s="9"/>
      <c r="CE29" s="9"/>
      <c r="CF29" s="9"/>
      <c r="CG29" s="9"/>
      <c r="CH29" s="9"/>
    </row>
    <row r="30" spans="1:87" ht="15.75" hidden="1" customHeight="1" x14ac:dyDescent="0.15">
      <c r="A30" s="3">
        <v>1228458167</v>
      </c>
      <c r="B30" s="3" t="s">
        <v>140</v>
      </c>
      <c r="C30" s="3" t="s">
        <v>140</v>
      </c>
      <c r="D30" s="3">
        <v>9</v>
      </c>
      <c r="E30" s="3">
        <v>10</v>
      </c>
      <c r="F30" s="3">
        <v>54.323999999999998</v>
      </c>
      <c r="G30" s="3">
        <v>0</v>
      </c>
      <c r="H30" s="3" t="s">
        <v>81</v>
      </c>
      <c r="I30" s="3" t="s">
        <v>81</v>
      </c>
      <c r="J30" s="3" t="s">
        <v>81</v>
      </c>
      <c r="K30" s="3" t="s">
        <v>81</v>
      </c>
      <c r="L30" s="3" t="s">
        <v>81</v>
      </c>
      <c r="M30" s="3" t="s">
        <v>81</v>
      </c>
      <c r="N30" s="3" t="s">
        <v>81</v>
      </c>
      <c r="O30" s="3" t="s">
        <v>81</v>
      </c>
      <c r="P30" s="3" t="s">
        <v>81</v>
      </c>
      <c r="Q30" s="3">
        <v>48.732999999999997</v>
      </c>
      <c r="R30" s="3">
        <v>0</v>
      </c>
      <c r="S30" s="3" t="s">
        <v>81</v>
      </c>
      <c r="T30" s="3" t="s">
        <v>81</v>
      </c>
      <c r="U30" s="3" t="s">
        <v>81</v>
      </c>
      <c r="V30" s="3" t="s">
        <v>81</v>
      </c>
      <c r="W30" s="3" t="s">
        <v>81</v>
      </c>
      <c r="X30" s="3" t="s">
        <v>81</v>
      </c>
      <c r="Y30" s="3" t="s">
        <v>81</v>
      </c>
      <c r="Z30" s="3" t="s">
        <v>81</v>
      </c>
      <c r="AA30" s="3" t="s">
        <v>81</v>
      </c>
      <c r="AB30" s="3">
        <v>51.848999999999997</v>
      </c>
      <c r="AC30" s="3">
        <v>0</v>
      </c>
      <c r="AD30" s="3" t="s">
        <v>81</v>
      </c>
      <c r="AE30" s="3" t="s">
        <v>81</v>
      </c>
      <c r="AF30" s="3" t="s">
        <v>81</v>
      </c>
      <c r="AG30" s="3" t="s">
        <v>81</v>
      </c>
      <c r="AH30" s="3" t="s">
        <v>81</v>
      </c>
      <c r="AI30" s="3" t="s">
        <v>81</v>
      </c>
      <c r="AJ30" s="3" t="s">
        <v>81</v>
      </c>
      <c r="AK30" s="3" t="s">
        <v>81</v>
      </c>
      <c r="AL30" s="3" t="s">
        <v>81</v>
      </c>
      <c r="AM30" s="3">
        <v>50.686999999999998</v>
      </c>
      <c r="AN30" s="3">
        <v>0</v>
      </c>
      <c r="AO30" s="3" t="s">
        <v>81</v>
      </c>
      <c r="AP30" s="3" t="s">
        <v>81</v>
      </c>
      <c r="AQ30" s="3" t="s">
        <v>81</v>
      </c>
      <c r="AR30" s="3" t="s">
        <v>81</v>
      </c>
      <c r="AS30" s="3" t="s">
        <v>81</v>
      </c>
      <c r="AT30" s="3" t="s">
        <v>81</v>
      </c>
      <c r="AU30" s="3" t="s">
        <v>81</v>
      </c>
      <c r="AV30" s="3" t="s">
        <v>81</v>
      </c>
      <c r="AW30" s="3" t="s">
        <v>81</v>
      </c>
      <c r="AX30" s="3">
        <v>44.671999999999997</v>
      </c>
      <c r="AY30" s="3">
        <v>0</v>
      </c>
      <c r="AZ30" s="3" t="s">
        <v>81</v>
      </c>
      <c r="BA30" s="3" t="s">
        <v>81</v>
      </c>
      <c r="BB30" s="3" t="s">
        <v>81</v>
      </c>
      <c r="BC30" s="3" t="s">
        <v>81</v>
      </c>
      <c r="BD30" s="3" t="s">
        <v>81</v>
      </c>
      <c r="BE30" s="3" t="s">
        <v>81</v>
      </c>
      <c r="BF30" s="3" t="s">
        <v>81</v>
      </c>
      <c r="BG30" s="3" t="s">
        <v>81</v>
      </c>
      <c r="BH30" s="3" t="s">
        <v>81</v>
      </c>
      <c r="BI30" s="3" t="s">
        <v>84</v>
      </c>
      <c r="BJ30" s="3" t="s">
        <v>82</v>
      </c>
      <c r="BK30" s="3" t="s">
        <v>83</v>
      </c>
      <c r="BL30" s="3" t="s">
        <v>84</v>
      </c>
      <c r="BM30" s="3" t="s">
        <v>84</v>
      </c>
      <c r="BN30" s="3" t="s">
        <v>84</v>
      </c>
      <c r="BO30" s="3" t="s">
        <v>84</v>
      </c>
      <c r="BP30" s="3" t="s">
        <v>87</v>
      </c>
      <c r="BQ30" s="3" t="s">
        <v>87</v>
      </c>
      <c r="BR30" s="3" t="s">
        <v>85</v>
      </c>
      <c r="BS30" s="3" t="s">
        <v>85</v>
      </c>
      <c r="BT30" s="3" t="s">
        <v>87</v>
      </c>
      <c r="BU30" s="3" t="s">
        <v>85</v>
      </c>
      <c r="BV30" s="3" t="s">
        <v>82</v>
      </c>
      <c r="BW30" s="3" t="s">
        <v>111</v>
      </c>
      <c r="BX30" s="3" t="s">
        <v>82</v>
      </c>
      <c r="BZ30" s="3" t="s">
        <v>93</v>
      </c>
      <c r="CD30" s="3">
        <v>10</v>
      </c>
      <c r="CI30" s="3"/>
    </row>
    <row r="31" spans="1:87" ht="15.75" hidden="1" customHeight="1" x14ac:dyDescent="0.15">
      <c r="A31" s="3">
        <v>1228485183</v>
      </c>
      <c r="B31" s="3" t="s">
        <v>140</v>
      </c>
      <c r="C31" s="3" t="s">
        <v>140</v>
      </c>
      <c r="D31" s="3">
        <v>4</v>
      </c>
      <c r="E31" s="3">
        <v>9</v>
      </c>
      <c r="F31" s="3">
        <v>47.485999999999997</v>
      </c>
      <c r="G31" s="3">
        <v>0</v>
      </c>
      <c r="H31" s="3" t="s">
        <v>81</v>
      </c>
      <c r="I31" s="3" t="s">
        <v>81</v>
      </c>
      <c r="J31" s="3" t="s">
        <v>81</v>
      </c>
      <c r="K31" s="3" t="s">
        <v>81</v>
      </c>
      <c r="L31" s="3" t="s">
        <v>81</v>
      </c>
      <c r="M31" s="3" t="s">
        <v>81</v>
      </c>
      <c r="N31" s="3" t="s">
        <v>81</v>
      </c>
      <c r="O31" s="3" t="s">
        <v>81</v>
      </c>
      <c r="P31" s="3" t="s">
        <v>81</v>
      </c>
      <c r="Q31" s="3">
        <v>48.311</v>
      </c>
      <c r="R31" s="3">
        <v>0</v>
      </c>
      <c r="S31" s="3" t="s">
        <v>81</v>
      </c>
      <c r="T31" s="3" t="s">
        <v>81</v>
      </c>
      <c r="U31" s="3" t="s">
        <v>81</v>
      </c>
      <c r="V31" s="3" t="s">
        <v>81</v>
      </c>
      <c r="W31" s="3" t="s">
        <v>81</v>
      </c>
      <c r="X31" s="3" t="s">
        <v>81</v>
      </c>
      <c r="Y31" s="3" t="s">
        <v>81</v>
      </c>
      <c r="Z31" s="3" t="s">
        <v>81</v>
      </c>
      <c r="AA31" s="3" t="s">
        <v>81</v>
      </c>
      <c r="AB31" s="3">
        <v>50.828000000000003</v>
      </c>
      <c r="AC31" s="3">
        <v>0</v>
      </c>
      <c r="AD31" s="3" t="s">
        <v>81</v>
      </c>
      <c r="AE31" s="3" t="s">
        <v>81</v>
      </c>
      <c r="AF31" s="3" t="s">
        <v>81</v>
      </c>
      <c r="AG31" s="3" t="s">
        <v>81</v>
      </c>
      <c r="AH31" s="3" t="s">
        <v>81</v>
      </c>
      <c r="AI31" s="3" t="s">
        <v>81</v>
      </c>
      <c r="AJ31" s="3" t="s">
        <v>81</v>
      </c>
      <c r="AK31" s="3" t="s">
        <v>81</v>
      </c>
      <c r="AL31" s="3" t="s">
        <v>81</v>
      </c>
      <c r="AM31" s="3">
        <v>48.417000000000002</v>
      </c>
      <c r="AN31" s="3">
        <v>0</v>
      </c>
      <c r="AO31" s="3" t="s">
        <v>81</v>
      </c>
      <c r="AP31" s="3" t="s">
        <v>81</v>
      </c>
      <c r="AQ31" s="3" t="s">
        <v>81</v>
      </c>
      <c r="AR31" s="3" t="s">
        <v>81</v>
      </c>
      <c r="AS31" s="3" t="s">
        <v>81</v>
      </c>
      <c r="AT31" s="3" t="s">
        <v>81</v>
      </c>
      <c r="AU31" s="3" t="s">
        <v>81</v>
      </c>
      <c r="AV31" s="3" t="s">
        <v>81</v>
      </c>
      <c r="AW31" s="3" t="s">
        <v>81</v>
      </c>
      <c r="AX31" s="3">
        <v>54.786999999999999</v>
      </c>
      <c r="AY31" s="3">
        <v>0</v>
      </c>
      <c r="AZ31" s="3" t="s">
        <v>81</v>
      </c>
      <c r="BA31" s="3" t="s">
        <v>81</v>
      </c>
      <c r="BB31" s="3" t="s">
        <v>81</v>
      </c>
      <c r="BC31" s="3" t="s">
        <v>81</v>
      </c>
      <c r="BD31" s="3" t="s">
        <v>81</v>
      </c>
      <c r="BE31" s="3" t="s">
        <v>81</v>
      </c>
      <c r="BF31" s="3" t="s">
        <v>81</v>
      </c>
      <c r="BG31" s="3" t="s">
        <v>81</v>
      </c>
      <c r="BH31" s="3" t="s">
        <v>81</v>
      </c>
      <c r="BI31" s="3" t="s">
        <v>82</v>
      </c>
      <c r="BJ31" s="3" t="s">
        <v>82</v>
      </c>
      <c r="BK31" s="3" t="s">
        <v>83</v>
      </c>
      <c r="BL31" s="3" t="s">
        <v>84</v>
      </c>
      <c r="BM31" s="3" t="s">
        <v>84</v>
      </c>
      <c r="BN31" s="3" t="s">
        <v>84</v>
      </c>
      <c r="BO31" s="3" t="s">
        <v>84</v>
      </c>
      <c r="BP31" s="3" t="s">
        <v>87</v>
      </c>
      <c r="BQ31" s="3" t="s">
        <v>87</v>
      </c>
      <c r="BR31" s="3" t="s">
        <v>85</v>
      </c>
      <c r="BS31" s="3" t="s">
        <v>141</v>
      </c>
      <c r="BT31" s="3" t="s">
        <v>87</v>
      </c>
      <c r="BU31" s="3" t="s">
        <v>85</v>
      </c>
      <c r="BV31" s="3" t="s">
        <v>82</v>
      </c>
      <c r="BW31" s="3" t="s">
        <v>91</v>
      </c>
      <c r="BX31" s="3" t="s">
        <v>82</v>
      </c>
      <c r="BZ31" s="3" t="s">
        <v>93</v>
      </c>
      <c r="CD31" s="3">
        <v>10</v>
      </c>
    </row>
    <row r="32" spans="1:87" ht="15.75" hidden="1" customHeight="1" x14ac:dyDescent="0.15">
      <c r="A32" s="3">
        <v>2643353504</v>
      </c>
      <c r="B32" s="3" t="s">
        <v>142</v>
      </c>
      <c r="C32" s="3" t="s">
        <v>140</v>
      </c>
      <c r="D32" s="3">
        <v>8</v>
      </c>
      <c r="E32" s="3">
        <v>8</v>
      </c>
      <c r="F32" s="3">
        <v>46.68</v>
      </c>
      <c r="G32" s="3">
        <v>0</v>
      </c>
      <c r="H32" s="3" t="s">
        <v>81</v>
      </c>
      <c r="I32" s="3" t="s">
        <v>81</v>
      </c>
      <c r="J32" s="3" t="s">
        <v>81</v>
      </c>
      <c r="K32" s="3" t="s">
        <v>81</v>
      </c>
      <c r="L32" s="3" t="s">
        <v>81</v>
      </c>
      <c r="M32" s="3" t="s">
        <v>81</v>
      </c>
      <c r="N32" s="3" t="s">
        <v>81</v>
      </c>
      <c r="O32" s="3" t="s">
        <v>81</v>
      </c>
      <c r="P32" s="3" t="s">
        <v>81</v>
      </c>
      <c r="Q32" s="3">
        <v>48.718000000000004</v>
      </c>
      <c r="R32" s="3">
        <v>0</v>
      </c>
      <c r="S32" s="3" t="s">
        <v>81</v>
      </c>
      <c r="T32" s="3" t="s">
        <v>81</v>
      </c>
      <c r="U32" s="3" t="s">
        <v>81</v>
      </c>
      <c r="V32" s="3" t="s">
        <v>81</v>
      </c>
      <c r="W32" s="3" t="s">
        <v>81</v>
      </c>
      <c r="X32" s="3" t="s">
        <v>81</v>
      </c>
      <c r="Y32" s="3" t="s">
        <v>81</v>
      </c>
      <c r="Z32" s="3" t="s">
        <v>81</v>
      </c>
      <c r="AA32" s="3" t="s">
        <v>81</v>
      </c>
      <c r="AB32" s="3">
        <v>54.877000000000002</v>
      </c>
      <c r="AC32" s="3">
        <v>0</v>
      </c>
      <c r="AD32" s="3" t="s">
        <v>81</v>
      </c>
      <c r="AE32" s="3" t="s">
        <v>81</v>
      </c>
      <c r="AF32" s="3" t="s">
        <v>81</v>
      </c>
      <c r="AG32" s="3" t="s">
        <v>81</v>
      </c>
      <c r="AH32" s="3" t="s">
        <v>81</v>
      </c>
      <c r="AI32" s="3" t="s">
        <v>81</v>
      </c>
      <c r="AJ32" s="3" t="s">
        <v>81</v>
      </c>
      <c r="AK32" s="3" t="s">
        <v>81</v>
      </c>
      <c r="AL32" s="3" t="s">
        <v>81</v>
      </c>
      <c r="AM32" s="3">
        <v>55.606999999999999</v>
      </c>
      <c r="AN32" s="3">
        <v>0</v>
      </c>
      <c r="AO32" s="3" t="s">
        <v>81</v>
      </c>
      <c r="AP32" s="3" t="s">
        <v>81</v>
      </c>
      <c r="AQ32" s="3" t="s">
        <v>81</v>
      </c>
      <c r="AR32" s="3" t="s">
        <v>81</v>
      </c>
      <c r="AS32" s="3" t="s">
        <v>81</v>
      </c>
      <c r="AT32" s="3" t="s">
        <v>81</v>
      </c>
      <c r="AU32" s="3" t="s">
        <v>81</v>
      </c>
      <c r="AV32" s="3" t="s">
        <v>81</v>
      </c>
      <c r="AW32" s="3" t="s">
        <v>81</v>
      </c>
      <c r="AX32" s="3">
        <v>49.186</v>
      </c>
      <c r="AY32" s="3">
        <v>0</v>
      </c>
      <c r="AZ32" s="3" t="s">
        <v>81</v>
      </c>
      <c r="BA32" s="3" t="s">
        <v>81</v>
      </c>
      <c r="BB32" s="3" t="s">
        <v>81</v>
      </c>
      <c r="BC32" s="3" t="s">
        <v>81</v>
      </c>
      <c r="BD32" s="3" t="s">
        <v>81</v>
      </c>
      <c r="BE32" s="3" t="s">
        <v>81</v>
      </c>
      <c r="BF32" s="3" t="s">
        <v>81</v>
      </c>
      <c r="BG32" s="3" t="s">
        <v>81</v>
      </c>
      <c r="BH32" s="3" t="s">
        <v>81</v>
      </c>
      <c r="BI32" s="3" t="s">
        <v>82</v>
      </c>
      <c r="BJ32" s="3" t="s">
        <v>82</v>
      </c>
      <c r="BK32" s="3" t="s">
        <v>83</v>
      </c>
      <c r="BL32" s="3" t="s">
        <v>84</v>
      </c>
      <c r="BM32" s="3" t="s">
        <v>84</v>
      </c>
      <c r="BN32" s="3" t="s">
        <v>84</v>
      </c>
      <c r="BO32" s="3" t="s">
        <v>82</v>
      </c>
      <c r="BP32" s="3" t="s">
        <v>87</v>
      </c>
      <c r="BQ32" s="3" t="s">
        <v>87</v>
      </c>
      <c r="BR32" s="3" t="s">
        <v>87</v>
      </c>
      <c r="BS32" s="3" t="s">
        <v>87</v>
      </c>
      <c r="BT32" s="3" t="s">
        <v>87</v>
      </c>
      <c r="BU32" s="3" t="s">
        <v>81</v>
      </c>
      <c r="BV32" s="3" t="s">
        <v>84</v>
      </c>
      <c r="BW32" s="3" t="s">
        <v>83</v>
      </c>
      <c r="BX32" s="3" t="s">
        <v>82</v>
      </c>
      <c r="BZ32" s="3" t="s">
        <v>86</v>
      </c>
      <c r="CD32" s="3">
        <v>8</v>
      </c>
    </row>
    <row r="33" spans="1:86" ht="15.75" hidden="1" customHeight="1" x14ac:dyDescent="0.15">
      <c r="A33" s="3">
        <v>2643368743</v>
      </c>
      <c r="B33" s="3" t="s">
        <v>140</v>
      </c>
      <c r="C33" s="3" t="s">
        <v>140</v>
      </c>
      <c r="D33" s="3">
        <v>18</v>
      </c>
      <c r="E33" s="3">
        <v>27</v>
      </c>
      <c r="F33" s="3">
        <v>63.189</v>
      </c>
      <c r="G33" s="3">
        <v>0</v>
      </c>
      <c r="H33" s="3" t="s">
        <v>81</v>
      </c>
      <c r="I33" s="3" t="s">
        <v>81</v>
      </c>
      <c r="J33" s="3" t="s">
        <v>81</v>
      </c>
      <c r="K33" s="3" t="s">
        <v>81</v>
      </c>
      <c r="L33" s="3" t="s">
        <v>81</v>
      </c>
      <c r="M33" s="3" t="s">
        <v>81</v>
      </c>
      <c r="N33" s="3" t="s">
        <v>81</v>
      </c>
      <c r="O33" s="3" t="s">
        <v>81</v>
      </c>
      <c r="P33" s="3" t="s">
        <v>81</v>
      </c>
      <c r="Q33" s="3">
        <v>45.46</v>
      </c>
      <c r="R33" s="3">
        <v>0</v>
      </c>
      <c r="S33" s="3" t="s">
        <v>81</v>
      </c>
      <c r="T33" s="3" t="s">
        <v>81</v>
      </c>
      <c r="U33" s="3" t="s">
        <v>81</v>
      </c>
      <c r="V33" s="3" t="s">
        <v>81</v>
      </c>
      <c r="W33" s="3" t="s">
        <v>81</v>
      </c>
      <c r="X33" s="3" t="s">
        <v>81</v>
      </c>
      <c r="Y33" s="3" t="s">
        <v>81</v>
      </c>
      <c r="Z33" s="3" t="s">
        <v>81</v>
      </c>
      <c r="AA33" s="3" t="s">
        <v>81</v>
      </c>
      <c r="AB33" s="3">
        <v>65.007999999999996</v>
      </c>
      <c r="AC33" s="3">
        <v>0</v>
      </c>
      <c r="AD33" s="3" t="s">
        <v>81</v>
      </c>
      <c r="AE33" s="3" t="s">
        <v>81</v>
      </c>
      <c r="AF33" s="3" t="s">
        <v>81</v>
      </c>
      <c r="AG33" s="3" t="s">
        <v>81</v>
      </c>
      <c r="AH33" s="3" t="s">
        <v>81</v>
      </c>
      <c r="AI33" s="3" t="s">
        <v>81</v>
      </c>
      <c r="AJ33" s="3" t="s">
        <v>81</v>
      </c>
      <c r="AK33" s="3" t="s">
        <v>81</v>
      </c>
      <c r="AL33" s="3" t="s">
        <v>81</v>
      </c>
      <c r="AM33" s="3">
        <v>68.19</v>
      </c>
      <c r="AN33" s="3">
        <v>0</v>
      </c>
      <c r="AO33" s="3" t="s">
        <v>81</v>
      </c>
      <c r="AP33" s="3" t="s">
        <v>81</v>
      </c>
      <c r="AQ33" s="3" t="s">
        <v>81</v>
      </c>
      <c r="AR33" s="3" t="s">
        <v>81</v>
      </c>
      <c r="AS33" s="3" t="s">
        <v>81</v>
      </c>
      <c r="AT33" s="3" t="s">
        <v>81</v>
      </c>
      <c r="AU33" s="3" t="s">
        <v>81</v>
      </c>
      <c r="AV33" s="3" t="s">
        <v>81</v>
      </c>
      <c r="AW33" s="3" t="s">
        <v>81</v>
      </c>
      <c r="AX33" s="3">
        <v>64.061999999999998</v>
      </c>
      <c r="AY33" s="3">
        <v>0</v>
      </c>
      <c r="AZ33" s="3" t="s">
        <v>81</v>
      </c>
      <c r="BA33" s="3" t="s">
        <v>81</v>
      </c>
      <c r="BB33" s="3" t="s">
        <v>81</v>
      </c>
      <c r="BC33" s="3" t="s">
        <v>81</v>
      </c>
      <c r="BD33" s="3" t="s">
        <v>81</v>
      </c>
      <c r="BE33" s="3" t="s">
        <v>81</v>
      </c>
      <c r="BF33" s="3" t="s">
        <v>81</v>
      </c>
      <c r="BG33" s="3" t="s">
        <v>81</v>
      </c>
      <c r="BH33" s="3" t="s">
        <v>81</v>
      </c>
      <c r="BI33" s="3" t="s">
        <v>84</v>
      </c>
      <c r="BJ33" s="3" t="s">
        <v>82</v>
      </c>
      <c r="BK33" s="3" t="s">
        <v>83</v>
      </c>
      <c r="BL33" s="3" t="s">
        <v>84</v>
      </c>
      <c r="BM33" s="3" t="s">
        <v>84</v>
      </c>
      <c r="BN33" s="3" t="s">
        <v>82</v>
      </c>
      <c r="BO33" s="3" t="s">
        <v>84</v>
      </c>
      <c r="BP33" s="3" t="s">
        <v>299</v>
      </c>
      <c r="BQ33" s="3" t="s">
        <v>299</v>
      </c>
      <c r="BR33" s="3" t="s">
        <v>299</v>
      </c>
      <c r="BS33" s="3" t="s">
        <v>299</v>
      </c>
      <c r="BT33" s="3" t="s">
        <v>85</v>
      </c>
      <c r="BU33" s="3" t="s">
        <v>98</v>
      </c>
      <c r="BV33" s="3" t="s">
        <v>82</v>
      </c>
      <c r="BW33" s="3" t="s">
        <v>91</v>
      </c>
      <c r="BX33" s="3" t="s">
        <v>82</v>
      </c>
      <c r="BZ33" s="3" t="s">
        <v>86</v>
      </c>
      <c r="CD33" s="9">
        <v>27</v>
      </c>
      <c r="CE33" s="9"/>
      <c r="CG33">
        <v>26</v>
      </c>
    </row>
    <row r="34" spans="1:86" ht="15.75" customHeight="1" x14ac:dyDescent="0.15">
      <c r="A34" s="3">
        <v>1228376165</v>
      </c>
      <c r="B34" s="3" t="s">
        <v>143</v>
      </c>
      <c r="C34" s="3" t="s">
        <v>143</v>
      </c>
      <c r="D34" s="3" t="s">
        <v>81</v>
      </c>
      <c r="E34" s="3">
        <v>8</v>
      </c>
      <c r="F34" s="3">
        <v>27.478000000000002</v>
      </c>
      <c r="G34" s="3">
        <v>0</v>
      </c>
      <c r="H34" s="3" t="s">
        <v>81</v>
      </c>
      <c r="I34" s="3" t="s">
        <v>81</v>
      </c>
      <c r="J34" s="3" t="s">
        <v>81</v>
      </c>
      <c r="K34" s="3" t="s">
        <v>81</v>
      </c>
      <c r="L34" s="3" t="s">
        <v>81</v>
      </c>
      <c r="M34" s="3" t="s">
        <v>81</v>
      </c>
      <c r="N34" s="3" t="s">
        <v>81</v>
      </c>
      <c r="O34" s="3" t="s">
        <v>81</v>
      </c>
      <c r="P34" s="3" t="s">
        <v>81</v>
      </c>
      <c r="Q34" s="3">
        <v>27.018999999999998</v>
      </c>
      <c r="R34" s="3">
        <v>0</v>
      </c>
      <c r="S34" s="3" t="s">
        <v>81</v>
      </c>
      <c r="T34" s="3" t="s">
        <v>81</v>
      </c>
      <c r="U34" s="3" t="s">
        <v>81</v>
      </c>
      <c r="V34" s="3" t="s">
        <v>81</v>
      </c>
      <c r="W34" s="3" t="s">
        <v>81</v>
      </c>
      <c r="X34" s="3" t="s">
        <v>81</v>
      </c>
      <c r="Y34" s="3" t="s">
        <v>81</v>
      </c>
      <c r="Z34" s="3" t="s">
        <v>81</v>
      </c>
      <c r="AA34" s="3" t="s">
        <v>81</v>
      </c>
      <c r="AB34" s="3">
        <v>27.03</v>
      </c>
      <c r="AC34" s="3">
        <v>0</v>
      </c>
      <c r="AD34" s="3" t="s">
        <v>81</v>
      </c>
      <c r="AE34" s="3" t="s">
        <v>81</v>
      </c>
      <c r="AF34" s="3" t="s">
        <v>81</v>
      </c>
      <c r="AG34" s="3" t="s">
        <v>81</v>
      </c>
      <c r="AH34" s="3" t="s">
        <v>81</v>
      </c>
      <c r="AI34" s="3" t="s">
        <v>81</v>
      </c>
      <c r="AJ34" s="3" t="s">
        <v>81</v>
      </c>
      <c r="AK34" s="3" t="s">
        <v>81</v>
      </c>
      <c r="AL34" s="3" t="s">
        <v>81</v>
      </c>
      <c r="AM34" s="3" t="s">
        <v>81</v>
      </c>
      <c r="AN34" s="3" t="s">
        <v>81</v>
      </c>
      <c r="AO34" s="3" t="s">
        <v>81</v>
      </c>
      <c r="AP34" s="3" t="s">
        <v>81</v>
      </c>
      <c r="AQ34" s="3" t="s">
        <v>81</v>
      </c>
      <c r="AR34" s="3" t="s">
        <v>81</v>
      </c>
      <c r="AS34" s="3" t="s">
        <v>81</v>
      </c>
      <c r="AT34" s="3" t="s">
        <v>81</v>
      </c>
      <c r="AU34" s="3" t="s">
        <v>81</v>
      </c>
      <c r="AV34" s="3" t="s">
        <v>81</v>
      </c>
      <c r="AW34" s="3" t="s">
        <v>81</v>
      </c>
      <c r="AX34" s="3" t="s">
        <v>81</v>
      </c>
      <c r="AY34" s="3" t="s">
        <v>81</v>
      </c>
      <c r="AZ34" s="3" t="s">
        <v>81</v>
      </c>
      <c r="BA34" s="3" t="s">
        <v>81</v>
      </c>
      <c r="BB34" s="3" t="s">
        <v>81</v>
      </c>
      <c r="BC34" s="3" t="s">
        <v>81</v>
      </c>
      <c r="BD34" s="3" t="s">
        <v>81</v>
      </c>
      <c r="BE34" s="3" t="s">
        <v>81</v>
      </c>
      <c r="BF34" s="3" t="s">
        <v>81</v>
      </c>
      <c r="BG34" s="3" t="s">
        <v>81</v>
      </c>
      <c r="BH34" s="3" t="s">
        <v>81</v>
      </c>
      <c r="BI34" s="3" t="s">
        <v>84</v>
      </c>
      <c r="BJ34" s="3" t="s">
        <v>82</v>
      </c>
      <c r="BK34" s="3" t="s">
        <v>83</v>
      </c>
      <c r="BL34" s="3" t="s">
        <v>84</v>
      </c>
      <c r="BM34" s="3" t="s">
        <v>84</v>
      </c>
      <c r="BN34" s="3" t="s">
        <v>84</v>
      </c>
      <c r="BO34" s="3" t="s">
        <v>82</v>
      </c>
      <c r="BP34" s="3" t="s">
        <v>87</v>
      </c>
      <c r="BQ34" s="3" t="s">
        <v>87</v>
      </c>
      <c r="BR34" s="3" t="s">
        <v>87</v>
      </c>
      <c r="BS34" s="3" t="s">
        <v>87</v>
      </c>
      <c r="BT34" s="3" t="s">
        <v>87</v>
      </c>
      <c r="BU34" s="3" t="s">
        <v>81</v>
      </c>
      <c r="BV34" s="3" t="s">
        <v>84</v>
      </c>
      <c r="BW34" s="3" t="s">
        <v>83</v>
      </c>
      <c r="BX34" s="3" t="s">
        <v>82</v>
      </c>
      <c r="BY34" s="3" t="s">
        <v>145</v>
      </c>
      <c r="BZ34" s="3" t="s">
        <v>93</v>
      </c>
      <c r="CB34" s="3" t="s">
        <v>84</v>
      </c>
      <c r="CD34" s="9">
        <v>4</v>
      </c>
      <c r="CE34" s="9">
        <v>8</v>
      </c>
    </row>
    <row r="35" spans="1:86" ht="15.75" hidden="1" customHeight="1" x14ac:dyDescent="0.15">
      <c r="A35" s="3">
        <v>1228363153</v>
      </c>
      <c r="B35" s="3" t="s">
        <v>155</v>
      </c>
      <c r="C35" s="3" t="s">
        <v>155</v>
      </c>
      <c r="D35" s="3">
        <v>3</v>
      </c>
      <c r="E35" s="3">
        <v>3</v>
      </c>
      <c r="F35" s="3">
        <v>158.84700000000001</v>
      </c>
      <c r="G35" s="3">
        <v>2</v>
      </c>
      <c r="H35" s="3">
        <v>105.551</v>
      </c>
      <c r="I35" s="3">
        <v>37.756</v>
      </c>
      <c r="J35" s="3">
        <v>27.178999999999998</v>
      </c>
      <c r="K35" s="3">
        <v>24.306000000000001</v>
      </c>
      <c r="L35" s="3">
        <v>23.234000000000002</v>
      </c>
      <c r="M35" s="3" t="s">
        <v>81</v>
      </c>
      <c r="N35" s="3" t="s">
        <v>81</v>
      </c>
      <c r="O35" s="3" t="s">
        <v>81</v>
      </c>
      <c r="P35" s="3" t="s">
        <v>81</v>
      </c>
      <c r="Q35" s="3">
        <v>163.67599999999999</v>
      </c>
      <c r="R35" s="3">
        <v>2</v>
      </c>
      <c r="S35" s="3">
        <v>101.983</v>
      </c>
      <c r="T35" s="3">
        <v>40.963000000000001</v>
      </c>
      <c r="U35" s="3">
        <v>36.142000000000003</v>
      </c>
      <c r="V35" s="3" t="s">
        <v>81</v>
      </c>
      <c r="W35" s="3">
        <v>21.454999999999998</v>
      </c>
      <c r="X35" s="3" t="s">
        <v>81</v>
      </c>
      <c r="Y35" s="3" t="s">
        <v>81</v>
      </c>
      <c r="Z35" s="3" t="s">
        <v>81</v>
      </c>
      <c r="AA35" s="3" t="s">
        <v>81</v>
      </c>
      <c r="AB35" s="3" t="s">
        <v>81</v>
      </c>
      <c r="AC35" s="3" t="s">
        <v>81</v>
      </c>
      <c r="AD35" s="3" t="s">
        <v>81</v>
      </c>
      <c r="AE35" s="3" t="s">
        <v>81</v>
      </c>
      <c r="AF35" s="3" t="s">
        <v>81</v>
      </c>
      <c r="AG35" s="3" t="s">
        <v>81</v>
      </c>
      <c r="AH35" s="3" t="s">
        <v>81</v>
      </c>
      <c r="AI35" s="3" t="s">
        <v>81</v>
      </c>
      <c r="AJ35" s="3" t="s">
        <v>81</v>
      </c>
      <c r="AK35" s="3" t="s">
        <v>81</v>
      </c>
      <c r="AL35" s="3" t="s">
        <v>81</v>
      </c>
      <c r="AM35" s="3" t="s">
        <v>81</v>
      </c>
      <c r="AN35" s="3" t="s">
        <v>81</v>
      </c>
      <c r="AO35" s="3" t="s">
        <v>81</v>
      </c>
      <c r="AP35" s="3" t="s">
        <v>81</v>
      </c>
      <c r="AQ35" s="3" t="s">
        <v>81</v>
      </c>
      <c r="AR35" s="3" t="s">
        <v>81</v>
      </c>
      <c r="AS35" s="3" t="s">
        <v>81</v>
      </c>
      <c r="AT35" s="3" t="s">
        <v>81</v>
      </c>
      <c r="AU35" s="3" t="s">
        <v>81</v>
      </c>
      <c r="AV35" s="3" t="s">
        <v>81</v>
      </c>
      <c r="AW35" s="3" t="s">
        <v>81</v>
      </c>
      <c r="AX35" s="3" t="s">
        <v>81</v>
      </c>
      <c r="AY35" s="3" t="s">
        <v>81</v>
      </c>
      <c r="AZ35" s="3" t="s">
        <v>81</v>
      </c>
      <c r="BA35" s="3" t="s">
        <v>81</v>
      </c>
      <c r="BB35" s="3" t="s">
        <v>81</v>
      </c>
      <c r="BC35" s="3" t="s">
        <v>81</v>
      </c>
      <c r="BD35" s="3" t="s">
        <v>81</v>
      </c>
      <c r="BE35" s="3" t="s">
        <v>81</v>
      </c>
      <c r="BF35" s="3" t="s">
        <v>81</v>
      </c>
      <c r="BG35" s="3" t="s">
        <v>81</v>
      </c>
      <c r="BH35" s="3" t="s">
        <v>81</v>
      </c>
      <c r="BI35" s="3" t="s">
        <v>84</v>
      </c>
      <c r="BJ35" s="3" t="s">
        <v>82</v>
      </c>
      <c r="BK35" s="3" t="s">
        <v>83</v>
      </c>
      <c r="BL35" s="3" t="s">
        <v>84</v>
      </c>
      <c r="BM35" s="3" t="s">
        <v>84</v>
      </c>
      <c r="BN35" s="3" t="s">
        <v>82</v>
      </c>
      <c r="BO35" s="3" t="s">
        <v>84</v>
      </c>
      <c r="BP35" s="3" t="s">
        <v>87</v>
      </c>
      <c r="BQ35" s="3" t="s">
        <v>129</v>
      </c>
      <c r="BR35" s="3" t="s">
        <v>129</v>
      </c>
      <c r="BS35" s="3" t="s">
        <v>156</v>
      </c>
      <c r="BT35" s="3" t="s">
        <v>129</v>
      </c>
      <c r="BU35" s="3" t="s">
        <v>87</v>
      </c>
      <c r="BV35" s="3" t="s">
        <v>84</v>
      </c>
      <c r="BW35" s="3" t="s">
        <v>83</v>
      </c>
      <c r="BX35" s="3" t="s">
        <v>82</v>
      </c>
      <c r="BY35" s="3" t="s">
        <v>157</v>
      </c>
      <c r="BZ35" s="3" t="s">
        <v>93</v>
      </c>
      <c r="CA35" s="3" t="s">
        <v>103</v>
      </c>
      <c r="CB35" s="3"/>
      <c r="CC35" s="3"/>
      <c r="CD35" s="9">
        <v>4</v>
      </c>
      <c r="CE35" s="9">
        <v>4</v>
      </c>
      <c r="CF35" s="3"/>
      <c r="CG35" s="3"/>
      <c r="CH35" s="3"/>
    </row>
    <row r="36" spans="1:86" ht="15.75" customHeight="1" x14ac:dyDescent="0.15">
      <c r="A36" s="3">
        <v>1228364917</v>
      </c>
      <c r="B36" s="3" t="s">
        <v>143</v>
      </c>
      <c r="C36" s="3" t="s">
        <v>143</v>
      </c>
      <c r="D36" s="3">
        <v>5</v>
      </c>
      <c r="E36" s="3">
        <v>11</v>
      </c>
      <c r="F36" s="3">
        <v>30.355</v>
      </c>
      <c r="G36" s="3">
        <v>0</v>
      </c>
      <c r="H36" s="3" t="s">
        <v>81</v>
      </c>
      <c r="I36" s="3" t="s">
        <v>81</v>
      </c>
      <c r="J36" s="3" t="s">
        <v>81</v>
      </c>
      <c r="K36" s="3" t="s">
        <v>81</v>
      </c>
      <c r="L36" s="3" t="s">
        <v>81</v>
      </c>
      <c r="M36" s="3" t="s">
        <v>81</v>
      </c>
      <c r="N36" s="3" t="s">
        <v>81</v>
      </c>
      <c r="O36" s="3" t="s">
        <v>81</v>
      </c>
      <c r="P36" s="3" t="s">
        <v>81</v>
      </c>
      <c r="Q36" s="3">
        <v>46.447000000000003</v>
      </c>
      <c r="R36" s="3">
        <v>0</v>
      </c>
      <c r="S36" s="3" t="s">
        <v>81</v>
      </c>
      <c r="T36" s="3" t="s">
        <v>81</v>
      </c>
      <c r="U36" s="3" t="s">
        <v>81</v>
      </c>
      <c r="V36" s="3" t="s">
        <v>81</v>
      </c>
      <c r="W36" s="3" t="s">
        <v>81</v>
      </c>
      <c r="X36" s="3" t="s">
        <v>81</v>
      </c>
      <c r="Y36" s="3" t="s">
        <v>81</v>
      </c>
      <c r="Z36" s="3" t="s">
        <v>81</v>
      </c>
      <c r="AA36" s="3" t="s">
        <v>81</v>
      </c>
      <c r="AB36" s="3">
        <v>48.652999999999999</v>
      </c>
      <c r="AC36" s="3">
        <v>0</v>
      </c>
      <c r="AD36" s="3" t="s">
        <v>81</v>
      </c>
      <c r="AE36" s="3" t="s">
        <v>81</v>
      </c>
      <c r="AF36" s="3" t="s">
        <v>81</v>
      </c>
      <c r="AG36" s="3" t="s">
        <v>81</v>
      </c>
      <c r="AH36" s="3" t="s">
        <v>81</v>
      </c>
      <c r="AI36" s="3" t="s">
        <v>81</v>
      </c>
      <c r="AJ36" s="3" t="s">
        <v>81</v>
      </c>
      <c r="AK36" s="3" t="s">
        <v>81</v>
      </c>
      <c r="AL36" s="3" t="s">
        <v>81</v>
      </c>
      <c r="AM36" s="3">
        <v>43.28</v>
      </c>
      <c r="AN36" s="3">
        <v>0</v>
      </c>
      <c r="AO36" s="3" t="s">
        <v>81</v>
      </c>
      <c r="AP36" s="3" t="s">
        <v>81</v>
      </c>
      <c r="AQ36" s="3" t="s">
        <v>81</v>
      </c>
      <c r="AR36" s="3" t="s">
        <v>81</v>
      </c>
      <c r="AS36" s="3" t="s">
        <v>81</v>
      </c>
      <c r="AT36" s="3" t="s">
        <v>81</v>
      </c>
      <c r="AU36" s="3" t="s">
        <v>81</v>
      </c>
      <c r="AV36" s="3" t="s">
        <v>81</v>
      </c>
      <c r="AW36" s="3" t="s">
        <v>81</v>
      </c>
      <c r="AX36" s="3">
        <v>45.225999999999999</v>
      </c>
      <c r="AY36" s="3">
        <v>0</v>
      </c>
      <c r="AZ36" s="3" t="s">
        <v>81</v>
      </c>
      <c r="BA36" s="3" t="s">
        <v>81</v>
      </c>
      <c r="BB36" s="3" t="s">
        <v>81</v>
      </c>
      <c r="BC36" s="3" t="s">
        <v>81</v>
      </c>
      <c r="BD36" s="3" t="s">
        <v>81</v>
      </c>
      <c r="BE36" s="3" t="s">
        <v>81</v>
      </c>
      <c r="BF36" s="3" t="s">
        <v>81</v>
      </c>
      <c r="BG36" s="3" t="s">
        <v>81</v>
      </c>
      <c r="BH36" s="3" t="s">
        <v>81</v>
      </c>
      <c r="BI36" s="3" t="s">
        <v>84</v>
      </c>
      <c r="BJ36" s="3" t="s">
        <v>84</v>
      </c>
      <c r="BK36" s="3" t="s">
        <v>82</v>
      </c>
      <c r="BL36" s="3" t="s">
        <v>84</v>
      </c>
      <c r="BM36" s="3" t="s">
        <v>84</v>
      </c>
      <c r="BN36" s="3" t="s">
        <v>84</v>
      </c>
      <c r="BO36" s="3" t="s">
        <v>82</v>
      </c>
      <c r="BP36" s="3" t="s">
        <v>81</v>
      </c>
      <c r="BQ36" s="3" t="s">
        <v>81</v>
      </c>
      <c r="BR36" s="3" t="s">
        <v>81</v>
      </c>
      <c r="BS36" s="3" t="s">
        <v>81</v>
      </c>
      <c r="BT36" s="3" t="s">
        <v>81</v>
      </c>
      <c r="BU36" s="3" t="s">
        <v>81</v>
      </c>
      <c r="BV36" s="3" t="s">
        <v>84</v>
      </c>
      <c r="BW36" s="3" t="s">
        <v>83</v>
      </c>
      <c r="BX36" s="3" t="s">
        <v>82</v>
      </c>
      <c r="BY36" s="3" t="s">
        <v>144</v>
      </c>
      <c r="BZ36" s="3" t="s">
        <v>93</v>
      </c>
      <c r="CB36" s="3" t="s">
        <v>84</v>
      </c>
    </row>
    <row r="37" spans="1:86" ht="15.75" customHeight="1" x14ac:dyDescent="0.15">
      <c r="A37" s="3">
        <v>2625878876</v>
      </c>
      <c r="B37" s="3" t="s">
        <v>146</v>
      </c>
      <c r="C37" s="3" t="s">
        <v>143</v>
      </c>
      <c r="D37" s="3" t="s">
        <v>81</v>
      </c>
      <c r="E37" s="3">
        <v>22</v>
      </c>
      <c r="F37" s="3">
        <v>30.321999999999999</v>
      </c>
      <c r="G37" s="3">
        <v>0</v>
      </c>
      <c r="H37" s="3" t="s">
        <v>81</v>
      </c>
      <c r="I37" s="3" t="s">
        <v>81</v>
      </c>
      <c r="J37" s="3" t="s">
        <v>81</v>
      </c>
      <c r="K37" s="3" t="s">
        <v>81</v>
      </c>
      <c r="L37" s="3" t="s">
        <v>81</v>
      </c>
      <c r="M37" s="3" t="s">
        <v>81</v>
      </c>
      <c r="N37" s="3" t="s">
        <v>81</v>
      </c>
      <c r="O37" s="3" t="s">
        <v>81</v>
      </c>
      <c r="P37" s="3" t="s">
        <v>81</v>
      </c>
      <c r="Q37" s="3">
        <v>28.297999999999998</v>
      </c>
      <c r="R37" s="3">
        <v>0</v>
      </c>
      <c r="S37" s="3" t="s">
        <v>81</v>
      </c>
      <c r="T37" s="3" t="s">
        <v>81</v>
      </c>
      <c r="U37" s="3" t="s">
        <v>81</v>
      </c>
      <c r="V37" s="3" t="s">
        <v>81</v>
      </c>
      <c r="W37" s="3" t="s">
        <v>81</v>
      </c>
      <c r="X37" s="3" t="s">
        <v>81</v>
      </c>
      <c r="Y37" s="3" t="s">
        <v>81</v>
      </c>
      <c r="Z37" s="3" t="s">
        <v>81</v>
      </c>
      <c r="AA37" s="3" t="s">
        <v>81</v>
      </c>
      <c r="AB37" s="3">
        <v>28.163</v>
      </c>
      <c r="AC37" s="3">
        <v>0</v>
      </c>
      <c r="AD37" s="3" t="s">
        <v>81</v>
      </c>
      <c r="AE37" s="3" t="s">
        <v>81</v>
      </c>
      <c r="AF37" s="3" t="s">
        <v>81</v>
      </c>
      <c r="AG37" s="3" t="s">
        <v>81</v>
      </c>
      <c r="AH37" s="3" t="s">
        <v>81</v>
      </c>
      <c r="AI37" s="3" t="s">
        <v>81</v>
      </c>
      <c r="AJ37" s="3" t="s">
        <v>81</v>
      </c>
      <c r="AK37" s="3" t="s">
        <v>81</v>
      </c>
      <c r="AL37" s="3" t="s">
        <v>81</v>
      </c>
      <c r="AM37" s="3">
        <v>31.783000000000001</v>
      </c>
      <c r="AN37" s="3">
        <v>0</v>
      </c>
      <c r="AO37" s="3" t="s">
        <v>81</v>
      </c>
      <c r="AP37" s="3" t="s">
        <v>81</v>
      </c>
      <c r="AQ37" s="3" t="s">
        <v>81</v>
      </c>
      <c r="AR37" s="3" t="s">
        <v>81</v>
      </c>
      <c r="AS37" s="3" t="s">
        <v>81</v>
      </c>
      <c r="AT37" s="3" t="s">
        <v>81</v>
      </c>
      <c r="AU37" s="3" t="s">
        <v>81</v>
      </c>
      <c r="AV37" s="3" t="s">
        <v>81</v>
      </c>
      <c r="AW37" s="3" t="s">
        <v>81</v>
      </c>
      <c r="AX37" s="3">
        <v>27.67</v>
      </c>
      <c r="AY37" s="3">
        <v>0</v>
      </c>
      <c r="AZ37" s="3" t="s">
        <v>81</v>
      </c>
      <c r="BA37" s="3" t="s">
        <v>81</v>
      </c>
      <c r="BB37" s="3" t="s">
        <v>81</v>
      </c>
      <c r="BC37" s="3" t="s">
        <v>81</v>
      </c>
      <c r="BD37" s="3" t="s">
        <v>81</v>
      </c>
      <c r="BE37" s="3" t="s">
        <v>81</v>
      </c>
      <c r="BF37" s="3" t="s">
        <v>81</v>
      </c>
      <c r="BG37" s="3" t="s">
        <v>81</v>
      </c>
      <c r="BH37" s="3" t="s">
        <v>81</v>
      </c>
      <c r="BI37" s="3" t="s">
        <v>84</v>
      </c>
      <c r="BJ37" s="3" t="s">
        <v>84</v>
      </c>
      <c r="BK37" s="3" t="s">
        <v>82</v>
      </c>
      <c r="BL37" s="3" t="s">
        <v>84</v>
      </c>
      <c r="BM37" s="3" t="s">
        <v>84</v>
      </c>
      <c r="BN37" s="3" t="s">
        <v>82</v>
      </c>
      <c r="BO37" s="3" t="s">
        <v>84</v>
      </c>
      <c r="BP37" s="3" t="s">
        <v>148</v>
      </c>
      <c r="BQ37" s="3" t="s">
        <v>148</v>
      </c>
      <c r="BR37" s="3" t="s">
        <v>149</v>
      </c>
      <c r="BS37" s="3" t="s">
        <v>149</v>
      </c>
      <c r="BT37" s="3" t="s">
        <v>87</v>
      </c>
      <c r="BU37" s="3" t="s">
        <v>129</v>
      </c>
      <c r="BV37" s="3" t="s">
        <v>84</v>
      </c>
      <c r="BW37" s="3" t="s">
        <v>83</v>
      </c>
      <c r="BX37" s="3" t="s">
        <v>82</v>
      </c>
      <c r="BY37" s="3" t="s">
        <v>150</v>
      </c>
      <c r="BZ37" s="3" t="s">
        <v>86</v>
      </c>
      <c r="CB37" s="3" t="s">
        <v>84</v>
      </c>
    </row>
    <row r="38" spans="1:86" ht="15.75" customHeight="1" x14ac:dyDescent="0.15">
      <c r="A38" s="3">
        <v>2625875522</v>
      </c>
      <c r="B38" s="3" t="s">
        <v>151</v>
      </c>
      <c r="C38" s="3" t="s">
        <v>143</v>
      </c>
      <c r="D38" s="3" t="s">
        <v>81</v>
      </c>
      <c r="E38" s="3">
        <v>17</v>
      </c>
      <c r="F38" s="3">
        <v>24.937000000000001</v>
      </c>
      <c r="G38" s="3">
        <v>0</v>
      </c>
      <c r="H38" s="3" t="s">
        <v>81</v>
      </c>
      <c r="I38" s="3" t="s">
        <v>81</v>
      </c>
      <c r="J38" s="3" t="s">
        <v>81</v>
      </c>
      <c r="K38" s="3" t="s">
        <v>81</v>
      </c>
      <c r="L38" s="3" t="s">
        <v>81</v>
      </c>
      <c r="M38" s="3" t="s">
        <v>81</v>
      </c>
      <c r="N38" s="3" t="s">
        <v>81</v>
      </c>
      <c r="O38" s="3" t="s">
        <v>81</v>
      </c>
      <c r="P38" s="3" t="s">
        <v>81</v>
      </c>
      <c r="Q38" s="3">
        <v>22.207999999999998</v>
      </c>
      <c r="R38" s="3">
        <v>0</v>
      </c>
      <c r="S38" s="3" t="s">
        <v>81</v>
      </c>
      <c r="T38" s="3" t="s">
        <v>81</v>
      </c>
      <c r="U38" s="3" t="s">
        <v>81</v>
      </c>
      <c r="V38" s="3" t="s">
        <v>81</v>
      </c>
      <c r="W38" s="3" t="s">
        <v>81</v>
      </c>
      <c r="X38" s="3" t="s">
        <v>81</v>
      </c>
      <c r="Y38" s="3" t="s">
        <v>81</v>
      </c>
      <c r="Z38" s="3" t="s">
        <v>81</v>
      </c>
      <c r="AA38" s="3" t="s">
        <v>81</v>
      </c>
      <c r="AB38" s="3">
        <v>23.734999999999999</v>
      </c>
      <c r="AC38" s="3">
        <v>0</v>
      </c>
      <c r="AD38" s="3" t="s">
        <v>81</v>
      </c>
      <c r="AE38" s="3" t="s">
        <v>81</v>
      </c>
      <c r="AF38" s="3" t="s">
        <v>81</v>
      </c>
      <c r="AG38" s="3" t="s">
        <v>81</v>
      </c>
      <c r="AH38" s="3" t="s">
        <v>81</v>
      </c>
      <c r="AI38" s="3" t="s">
        <v>81</v>
      </c>
      <c r="AJ38" s="3" t="s">
        <v>81</v>
      </c>
      <c r="AK38" s="3" t="s">
        <v>81</v>
      </c>
      <c r="AL38" s="3" t="s">
        <v>81</v>
      </c>
      <c r="AM38" s="3">
        <v>20.643000000000001</v>
      </c>
      <c r="AN38" s="3">
        <v>0</v>
      </c>
      <c r="AO38" s="3" t="s">
        <v>81</v>
      </c>
      <c r="AP38" s="3" t="s">
        <v>81</v>
      </c>
      <c r="AQ38" s="3" t="s">
        <v>81</v>
      </c>
      <c r="AR38" s="3" t="s">
        <v>81</v>
      </c>
      <c r="AS38" s="3" t="s">
        <v>81</v>
      </c>
      <c r="AT38" s="3" t="s">
        <v>81</v>
      </c>
      <c r="AU38" s="3" t="s">
        <v>81</v>
      </c>
      <c r="AV38" s="3" t="s">
        <v>81</v>
      </c>
      <c r="AW38" s="3" t="s">
        <v>81</v>
      </c>
      <c r="AX38" s="3">
        <v>20.844999999999999</v>
      </c>
      <c r="AY38" s="3">
        <v>0</v>
      </c>
      <c r="AZ38" s="3" t="s">
        <v>81</v>
      </c>
      <c r="BA38" s="3" t="s">
        <v>81</v>
      </c>
      <c r="BB38" s="3" t="s">
        <v>81</v>
      </c>
      <c r="BC38" s="3" t="s">
        <v>81</v>
      </c>
      <c r="BD38" s="3" t="s">
        <v>81</v>
      </c>
      <c r="BE38" s="3" t="s">
        <v>81</v>
      </c>
      <c r="BF38" s="3" t="s">
        <v>81</v>
      </c>
      <c r="BG38" s="3" t="s">
        <v>81</v>
      </c>
      <c r="BH38" s="3" t="s">
        <v>81</v>
      </c>
      <c r="BI38" s="3" t="s">
        <v>82</v>
      </c>
      <c r="BJ38" s="3" t="s">
        <v>84</v>
      </c>
      <c r="BK38" s="3" t="s">
        <v>82</v>
      </c>
      <c r="BL38" s="3" t="s">
        <v>84</v>
      </c>
      <c r="BM38" s="3" t="s">
        <v>84</v>
      </c>
      <c r="BN38" s="3" t="s">
        <v>82</v>
      </c>
      <c r="BO38" s="3" t="s">
        <v>84</v>
      </c>
      <c r="BP38" s="3" t="s">
        <v>152</v>
      </c>
      <c r="BQ38" s="3" t="s">
        <v>152</v>
      </c>
      <c r="BR38" s="3" t="s">
        <v>135</v>
      </c>
      <c r="BS38" s="3" t="s">
        <v>153</v>
      </c>
      <c r="BT38" s="3" t="s">
        <v>87</v>
      </c>
      <c r="BU38" s="3" t="s">
        <v>129</v>
      </c>
      <c r="BV38" s="3" t="s">
        <v>84</v>
      </c>
      <c r="BW38" s="3" t="s">
        <v>83</v>
      </c>
      <c r="BX38" s="3" t="s">
        <v>83</v>
      </c>
      <c r="BY38" s="3" t="s">
        <v>154</v>
      </c>
      <c r="BZ38" s="3" t="s">
        <v>86</v>
      </c>
      <c r="CB38" s="3" t="s">
        <v>84</v>
      </c>
    </row>
    <row r="39" spans="1:86" ht="15.75" customHeight="1" x14ac:dyDescent="0.15">
      <c r="A39" s="3">
        <v>2625867604</v>
      </c>
      <c r="B39" s="3" t="s">
        <v>146</v>
      </c>
      <c r="C39" s="3" t="s">
        <v>143</v>
      </c>
      <c r="D39" s="3" t="s">
        <v>81</v>
      </c>
      <c r="E39" s="3">
        <v>25</v>
      </c>
      <c r="F39" s="3">
        <v>36.094999999999999</v>
      </c>
      <c r="G39" s="3">
        <v>0</v>
      </c>
      <c r="H39" s="3" t="s">
        <v>81</v>
      </c>
      <c r="I39" s="3" t="s">
        <v>81</v>
      </c>
      <c r="J39" s="3" t="s">
        <v>81</v>
      </c>
      <c r="K39" s="3" t="s">
        <v>81</v>
      </c>
      <c r="L39" s="3" t="s">
        <v>81</v>
      </c>
      <c r="M39" s="3" t="s">
        <v>81</v>
      </c>
      <c r="N39" s="3" t="s">
        <v>81</v>
      </c>
      <c r="O39" s="3" t="s">
        <v>81</v>
      </c>
      <c r="P39" s="3" t="s">
        <v>81</v>
      </c>
      <c r="Q39" s="3">
        <v>35.094999999999999</v>
      </c>
      <c r="R39" s="3">
        <v>0</v>
      </c>
      <c r="S39" s="3" t="s">
        <v>81</v>
      </c>
      <c r="T39" s="3" t="s">
        <v>81</v>
      </c>
      <c r="U39" s="3" t="s">
        <v>81</v>
      </c>
      <c r="V39" s="3" t="s">
        <v>81</v>
      </c>
      <c r="W39" s="3" t="s">
        <v>81</v>
      </c>
      <c r="X39" s="3" t="s">
        <v>81</v>
      </c>
      <c r="Y39" s="3" t="s">
        <v>81</v>
      </c>
      <c r="Z39" s="3" t="s">
        <v>81</v>
      </c>
      <c r="AA39" s="3" t="s">
        <v>81</v>
      </c>
      <c r="AB39" s="3">
        <v>37.159999999999997</v>
      </c>
      <c r="AC39" s="3">
        <v>0</v>
      </c>
      <c r="AD39" s="3" t="s">
        <v>81</v>
      </c>
      <c r="AE39" s="3" t="s">
        <v>81</v>
      </c>
      <c r="AF39" s="3" t="s">
        <v>81</v>
      </c>
      <c r="AG39" s="3" t="s">
        <v>81</v>
      </c>
      <c r="AH39" s="3" t="s">
        <v>81</v>
      </c>
      <c r="AI39" s="3" t="s">
        <v>81</v>
      </c>
      <c r="AJ39" s="3" t="s">
        <v>81</v>
      </c>
      <c r="AK39" s="3" t="s">
        <v>81</v>
      </c>
      <c r="AL39" s="3" t="s">
        <v>81</v>
      </c>
      <c r="AM39" s="3">
        <v>36.808999999999997</v>
      </c>
      <c r="AN39" s="3">
        <v>0</v>
      </c>
      <c r="AO39" s="3" t="s">
        <v>81</v>
      </c>
      <c r="AP39" s="3" t="s">
        <v>81</v>
      </c>
      <c r="AQ39" s="3" t="s">
        <v>81</v>
      </c>
      <c r="AR39" s="3" t="s">
        <v>81</v>
      </c>
      <c r="AS39" s="3" t="s">
        <v>81</v>
      </c>
      <c r="AT39" s="3" t="s">
        <v>81</v>
      </c>
      <c r="AU39" s="3" t="s">
        <v>81</v>
      </c>
      <c r="AV39" s="3" t="s">
        <v>81</v>
      </c>
      <c r="AW39" s="3" t="s">
        <v>81</v>
      </c>
      <c r="AX39" s="3">
        <v>34.814999999999998</v>
      </c>
      <c r="AY39" s="3">
        <v>0</v>
      </c>
      <c r="AZ39" s="3" t="s">
        <v>81</v>
      </c>
      <c r="BA39" s="3" t="s">
        <v>81</v>
      </c>
      <c r="BB39" s="3" t="s">
        <v>81</v>
      </c>
      <c r="BC39" s="3" t="s">
        <v>81</v>
      </c>
      <c r="BD39" s="3" t="s">
        <v>81</v>
      </c>
      <c r="BE39" s="3" t="s">
        <v>81</v>
      </c>
      <c r="BF39" s="3" t="s">
        <v>81</v>
      </c>
      <c r="BG39" s="3" t="s">
        <v>81</v>
      </c>
      <c r="BH39" s="3" t="s">
        <v>81</v>
      </c>
      <c r="BI39" s="3" t="s">
        <v>82</v>
      </c>
      <c r="BJ39" s="3" t="s">
        <v>84</v>
      </c>
      <c r="BK39" s="3" t="s">
        <v>84</v>
      </c>
      <c r="BL39" s="3" t="s">
        <v>82</v>
      </c>
      <c r="BM39" s="3" t="s">
        <v>83</v>
      </c>
      <c r="BN39" s="3" t="s">
        <v>82</v>
      </c>
      <c r="BO39" s="3" t="s">
        <v>83</v>
      </c>
      <c r="BP39" s="3" t="s">
        <v>81</v>
      </c>
      <c r="BQ39" s="3" t="s">
        <v>81</v>
      </c>
      <c r="BR39" s="3" t="s">
        <v>81</v>
      </c>
      <c r="BS39" s="3" t="s">
        <v>81</v>
      </c>
      <c r="BT39" s="3" t="s">
        <v>81</v>
      </c>
      <c r="BU39" s="3" t="s">
        <v>81</v>
      </c>
      <c r="BV39" s="3" t="s">
        <v>83</v>
      </c>
      <c r="BW39" s="3" t="s">
        <v>83</v>
      </c>
      <c r="BX39" s="3" t="s">
        <v>83</v>
      </c>
      <c r="BY39" s="3" t="s">
        <v>147</v>
      </c>
      <c r="BZ39" s="3" t="s">
        <v>86</v>
      </c>
      <c r="CB39" s="3" t="s">
        <v>84</v>
      </c>
    </row>
    <row r="40" spans="1:86" ht="15.75" customHeight="1" x14ac:dyDescent="0.15">
      <c r="A40" s="3">
        <v>1228173457</v>
      </c>
      <c r="B40" s="3" t="s">
        <v>158</v>
      </c>
      <c r="C40" s="3" t="s">
        <v>158</v>
      </c>
      <c r="D40" s="3" t="s">
        <v>81</v>
      </c>
      <c r="E40" s="3">
        <v>23</v>
      </c>
      <c r="F40" s="3">
        <v>51.508000000000003</v>
      </c>
      <c r="G40" s="3">
        <v>0</v>
      </c>
      <c r="H40" s="3" t="s">
        <v>81</v>
      </c>
      <c r="I40" s="3" t="s">
        <v>81</v>
      </c>
      <c r="J40" s="3" t="s">
        <v>81</v>
      </c>
      <c r="K40" s="3" t="s">
        <v>81</v>
      </c>
      <c r="L40" s="3" t="s">
        <v>81</v>
      </c>
      <c r="M40" s="3" t="s">
        <v>81</v>
      </c>
      <c r="N40" s="3" t="s">
        <v>81</v>
      </c>
      <c r="O40" s="3" t="s">
        <v>81</v>
      </c>
      <c r="P40" s="3" t="s">
        <v>81</v>
      </c>
      <c r="Q40" s="3">
        <v>43.024000000000001</v>
      </c>
      <c r="R40" s="3">
        <v>0</v>
      </c>
      <c r="S40" s="3" t="s">
        <v>81</v>
      </c>
      <c r="T40" s="3" t="s">
        <v>81</v>
      </c>
      <c r="U40" s="3" t="s">
        <v>81</v>
      </c>
      <c r="V40" s="3" t="s">
        <v>81</v>
      </c>
      <c r="W40" s="3" t="s">
        <v>81</v>
      </c>
      <c r="X40" s="3" t="s">
        <v>81</v>
      </c>
      <c r="Y40" s="3" t="s">
        <v>81</v>
      </c>
      <c r="Z40" s="3" t="s">
        <v>81</v>
      </c>
      <c r="AA40" s="3" t="s">
        <v>81</v>
      </c>
      <c r="AB40" s="3">
        <v>56.927999999999997</v>
      </c>
      <c r="AC40" s="3">
        <v>0</v>
      </c>
      <c r="AD40" s="3" t="s">
        <v>81</v>
      </c>
      <c r="AE40" s="3" t="s">
        <v>81</v>
      </c>
      <c r="AF40" s="3" t="s">
        <v>81</v>
      </c>
      <c r="AG40" s="3" t="s">
        <v>81</v>
      </c>
      <c r="AH40" s="3" t="s">
        <v>81</v>
      </c>
      <c r="AI40" s="3" t="s">
        <v>81</v>
      </c>
      <c r="AJ40" s="3" t="s">
        <v>81</v>
      </c>
      <c r="AK40" s="3" t="s">
        <v>81</v>
      </c>
      <c r="AL40" s="3" t="s">
        <v>81</v>
      </c>
      <c r="AM40" s="3">
        <v>40.305</v>
      </c>
      <c r="AN40" s="3">
        <v>0</v>
      </c>
      <c r="AO40" s="3" t="s">
        <v>81</v>
      </c>
      <c r="AP40" s="3" t="s">
        <v>81</v>
      </c>
      <c r="AQ40" s="3" t="s">
        <v>81</v>
      </c>
      <c r="AR40" s="3" t="s">
        <v>81</v>
      </c>
      <c r="AS40" s="3" t="s">
        <v>81</v>
      </c>
      <c r="AT40" s="3" t="s">
        <v>81</v>
      </c>
      <c r="AU40" s="3" t="s">
        <v>81</v>
      </c>
      <c r="AV40" s="3" t="s">
        <v>81</v>
      </c>
      <c r="AW40" s="3" t="s">
        <v>81</v>
      </c>
      <c r="AX40" s="3">
        <v>58.731000000000002</v>
      </c>
      <c r="AY40" s="3">
        <v>0</v>
      </c>
      <c r="AZ40" s="3" t="s">
        <v>81</v>
      </c>
      <c r="BA40" s="3" t="s">
        <v>81</v>
      </c>
      <c r="BB40" s="3" t="s">
        <v>81</v>
      </c>
      <c r="BC40" s="3" t="s">
        <v>81</v>
      </c>
      <c r="BD40" s="3" t="s">
        <v>81</v>
      </c>
      <c r="BE40" s="3" t="s">
        <v>81</v>
      </c>
      <c r="BF40" s="3" t="s">
        <v>81</v>
      </c>
      <c r="BG40" s="3" t="s">
        <v>81</v>
      </c>
      <c r="BH40" s="3" t="s">
        <v>81</v>
      </c>
      <c r="BI40" s="3" t="s">
        <v>82</v>
      </c>
      <c r="BJ40" s="3" t="s">
        <v>84</v>
      </c>
      <c r="BK40" s="3" t="s">
        <v>84</v>
      </c>
      <c r="BL40" s="3" t="s">
        <v>82</v>
      </c>
      <c r="BM40" s="3" t="s">
        <v>83</v>
      </c>
      <c r="BN40" s="3" t="s">
        <v>83</v>
      </c>
      <c r="BO40" s="3" t="s">
        <v>83</v>
      </c>
      <c r="BP40" s="3" t="s">
        <v>81</v>
      </c>
      <c r="BQ40" s="3" t="s">
        <v>81</v>
      </c>
      <c r="BR40" s="3" t="s">
        <v>81</v>
      </c>
      <c r="BS40" s="3" t="s">
        <v>81</v>
      </c>
      <c r="BT40" s="3" t="s">
        <v>81</v>
      </c>
      <c r="BU40" s="3" t="s">
        <v>81</v>
      </c>
      <c r="BV40" s="3" t="s">
        <v>83</v>
      </c>
      <c r="BW40" s="3" t="s">
        <v>83</v>
      </c>
      <c r="BX40" s="3" t="s">
        <v>83</v>
      </c>
      <c r="BY40" s="3" t="s">
        <v>159</v>
      </c>
      <c r="BZ40" s="3" t="s">
        <v>93</v>
      </c>
      <c r="CB40" s="3" t="s">
        <v>84</v>
      </c>
      <c r="CD40" s="9">
        <v>26</v>
      </c>
    </row>
    <row r="41" spans="1:86" ht="15.75" hidden="1" customHeight="1" x14ac:dyDescent="0.15">
      <c r="A41" s="3">
        <v>2235982683</v>
      </c>
      <c r="B41" s="3" t="s">
        <v>163</v>
      </c>
      <c r="C41" s="3" t="s">
        <v>163</v>
      </c>
      <c r="D41" s="3" t="s">
        <v>81</v>
      </c>
      <c r="E41" s="3">
        <v>5</v>
      </c>
      <c r="F41" s="3">
        <v>46.234999999999999</v>
      </c>
      <c r="G41" s="3">
        <v>1</v>
      </c>
      <c r="H41" s="3">
        <v>13.712</v>
      </c>
      <c r="I41" s="3">
        <v>21.756</v>
      </c>
      <c r="J41" s="3">
        <v>32.168999999999997</v>
      </c>
      <c r="K41" s="3" t="s">
        <v>81</v>
      </c>
      <c r="L41" s="3" t="s">
        <v>81</v>
      </c>
      <c r="M41" s="3" t="s">
        <v>81</v>
      </c>
      <c r="N41" s="3" t="s">
        <v>81</v>
      </c>
      <c r="O41" s="3" t="s">
        <v>81</v>
      </c>
      <c r="P41" s="3" t="s">
        <v>81</v>
      </c>
      <c r="Q41" s="3">
        <v>43.945</v>
      </c>
      <c r="R41" s="3">
        <v>1</v>
      </c>
      <c r="S41" s="3">
        <v>8.3379999999999992</v>
      </c>
      <c r="T41" s="3">
        <v>26.622</v>
      </c>
      <c r="U41" s="3">
        <v>35.012</v>
      </c>
      <c r="V41" s="3" t="s">
        <v>81</v>
      </c>
      <c r="W41" s="3" t="s">
        <v>81</v>
      </c>
      <c r="X41" s="3" t="s">
        <v>81</v>
      </c>
      <c r="Y41" s="3" t="s">
        <v>81</v>
      </c>
      <c r="Z41" s="3" t="s">
        <v>81</v>
      </c>
      <c r="AA41" s="3" t="s">
        <v>81</v>
      </c>
      <c r="AB41" s="3">
        <v>47.247</v>
      </c>
      <c r="AC41" s="3">
        <v>1</v>
      </c>
      <c r="AD41" s="3">
        <v>17.263999999999999</v>
      </c>
      <c r="AE41" s="3" t="s">
        <v>81</v>
      </c>
      <c r="AF41" s="3">
        <v>29.92</v>
      </c>
      <c r="AG41" s="3" t="s">
        <v>81</v>
      </c>
      <c r="AH41" s="3" t="s">
        <v>81</v>
      </c>
      <c r="AI41" s="3" t="s">
        <v>81</v>
      </c>
      <c r="AJ41" s="3" t="s">
        <v>81</v>
      </c>
      <c r="AK41" s="3" t="s">
        <v>81</v>
      </c>
      <c r="AL41" s="3" t="s">
        <v>81</v>
      </c>
      <c r="AM41" s="3">
        <v>40.787999999999997</v>
      </c>
      <c r="AN41" s="3">
        <v>1</v>
      </c>
      <c r="AO41" s="3">
        <v>6.6719999999999997</v>
      </c>
      <c r="AP41" s="3">
        <v>28.262</v>
      </c>
      <c r="AQ41" s="3">
        <v>33.307000000000002</v>
      </c>
      <c r="AR41" s="3" t="s">
        <v>81</v>
      </c>
      <c r="AS41" s="3" t="s">
        <v>81</v>
      </c>
      <c r="AT41" s="3" t="s">
        <v>81</v>
      </c>
      <c r="AU41" s="3" t="s">
        <v>81</v>
      </c>
      <c r="AV41" s="3" t="s">
        <v>81</v>
      </c>
      <c r="AW41" s="3" t="s">
        <v>81</v>
      </c>
      <c r="AX41" s="3">
        <v>44.502000000000002</v>
      </c>
      <c r="AY41" s="3">
        <v>1</v>
      </c>
      <c r="AZ41" s="3">
        <v>14.333</v>
      </c>
      <c r="BA41" s="3" t="s">
        <v>81</v>
      </c>
      <c r="BB41" s="3">
        <v>29.870999999999999</v>
      </c>
      <c r="BC41" s="3" t="s">
        <v>81</v>
      </c>
      <c r="BD41" s="3" t="s">
        <v>81</v>
      </c>
      <c r="BE41" s="3" t="s">
        <v>81</v>
      </c>
      <c r="BF41" s="3" t="s">
        <v>81</v>
      </c>
      <c r="BG41" s="3" t="s">
        <v>81</v>
      </c>
      <c r="BH41" s="3" t="s">
        <v>81</v>
      </c>
      <c r="BI41" s="3" t="s">
        <v>84</v>
      </c>
      <c r="BJ41" s="3" t="s">
        <v>84</v>
      </c>
      <c r="BK41" s="3" t="s">
        <v>82</v>
      </c>
      <c r="BL41" s="3" t="s">
        <v>84</v>
      </c>
      <c r="BM41" s="3" t="s">
        <v>84</v>
      </c>
      <c r="BN41" s="3" t="s">
        <v>82</v>
      </c>
      <c r="BO41" s="3" t="s">
        <v>82</v>
      </c>
      <c r="BP41" s="3" t="s">
        <v>98</v>
      </c>
      <c r="BQ41" s="3" t="s">
        <v>98</v>
      </c>
      <c r="BR41" s="3" t="s">
        <v>98</v>
      </c>
      <c r="BS41" s="3" t="s">
        <v>98</v>
      </c>
      <c r="BT41" s="3" t="s">
        <v>98</v>
      </c>
      <c r="BU41" s="3" t="s">
        <v>81</v>
      </c>
      <c r="BV41" s="3" t="s">
        <v>82</v>
      </c>
      <c r="BW41" s="3" t="s">
        <v>91</v>
      </c>
      <c r="BX41" s="3" t="s">
        <v>82</v>
      </c>
      <c r="BY41" s="3" t="s">
        <v>164</v>
      </c>
      <c r="BZ41" s="3" t="s">
        <v>86</v>
      </c>
      <c r="CD41" s="9">
        <v>10</v>
      </c>
      <c r="CE41" s="9"/>
    </row>
    <row r="42" spans="1:86" ht="15.75" hidden="1" customHeight="1" x14ac:dyDescent="0.15">
      <c r="A42" s="3">
        <v>2625887974</v>
      </c>
      <c r="B42" s="3" t="s">
        <v>163</v>
      </c>
      <c r="C42" s="3" t="s">
        <v>163</v>
      </c>
      <c r="D42" s="3">
        <v>6</v>
      </c>
      <c r="E42" s="3">
        <v>7</v>
      </c>
      <c r="F42" s="3">
        <v>11.651</v>
      </c>
      <c r="G42" s="3">
        <v>0</v>
      </c>
      <c r="H42" s="3" t="s">
        <v>81</v>
      </c>
      <c r="I42" s="3" t="s">
        <v>81</v>
      </c>
      <c r="J42" s="3" t="s">
        <v>81</v>
      </c>
      <c r="K42" s="3" t="s">
        <v>81</v>
      </c>
      <c r="L42" s="3" t="s">
        <v>81</v>
      </c>
      <c r="M42" s="3" t="s">
        <v>81</v>
      </c>
      <c r="N42" s="3" t="s">
        <v>81</v>
      </c>
      <c r="O42" s="3" t="s">
        <v>81</v>
      </c>
      <c r="P42" s="3" t="s">
        <v>81</v>
      </c>
      <c r="Q42" s="3">
        <v>13.125999999999999</v>
      </c>
      <c r="R42" s="3">
        <v>0</v>
      </c>
      <c r="S42" s="3" t="s">
        <v>81</v>
      </c>
      <c r="T42" s="3" t="s">
        <v>81</v>
      </c>
      <c r="U42" s="3" t="s">
        <v>81</v>
      </c>
      <c r="V42" s="3" t="s">
        <v>81</v>
      </c>
      <c r="W42" s="3" t="s">
        <v>81</v>
      </c>
      <c r="X42" s="3" t="s">
        <v>81</v>
      </c>
      <c r="Y42" s="3" t="s">
        <v>81</v>
      </c>
      <c r="Z42" s="3" t="s">
        <v>81</v>
      </c>
      <c r="AA42" s="3" t="s">
        <v>81</v>
      </c>
      <c r="AB42" s="3">
        <v>11.646000000000001</v>
      </c>
      <c r="AC42" s="3">
        <v>0</v>
      </c>
      <c r="AD42" s="3" t="s">
        <v>81</v>
      </c>
      <c r="AE42" s="3" t="s">
        <v>81</v>
      </c>
      <c r="AF42" s="3" t="s">
        <v>81</v>
      </c>
      <c r="AG42" s="3" t="s">
        <v>81</v>
      </c>
      <c r="AH42" s="3" t="s">
        <v>81</v>
      </c>
      <c r="AI42" s="3" t="s">
        <v>81</v>
      </c>
      <c r="AJ42" s="3" t="s">
        <v>81</v>
      </c>
      <c r="AK42" s="3" t="s">
        <v>81</v>
      </c>
      <c r="AL42" s="3" t="s">
        <v>81</v>
      </c>
      <c r="AM42" s="3">
        <v>11.497</v>
      </c>
      <c r="AN42" s="3">
        <v>0</v>
      </c>
      <c r="AO42" s="3" t="s">
        <v>81</v>
      </c>
      <c r="AP42" s="3" t="s">
        <v>81</v>
      </c>
      <c r="AQ42" s="3" t="s">
        <v>81</v>
      </c>
      <c r="AR42" s="3" t="s">
        <v>81</v>
      </c>
      <c r="AS42" s="3" t="s">
        <v>81</v>
      </c>
      <c r="AT42" s="3" t="s">
        <v>81</v>
      </c>
      <c r="AU42" s="3" t="s">
        <v>81</v>
      </c>
      <c r="AV42" s="3" t="s">
        <v>81</v>
      </c>
      <c r="AW42" s="3" t="s">
        <v>81</v>
      </c>
      <c r="AX42" s="3">
        <v>11.407</v>
      </c>
      <c r="AY42" s="3">
        <v>0</v>
      </c>
      <c r="AZ42" s="3" t="s">
        <v>81</v>
      </c>
      <c r="BA42" s="3" t="s">
        <v>81</v>
      </c>
      <c r="BB42" s="3" t="s">
        <v>81</v>
      </c>
      <c r="BC42" s="3" t="s">
        <v>81</v>
      </c>
      <c r="BD42" s="3" t="s">
        <v>81</v>
      </c>
      <c r="BE42" s="3" t="s">
        <v>81</v>
      </c>
      <c r="BF42" s="3" t="s">
        <v>81</v>
      </c>
      <c r="BG42" s="3" t="s">
        <v>81</v>
      </c>
      <c r="BH42" s="3" t="s">
        <v>81</v>
      </c>
      <c r="BI42" s="3" t="s">
        <v>84</v>
      </c>
      <c r="BJ42" s="3" t="s">
        <v>82</v>
      </c>
      <c r="BK42" s="3" t="s">
        <v>83</v>
      </c>
      <c r="BL42" s="3" t="s">
        <v>84</v>
      </c>
      <c r="BM42" s="3" t="s">
        <v>84</v>
      </c>
      <c r="BN42" s="3" t="s">
        <v>82</v>
      </c>
      <c r="BO42" s="3" t="s">
        <v>82</v>
      </c>
      <c r="BP42" s="3" t="s">
        <v>165</v>
      </c>
      <c r="BQ42" s="3" t="s">
        <v>165</v>
      </c>
      <c r="BR42" s="3" t="s">
        <v>165</v>
      </c>
      <c r="BS42" s="3" t="s">
        <v>165</v>
      </c>
      <c r="BT42" s="3" t="s">
        <v>98</v>
      </c>
      <c r="BU42" s="3" t="s">
        <v>81</v>
      </c>
      <c r="BV42" s="3" t="s">
        <v>84</v>
      </c>
      <c r="BW42" s="3" t="s">
        <v>83</v>
      </c>
      <c r="BX42" s="3" t="s">
        <v>82</v>
      </c>
      <c r="BY42" s="3" t="s">
        <v>134</v>
      </c>
      <c r="BZ42" s="3" t="s">
        <v>86</v>
      </c>
      <c r="CD42" s="9">
        <v>4</v>
      </c>
      <c r="CE42" s="9">
        <v>6</v>
      </c>
    </row>
    <row r="43" spans="1:86" ht="13" x14ac:dyDescent="0.15">
      <c r="A43" s="3">
        <v>1847921889</v>
      </c>
      <c r="B43" s="3" t="s">
        <v>158</v>
      </c>
      <c r="C43" s="3" t="s">
        <v>158</v>
      </c>
      <c r="D43" s="3" t="s">
        <v>81</v>
      </c>
      <c r="E43" s="3">
        <v>13</v>
      </c>
      <c r="F43" s="3">
        <v>50.822000000000003</v>
      </c>
      <c r="G43" s="3">
        <v>0</v>
      </c>
      <c r="H43" s="3" t="s">
        <v>81</v>
      </c>
      <c r="I43" s="3" t="s">
        <v>81</v>
      </c>
      <c r="J43" s="3" t="s">
        <v>81</v>
      </c>
      <c r="K43" s="3" t="s">
        <v>81</v>
      </c>
      <c r="L43" s="3" t="s">
        <v>81</v>
      </c>
      <c r="M43" s="3" t="s">
        <v>81</v>
      </c>
      <c r="N43" s="3" t="s">
        <v>81</v>
      </c>
      <c r="O43" s="3" t="s">
        <v>81</v>
      </c>
      <c r="P43" s="3" t="s">
        <v>81</v>
      </c>
      <c r="Q43" s="3">
        <v>51.991999999999997</v>
      </c>
      <c r="R43" s="3">
        <v>0</v>
      </c>
      <c r="S43" s="3" t="s">
        <v>81</v>
      </c>
      <c r="T43" s="3" t="s">
        <v>81</v>
      </c>
      <c r="U43" s="3" t="s">
        <v>81</v>
      </c>
      <c r="V43" s="3" t="s">
        <v>81</v>
      </c>
      <c r="W43" s="3" t="s">
        <v>81</v>
      </c>
      <c r="X43" s="3" t="s">
        <v>81</v>
      </c>
      <c r="Y43" s="3" t="s">
        <v>81</v>
      </c>
      <c r="Z43" s="3" t="s">
        <v>81</v>
      </c>
      <c r="AA43" s="3" t="s">
        <v>81</v>
      </c>
      <c r="AB43" s="3">
        <v>47.665999999999997</v>
      </c>
      <c r="AC43" s="3">
        <v>0</v>
      </c>
      <c r="AD43" s="3" t="s">
        <v>81</v>
      </c>
      <c r="AE43" s="3" t="s">
        <v>81</v>
      </c>
      <c r="AF43" s="3" t="s">
        <v>81</v>
      </c>
      <c r="AG43" s="3" t="s">
        <v>81</v>
      </c>
      <c r="AH43" s="3" t="s">
        <v>81</v>
      </c>
      <c r="AI43" s="3" t="s">
        <v>81</v>
      </c>
      <c r="AJ43" s="3" t="s">
        <v>81</v>
      </c>
      <c r="AK43" s="3" t="s">
        <v>81</v>
      </c>
      <c r="AL43" s="3" t="s">
        <v>81</v>
      </c>
      <c r="AM43" s="3">
        <v>50.189</v>
      </c>
      <c r="AN43" s="3">
        <v>0</v>
      </c>
      <c r="AO43" s="3" t="s">
        <v>81</v>
      </c>
      <c r="AP43" s="3" t="s">
        <v>81</v>
      </c>
      <c r="AQ43" s="3" t="s">
        <v>81</v>
      </c>
      <c r="AR43" s="3" t="s">
        <v>81</v>
      </c>
      <c r="AS43" s="3" t="s">
        <v>81</v>
      </c>
      <c r="AT43" s="3" t="s">
        <v>81</v>
      </c>
      <c r="AU43" s="3" t="s">
        <v>81</v>
      </c>
      <c r="AV43" s="3" t="s">
        <v>81</v>
      </c>
      <c r="AW43" s="3" t="s">
        <v>81</v>
      </c>
      <c r="AX43" s="3">
        <v>41.301000000000002</v>
      </c>
      <c r="AY43" s="3">
        <v>0</v>
      </c>
      <c r="AZ43" s="3" t="s">
        <v>81</v>
      </c>
      <c r="BA43" s="3" t="s">
        <v>81</v>
      </c>
      <c r="BB43" s="3" t="s">
        <v>81</v>
      </c>
      <c r="BC43" s="3" t="s">
        <v>81</v>
      </c>
      <c r="BD43" s="3" t="s">
        <v>81</v>
      </c>
      <c r="BE43" s="3" t="s">
        <v>81</v>
      </c>
      <c r="BF43" s="3" t="s">
        <v>81</v>
      </c>
      <c r="BG43" s="3" t="s">
        <v>81</v>
      </c>
      <c r="BH43" s="3" t="s">
        <v>81</v>
      </c>
      <c r="BI43" s="3" t="s">
        <v>82</v>
      </c>
      <c r="BJ43" s="3" t="s">
        <v>82</v>
      </c>
      <c r="BK43" s="3" t="s">
        <v>83</v>
      </c>
      <c r="BL43" s="3" t="s">
        <v>84</v>
      </c>
      <c r="BM43" s="3" t="s">
        <v>82</v>
      </c>
      <c r="BN43" s="3" t="s">
        <v>84</v>
      </c>
      <c r="BO43" s="3" t="s">
        <v>82</v>
      </c>
      <c r="BP43" s="3" t="s">
        <v>85</v>
      </c>
      <c r="BQ43" s="3" t="s">
        <v>85</v>
      </c>
      <c r="BR43" s="3" t="s">
        <v>85</v>
      </c>
      <c r="BS43" s="3" t="s">
        <v>85</v>
      </c>
      <c r="BT43" s="3" t="s">
        <v>85</v>
      </c>
      <c r="BU43" s="3" t="s">
        <v>81</v>
      </c>
      <c r="BV43" s="3" t="s">
        <v>84</v>
      </c>
      <c r="BW43" s="3" t="s">
        <v>83</v>
      </c>
      <c r="BX43" s="3" t="s">
        <v>82</v>
      </c>
      <c r="BY43" s="3" t="s">
        <v>160</v>
      </c>
      <c r="BZ43" s="3" t="s">
        <v>93</v>
      </c>
      <c r="CB43" s="3" t="s">
        <v>84</v>
      </c>
      <c r="CD43" s="9">
        <v>13</v>
      </c>
    </row>
    <row r="44" spans="1:86" ht="15.75" customHeight="1" x14ac:dyDescent="0.15">
      <c r="A44" s="3">
        <v>2235781910</v>
      </c>
      <c r="B44" s="3" t="s">
        <v>158</v>
      </c>
      <c r="C44" s="3" t="s">
        <v>158</v>
      </c>
      <c r="D44" s="3">
        <v>5</v>
      </c>
      <c r="E44" s="3">
        <v>5</v>
      </c>
      <c r="F44" s="3">
        <v>44.055999999999997</v>
      </c>
      <c r="G44" s="3">
        <v>0</v>
      </c>
      <c r="H44" s="3" t="s">
        <v>81</v>
      </c>
      <c r="I44" s="3" t="s">
        <v>81</v>
      </c>
      <c r="J44" s="3" t="s">
        <v>81</v>
      </c>
      <c r="K44" s="3" t="s">
        <v>81</v>
      </c>
      <c r="L44" s="3" t="s">
        <v>81</v>
      </c>
      <c r="M44" s="3" t="s">
        <v>81</v>
      </c>
      <c r="N44" s="3" t="s">
        <v>81</v>
      </c>
      <c r="O44" s="3" t="s">
        <v>81</v>
      </c>
      <c r="P44" s="3" t="s">
        <v>81</v>
      </c>
      <c r="Q44" s="3">
        <v>39.683999999999997</v>
      </c>
      <c r="R44" s="3">
        <v>0</v>
      </c>
      <c r="S44" s="3" t="s">
        <v>81</v>
      </c>
      <c r="T44" s="3" t="s">
        <v>81</v>
      </c>
      <c r="U44" s="3" t="s">
        <v>81</v>
      </c>
      <c r="V44" s="3" t="s">
        <v>81</v>
      </c>
      <c r="W44" s="3" t="s">
        <v>81</v>
      </c>
      <c r="X44" s="3" t="s">
        <v>81</v>
      </c>
      <c r="Y44" s="3" t="s">
        <v>81</v>
      </c>
      <c r="Z44" s="3" t="s">
        <v>81</v>
      </c>
      <c r="AA44" s="3" t="s">
        <v>81</v>
      </c>
      <c r="AB44" s="3">
        <v>39.052999999999997</v>
      </c>
      <c r="AC44" s="3">
        <v>0</v>
      </c>
      <c r="AD44" s="3" t="s">
        <v>81</v>
      </c>
      <c r="AE44" s="3" t="s">
        <v>81</v>
      </c>
      <c r="AF44" s="3" t="s">
        <v>81</v>
      </c>
      <c r="AG44" s="3" t="s">
        <v>81</v>
      </c>
      <c r="AH44" s="3" t="s">
        <v>81</v>
      </c>
      <c r="AI44" s="3" t="s">
        <v>81</v>
      </c>
      <c r="AJ44" s="3" t="s">
        <v>81</v>
      </c>
      <c r="AK44" s="3" t="s">
        <v>81</v>
      </c>
      <c r="AL44" s="3" t="s">
        <v>81</v>
      </c>
      <c r="AM44" s="3">
        <v>39.692</v>
      </c>
      <c r="AN44" s="3">
        <v>0</v>
      </c>
      <c r="AO44" s="3" t="s">
        <v>81</v>
      </c>
      <c r="AP44" s="3" t="s">
        <v>81</v>
      </c>
      <c r="AQ44" s="3" t="s">
        <v>81</v>
      </c>
      <c r="AR44" s="3" t="s">
        <v>81</v>
      </c>
      <c r="AS44" s="3" t="s">
        <v>81</v>
      </c>
      <c r="AT44" s="3" t="s">
        <v>81</v>
      </c>
      <c r="AU44" s="3" t="s">
        <v>81</v>
      </c>
      <c r="AV44" s="3" t="s">
        <v>81</v>
      </c>
      <c r="AW44" s="3" t="s">
        <v>81</v>
      </c>
      <c r="AX44" s="3" t="s">
        <v>81</v>
      </c>
      <c r="AY44" s="3">
        <v>0</v>
      </c>
      <c r="AZ44" s="3" t="s">
        <v>81</v>
      </c>
      <c r="BA44" s="3" t="s">
        <v>81</v>
      </c>
      <c r="BB44" s="3" t="s">
        <v>81</v>
      </c>
      <c r="BC44" s="3" t="s">
        <v>81</v>
      </c>
      <c r="BD44" s="3" t="s">
        <v>81</v>
      </c>
      <c r="BE44" s="3" t="s">
        <v>81</v>
      </c>
      <c r="BF44" s="3" t="s">
        <v>81</v>
      </c>
      <c r="BG44" s="3" t="s">
        <v>81</v>
      </c>
      <c r="BH44" s="3" t="s">
        <v>81</v>
      </c>
      <c r="BI44" s="3" t="s">
        <v>84</v>
      </c>
      <c r="BJ44" s="3" t="s">
        <v>84</v>
      </c>
      <c r="BK44" s="3" t="s">
        <v>82</v>
      </c>
      <c r="BL44" s="3" t="s">
        <v>84</v>
      </c>
      <c r="BM44" s="3" t="s">
        <v>84</v>
      </c>
      <c r="BN44" s="3" t="s">
        <v>84</v>
      </c>
      <c r="BO44" s="3" t="s">
        <v>82</v>
      </c>
      <c r="BP44" s="3" t="s">
        <v>87</v>
      </c>
      <c r="BQ44" s="3" t="s">
        <v>87</v>
      </c>
      <c r="BR44" s="3" t="s">
        <v>85</v>
      </c>
      <c r="BS44" s="3" t="s">
        <v>85</v>
      </c>
      <c r="BT44" s="3" t="s">
        <v>87</v>
      </c>
      <c r="BU44" s="3" t="s">
        <v>85</v>
      </c>
      <c r="BV44" s="3" t="s">
        <v>84</v>
      </c>
      <c r="BW44" s="3" t="s">
        <v>83</v>
      </c>
      <c r="BX44" s="3" t="s">
        <v>82</v>
      </c>
      <c r="BY44" s="3" t="s">
        <v>161</v>
      </c>
      <c r="BZ44" s="3" t="s">
        <v>86</v>
      </c>
      <c r="CB44" s="3" t="s">
        <v>84</v>
      </c>
      <c r="CD44" s="9">
        <v>5</v>
      </c>
    </row>
    <row r="45" spans="1:86" ht="15.75" customHeight="1" x14ac:dyDescent="0.15">
      <c r="A45" s="3">
        <v>2235957891</v>
      </c>
      <c r="B45" s="3" t="s">
        <v>158</v>
      </c>
      <c r="C45" s="3" t="s">
        <v>158</v>
      </c>
      <c r="D45" s="3">
        <v>6</v>
      </c>
      <c r="E45" s="3">
        <v>8</v>
      </c>
      <c r="F45" s="3">
        <v>37.027999999999999</v>
      </c>
      <c r="G45" s="3">
        <v>0</v>
      </c>
      <c r="H45" s="3" t="s">
        <v>81</v>
      </c>
      <c r="I45" s="3" t="s">
        <v>81</v>
      </c>
      <c r="J45" s="3" t="s">
        <v>81</v>
      </c>
      <c r="K45" s="3" t="s">
        <v>81</v>
      </c>
      <c r="L45" s="3" t="s">
        <v>81</v>
      </c>
      <c r="M45" s="3" t="s">
        <v>81</v>
      </c>
      <c r="N45" s="3" t="s">
        <v>81</v>
      </c>
      <c r="O45" s="3" t="s">
        <v>81</v>
      </c>
      <c r="P45" s="3" t="s">
        <v>81</v>
      </c>
      <c r="Q45" s="3">
        <v>44.152999999999999</v>
      </c>
      <c r="R45" s="3">
        <v>0</v>
      </c>
      <c r="S45" s="3" t="s">
        <v>81</v>
      </c>
      <c r="T45" s="3" t="s">
        <v>81</v>
      </c>
      <c r="U45" s="3" t="s">
        <v>81</v>
      </c>
      <c r="V45" s="3" t="s">
        <v>81</v>
      </c>
      <c r="W45" s="3" t="s">
        <v>81</v>
      </c>
      <c r="X45" s="3" t="s">
        <v>81</v>
      </c>
      <c r="Y45" s="3" t="s">
        <v>81</v>
      </c>
      <c r="Z45" s="3" t="s">
        <v>81</v>
      </c>
      <c r="AA45" s="3" t="s">
        <v>81</v>
      </c>
      <c r="AB45" s="3">
        <v>35.209000000000003</v>
      </c>
      <c r="AC45" s="3">
        <v>0</v>
      </c>
      <c r="AD45" s="3" t="s">
        <v>81</v>
      </c>
      <c r="AE45" s="3" t="s">
        <v>81</v>
      </c>
      <c r="AF45" s="3" t="s">
        <v>81</v>
      </c>
      <c r="AG45" s="3" t="s">
        <v>81</v>
      </c>
      <c r="AH45" s="3" t="s">
        <v>81</v>
      </c>
      <c r="AI45" s="3" t="s">
        <v>81</v>
      </c>
      <c r="AJ45" s="3" t="s">
        <v>81</v>
      </c>
      <c r="AK45" s="3" t="s">
        <v>81</v>
      </c>
      <c r="AL45" s="3" t="s">
        <v>81</v>
      </c>
      <c r="AM45" s="3">
        <v>32.383000000000003</v>
      </c>
      <c r="AN45" s="3">
        <v>0</v>
      </c>
      <c r="AO45" s="3" t="s">
        <v>81</v>
      </c>
      <c r="AP45" s="3" t="s">
        <v>81</v>
      </c>
      <c r="AQ45" s="3" t="s">
        <v>81</v>
      </c>
      <c r="AR45" s="3" t="s">
        <v>81</v>
      </c>
      <c r="AS45" s="3" t="s">
        <v>81</v>
      </c>
      <c r="AT45" s="3" t="s">
        <v>81</v>
      </c>
      <c r="AU45" s="3" t="s">
        <v>81</v>
      </c>
      <c r="AV45" s="3" t="s">
        <v>81</v>
      </c>
      <c r="AW45" s="3" t="s">
        <v>81</v>
      </c>
      <c r="AX45" s="3">
        <v>47.293999999999997</v>
      </c>
      <c r="AY45" s="3">
        <v>0</v>
      </c>
      <c r="AZ45" s="3" t="s">
        <v>81</v>
      </c>
      <c r="BA45" s="3" t="s">
        <v>81</v>
      </c>
      <c r="BB45" s="3" t="s">
        <v>81</v>
      </c>
      <c r="BC45" s="3" t="s">
        <v>81</v>
      </c>
      <c r="BD45" s="3" t="s">
        <v>81</v>
      </c>
      <c r="BE45" s="3" t="s">
        <v>81</v>
      </c>
      <c r="BF45" s="3" t="s">
        <v>81</v>
      </c>
      <c r="BG45" s="3" t="s">
        <v>81</v>
      </c>
      <c r="BH45" s="3" t="s">
        <v>81</v>
      </c>
      <c r="BI45" s="3" t="s">
        <v>84</v>
      </c>
      <c r="BJ45" s="3" t="s">
        <v>82</v>
      </c>
      <c r="BK45" s="3" t="s">
        <v>83</v>
      </c>
      <c r="BL45" s="3" t="s">
        <v>84</v>
      </c>
      <c r="BM45" s="3" t="s">
        <v>84</v>
      </c>
      <c r="BN45" s="3" t="s">
        <v>84</v>
      </c>
      <c r="BO45" s="3" t="s">
        <v>82</v>
      </c>
      <c r="BP45" s="3" t="s">
        <v>85</v>
      </c>
      <c r="BQ45" s="3" t="s">
        <v>85</v>
      </c>
      <c r="BR45" s="3" t="s">
        <v>85</v>
      </c>
      <c r="BS45" s="3" t="s">
        <v>85</v>
      </c>
      <c r="BT45" s="3" t="s">
        <v>85</v>
      </c>
      <c r="BU45" s="3" t="s">
        <v>81</v>
      </c>
      <c r="BV45" s="3" t="s">
        <v>84</v>
      </c>
      <c r="BW45" s="3" t="s">
        <v>83</v>
      </c>
      <c r="BX45" s="3" t="s">
        <v>82</v>
      </c>
      <c r="BZ45" s="3" t="s">
        <v>86</v>
      </c>
      <c r="CB45" s="3" t="s">
        <v>84</v>
      </c>
      <c r="CD45" s="9">
        <v>8</v>
      </c>
    </row>
    <row r="46" spans="1:86" ht="15.75" customHeight="1" x14ac:dyDescent="0.15">
      <c r="A46" s="3">
        <v>2625896904</v>
      </c>
      <c r="B46" s="3" t="s">
        <v>158</v>
      </c>
      <c r="C46" s="3" t="s">
        <v>158</v>
      </c>
      <c r="D46" s="3">
        <v>6</v>
      </c>
      <c r="E46" s="3">
        <v>7</v>
      </c>
      <c r="F46" s="3">
        <v>25.962</v>
      </c>
      <c r="G46" s="3">
        <v>0</v>
      </c>
      <c r="H46" s="3" t="s">
        <v>81</v>
      </c>
      <c r="I46" s="3" t="s">
        <v>81</v>
      </c>
      <c r="J46" s="3" t="s">
        <v>81</v>
      </c>
      <c r="K46" s="3" t="s">
        <v>81</v>
      </c>
      <c r="L46" s="3" t="s">
        <v>81</v>
      </c>
      <c r="M46" s="3" t="s">
        <v>81</v>
      </c>
      <c r="N46" s="3" t="s">
        <v>81</v>
      </c>
      <c r="O46" s="3" t="s">
        <v>81</v>
      </c>
      <c r="P46" s="3" t="s">
        <v>81</v>
      </c>
      <c r="Q46" s="3">
        <v>23.928000000000001</v>
      </c>
      <c r="R46" s="3">
        <v>0</v>
      </c>
      <c r="S46" s="3" t="s">
        <v>81</v>
      </c>
      <c r="T46" s="3" t="s">
        <v>81</v>
      </c>
      <c r="U46" s="3" t="s">
        <v>81</v>
      </c>
      <c r="V46" s="3" t="s">
        <v>81</v>
      </c>
      <c r="W46" s="3" t="s">
        <v>81</v>
      </c>
      <c r="X46" s="3" t="s">
        <v>81</v>
      </c>
      <c r="Y46" s="3" t="s">
        <v>81</v>
      </c>
      <c r="Z46" s="3" t="s">
        <v>81</v>
      </c>
      <c r="AA46" s="3" t="s">
        <v>81</v>
      </c>
      <c r="AB46" s="3">
        <v>23.033999999999999</v>
      </c>
      <c r="AC46" s="3">
        <v>0</v>
      </c>
      <c r="AD46" s="3" t="s">
        <v>81</v>
      </c>
      <c r="AE46" s="3" t="s">
        <v>81</v>
      </c>
      <c r="AF46" s="3" t="s">
        <v>81</v>
      </c>
      <c r="AG46" s="3" t="s">
        <v>81</v>
      </c>
      <c r="AH46" s="3" t="s">
        <v>81</v>
      </c>
      <c r="AI46" s="3" t="s">
        <v>81</v>
      </c>
      <c r="AJ46" s="3" t="s">
        <v>81</v>
      </c>
      <c r="AK46" s="3" t="s">
        <v>81</v>
      </c>
      <c r="AL46" s="3" t="s">
        <v>81</v>
      </c>
      <c r="AM46" s="3">
        <v>22.204999999999998</v>
      </c>
      <c r="AN46" s="3">
        <v>0</v>
      </c>
      <c r="AO46" s="3" t="s">
        <v>81</v>
      </c>
      <c r="AP46" s="3" t="s">
        <v>81</v>
      </c>
      <c r="AQ46" s="3" t="s">
        <v>81</v>
      </c>
      <c r="AR46" s="3" t="s">
        <v>81</v>
      </c>
      <c r="AS46" s="3" t="s">
        <v>81</v>
      </c>
      <c r="AT46" s="3" t="s">
        <v>81</v>
      </c>
      <c r="AU46" s="3" t="s">
        <v>81</v>
      </c>
      <c r="AV46" s="3" t="s">
        <v>81</v>
      </c>
      <c r="AW46" s="3" t="s">
        <v>81</v>
      </c>
      <c r="AX46" s="3">
        <v>21.494</v>
      </c>
      <c r="AY46" s="3">
        <v>0</v>
      </c>
      <c r="AZ46" s="3" t="s">
        <v>81</v>
      </c>
      <c r="BA46" s="3" t="s">
        <v>81</v>
      </c>
      <c r="BB46" s="3" t="s">
        <v>81</v>
      </c>
      <c r="BC46" s="3" t="s">
        <v>81</v>
      </c>
      <c r="BD46" s="3" t="s">
        <v>81</v>
      </c>
      <c r="BE46" s="3" t="s">
        <v>81</v>
      </c>
      <c r="BF46" s="3" t="s">
        <v>81</v>
      </c>
      <c r="BG46" s="3" t="s">
        <v>81</v>
      </c>
      <c r="BH46" s="3" t="s">
        <v>81</v>
      </c>
      <c r="BI46" s="3" t="s">
        <v>84</v>
      </c>
      <c r="BJ46" s="3" t="s">
        <v>82</v>
      </c>
      <c r="BK46" s="3" t="s">
        <v>83</v>
      </c>
      <c r="BL46" s="3" t="s">
        <v>84</v>
      </c>
      <c r="BM46" s="3" t="s">
        <v>84</v>
      </c>
      <c r="BN46" s="3" t="s">
        <v>84</v>
      </c>
      <c r="BO46" s="3" t="s">
        <v>82</v>
      </c>
      <c r="BP46" s="3" t="s">
        <v>162</v>
      </c>
      <c r="BQ46" s="3" t="s">
        <v>162</v>
      </c>
      <c r="BR46" s="3" t="s">
        <v>98</v>
      </c>
      <c r="BS46" s="3" t="s">
        <v>98</v>
      </c>
      <c r="BT46" s="3" t="s">
        <v>85</v>
      </c>
      <c r="BU46" s="3" t="s">
        <v>98</v>
      </c>
      <c r="BV46" s="3" t="s">
        <v>84</v>
      </c>
      <c r="BW46" s="3" t="s">
        <v>83</v>
      </c>
      <c r="BX46" s="3" t="s">
        <v>82</v>
      </c>
      <c r="BZ46" s="3" t="s">
        <v>86</v>
      </c>
      <c r="CB46" s="3" t="s">
        <v>84</v>
      </c>
      <c r="CD46" s="9">
        <v>7</v>
      </c>
    </row>
    <row r="47" spans="1:86" ht="15.75" customHeight="1" x14ac:dyDescent="0.15">
      <c r="A47" s="3">
        <v>2643368801</v>
      </c>
      <c r="B47" s="3" t="s">
        <v>163</v>
      </c>
      <c r="C47" s="3" t="s">
        <v>163</v>
      </c>
      <c r="D47" s="3">
        <v>4</v>
      </c>
      <c r="E47" s="3">
        <v>7</v>
      </c>
      <c r="F47" s="3">
        <v>26.91</v>
      </c>
      <c r="G47" s="3">
        <v>1</v>
      </c>
      <c r="H47" s="3">
        <v>14.677</v>
      </c>
      <c r="I47" s="3">
        <v>7.8559999999999999</v>
      </c>
      <c r="J47" s="3">
        <v>11.83</v>
      </c>
      <c r="K47" s="3" t="s">
        <v>81</v>
      </c>
      <c r="L47" s="3" t="s">
        <v>81</v>
      </c>
      <c r="M47" s="3" t="s">
        <v>81</v>
      </c>
      <c r="N47" s="3" t="s">
        <v>81</v>
      </c>
      <c r="O47" s="3" t="s">
        <v>81</v>
      </c>
      <c r="P47" s="3" t="s">
        <v>81</v>
      </c>
      <c r="Q47" s="3">
        <v>29.204999999999998</v>
      </c>
      <c r="R47" s="3">
        <v>1</v>
      </c>
      <c r="S47" s="3">
        <v>12.641</v>
      </c>
      <c r="T47" s="3">
        <v>9.8190000000000008</v>
      </c>
      <c r="U47" s="3">
        <v>16.315999999999999</v>
      </c>
      <c r="V47" s="3" t="s">
        <v>81</v>
      </c>
      <c r="W47" s="3" t="s">
        <v>81</v>
      </c>
      <c r="X47" s="3" t="s">
        <v>81</v>
      </c>
      <c r="Y47" s="3" t="s">
        <v>81</v>
      </c>
      <c r="Z47" s="3" t="s">
        <v>81</v>
      </c>
      <c r="AA47" s="3" t="s">
        <v>81</v>
      </c>
      <c r="AB47" s="3">
        <v>28.292000000000002</v>
      </c>
      <c r="AC47" s="3">
        <v>1</v>
      </c>
      <c r="AD47" s="3">
        <v>12.978</v>
      </c>
      <c r="AE47" s="3">
        <v>10.593999999999999</v>
      </c>
      <c r="AF47" s="3">
        <v>15.571</v>
      </c>
      <c r="AG47" s="3" t="s">
        <v>81</v>
      </c>
      <c r="AH47" s="3" t="s">
        <v>81</v>
      </c>
      <c r="AI47" s="3" t="s">
        <v>81</v>
      </c>
      <c r="AJ47" s="3" t="s">
        <v>81</v>
      </c>
      <c r="AK47" s="3" t="s">
        <v>81</v>
      </c>
      <c r="AL47" s="3" t="s">
        <v>81</v>
      </c>
      <c r="AM47" s="3">
        <v>28.283999999999999</v>
      </c>
      <c r="AN47" s="3">
        <v>1</v>
      </c>
      <c r="AO47" s="3">
        <v>12.324999999999999</v>
      </c>
      <c r="AP47" s="3">
        <v>11.49</v>
      </c>
      <c r="AQ47" s="3">
        <v>15.36</v>
      </c>
      <c r="AR47" s="3" t="s">
        <v>81</v>
      </c>
      <c r="AS47" s="3" t="s">
        <v>81</v>
      </c>
      <c r="AT47" s="3" t="s">
        <v>81</v>
      </c>
      <c r="AU47" s="3" t="s">
        <v>81</v>
      </c>
      <c r="AV47" s="3" t="s">
        <v>81</v>
      </c>
      <c r="AW47" s="3" t="s">
        <v>81</v>
      </c>
      <c r="AX47" s="3">
        <v>27.523</v>
      </c>
      <c r="AY47" s="3">
        <v>1</v>
      </c>
      <c r="AZ47" s="3">
        <v>13.334</v>
      </c>
      <c r="BA47" s="3">
        <v>11.348000000000001</v>
      </c>
      <c r="BB47" s="3">
        <v>14.555999999999999</v>
      </c>
      <c r="BC47" s="3" t="s">
        <v>81</v>
      </c>
      <c r="BD47" s="3" t="s">
        <v>81</v>
      </c>
      <c r="BE47" s="3" t="s">
        <v>81</v>
      </c>
      <c r="BF47" s="3" t="s">
        <v>81</v>
      </c>
      <c r="BG47" s="3" t="s">
        <v>81</v>
      </c>
      <c r="BH47" s="3" t="s">
        <v>81</v>
      </c>
      <c r="BI47" s="3" t="s">
        <v>84</v>
      </c>
      <c r="BJ47" s="3" t="s">
        <v>84</v>
      </c>
      <c r="BK47" s="3" t="s">
        <v>84</v>
      </c>
      <c r="BL47" s="3" t="s">
        <v>84</v>
      </c>
      <c r="BM47" s="3" t="s">
        <v>84</v>
      </c>
      <c r="BN47" s="3" t="s">
        <v>82</v>
      </c>
      <c r="BO47" s="3" t="s">
        <v>83</v>
      </c>
      <c r="BP47" s="3" t="s">
        <v>81</v>
      </c>
      <c r="BQ47" s="3" t="s">
        <v>81</v>
      </c>
      <c r="BR47" s="3" t="s">
        <v>81</v>
      </c>
      <c r="BS47" s="3" t="s">
        <v>81</v>
      </c>
      <c r="BT47" s="3" t="s">
        <v>81</v>
      </c>
      <c r="BU47" s="3" t="s">
        <v>81</v>
      </c>
      <c r="BV47" s="3" t="s">
        <v>84</v>
      </c>
      <c r="BW47" s="3" t="s">
        <v>83</v>
      </c>
      <c r="BX47" s="3" t="s">
        <v>82</v>
      </c>
      <c r="BZ47" s="3" t="s">
        <v>86</v>
      </c>
      <c r="CD47" s="9">
        <v>14</v>
      </c>
      <c r="CE47" s="9">
        <v>14</v>
      </c>
    </row>
    <row r="48" spans="1:86" ht="15.75" customHeight="1" x14ac:dyDescent="0.15">
      <c r="A48" s="3">
        <v>1228559756</v>
      </c>
      <c r="B48" s="3" t="s">
        <v>166</v>
      </c>
      <c r="C48" s="3" t="s">
        <v>166</v>
      </c>
      <c r="D48" s="3">
        <v>2</v>
      </c>
      <c r="E48" s="3">
        <v>2</v>
      </c>
      <c r="F48" s="3">
        <v>71.048000000000002</v>
      </c>
      <c r="G48" s="3">
        <v>0</v>
      </c>
      <c r="H48" s="3" t="s">
        <v>81</v>
      </c>
      <c r="I48" s="3" t="s">
        <v>81</v>
      </c>
      <c r="J48" s="3" t="s">
        <v>81</v>
      </c>
      <c r="K48" s="3" t="s">
        <v>81</v>
      </c>
      <c r="L48" s="3" t="s">
        <v>81</v>
      </c>
      <c r="M48" s="3" t="s">
        <v>81</v>
      </c>
      <c r="N48" s="3" t="s">
        <v>81</v>
      </c>
      <c r="O48" s="3" t="s">
        <v>81</v>
      </c>
      <c r="P48" s="3" t="s">
        <v>81</v>
      </c>
      <c r="Q48" s="3">
        <v>78.486000000000004</v>
      </c>
      <c r="R48" s="3">
        <v>0</v>
      </c>
      <c r="S48" s="3" t="s">
        <v>81</v>
      </c>
      <c r="T48" s="3" t="s">
        <v>81</v>
      </c>
      <c r="U48" s="3" t="s">
        <v>81</v>
      </c>
      <c r="V48" s="3" t="s">
        <v>81</v>
      </c>
      <c r="W48" s="3" t="s">
        <v>81</v>
      </c>
      <c r="X48" s="3" t="s">
        <v>81</v>
      </c>
      <c r="Y48" s="3" t="s">
        <v>81</v>
      </c>
      <c r="Z48" s="3" t="s">
        <v>81</v>
      </c>
      <c r="AA48" s="3" t="s">
        <v>81</v>
      </c>
      <c r="AB48" s="3" t="s">
        <v>81</v>
      </c>
      <c r="AC48" s="3" t="s">
        <v>81</v>
      </c>
      <c r="AD48" s="3" t="s">
        <v>81</v>
      </c>
      <c r="AE48" s="3" t="s">
        <v>81</v>
      </c>
      <c r="AF48" s="3" t="s">
        <v>81</v>
      </c>
      <c r="AG48" s="3" t="s">
        <v>81</v>
      </c>
      <c r="AH48" s="3" t="s">
        <v>81</v>
      </c>
      <c r="AI48" s="3" t="s">
        <v>81</v>
      </c>
      <c r="AJ48" s="3" t="s">
        <v>81</v>
      </c>
      <c r="AK48" s="3" t="s">
        <v>81</v>
      </c>
      <c r="AL48" s="3" t="s">
        <v>81</v>
      </c>
      <c r="AM48" s="3" t="s">
        <v>81</v>
      </c>
      <c r="AN48" s="3" t="s">
        <v>81</v>
      </c>
      <c r="AO48" s="3" t="s">
        <v>81</v>
      </c>
      <c r="AP48" s="3" t="s">
        <v>81</v>
      </c>
      <c r="AQ48" s="3" t="s">
        <v>81</v>
      </c>
      <c r="AR48" s="3" t="s">
        <v>81</v>
      </c>
      <c r="AS48" s="3" t="s">
        <v>81</v>
      </c>
      <c r="AT48" s="3" t="s">
        <v>81</v>
      </c>
      <c r="AU48" s="3" t="s">
        <v>81</v>
      </c>
      <c r="AV48" s="3" t="s">
        <v>81</v>
      </c>
      <c r="AW48" s="3" t="s">
        <v>81</v>
      </c>
      <c r="AX48" s="3" t="s">
        <v>81</v>
      </c>
      <c r="AY48" s="3" t="s">
        <v>81</v>
      </c>
      <c r="AZ48" s="3" t="s">
        <v>81</v>
      </c>
      <c r="BA48" s="3" t="s">
        <v>81</v>
      </c>
      <c r="BB48" s="3" t="s">
        <v>81</v>
      </c>
      <c r="BC48" s="3" t="s">
        <v>81</v>
      </c>
      <c r="BD48" s="3" t="s">
        <v>81</v>
      </c>
      <c r="BE48" s="3" t="s">
        <v>81</v>
      </c>
      <c r="BF48" s="3" t="s">
        <v>81</v>
      </c>
      <c r="BG48" s="3" t="s">
        <v>81</v>
      </c>
      <c r="BH48" s="3" t="s">
        <v>81</v>
      </c>
      <c r="BI48" s="3" t="s">
        <v>84</v>
      </c>
      <c r="BJ48" s="3" t="s">
        <v>82</v>
      </c>
      <c r="BK48" s="3" t="s">
        <v>83</v>
      </c>
      <c r="BL48" s="3" t="s">
        <v>84</v>
      </c>
      <c r="BM48" s="3" t="s">
        <v>84</v>
      </c>
      <c r="BN48" s="3" t="s">
        <v>84</v>
      </c>
      <c r="BO48" s="3" t="s">
        <v>82</v>
      </c>
      <c r="BP48" s="3" t="s">
        <v>167</v>
      </c>
      <c r="BQ48" s="3" t="s">
        <v>167</v>
      </c>
      <c r="BR48" s="3" t="s">
        <v>168</v>
      </c>
      <c r="BS48" s="3" t="s">
        <v>168</v>
      </c>
      <c r="BT48" s="3" t="s">
        <v>87</v>
      </c>
      <c r="BU48" s="3" t="s">
        <v>169</v>
      </c>
      <c r="BV48" s="3" t="s">
        <v>82</v>
      </c>
      <c r="BW48" s="3" t="s">
        <v>91</v>
      </c>
      <c r="BX48" s="3" t="s">
        <v>82</v>
      </c>
      <c r="BZ48" s="3" t="s">
        <v>93</v>
      </c>
      <c r="CB48" s="3" t="s">
        <v>84</v>
      </c>
      <c r="CD48" s="9">
        <v>2</v>
      </c>
      <c r="CE48" s="9"/>
    </row>
    <row r="49" spans="1:87" ht="15.75" customHeight="1" x14ac:dyDescent="0.15">
      <c r="A49" s="3">
        <v>1319223883</v>
      </c>
      <c r="B49" s="3" t="s">
        <v>166</v>
      </c>
      <c r="C49" s="3" t="s">
        <v>166</v>
      </c>
      <c r="D49" s="3">
        <v>4</v>
      </c>
      <c r="E49" s="3">
        <v>3</v>
      </c>
      <c r="F49" s="3">
        <v>133.369</v>
      </c>
      <c r="G49" s="3">
        <v>2</v>
      </c>
      <c r="H49" s="3">
        <v>78.084999999999994</v>
      </c>
      <c r="I49" s="3">
        <v>24.474</v>
      </c>
      <c r="J49" s="3">
        <v>40.271000000000001</v>
      </c>
      <c r="K49" s="3">
        <v>15.670999999999999</v>
      </c>
      <c r="L49" s="3">
        <v>13.904</v>
      </c>
      <c r="M49" s="3" t="s">
        <v>81</v>
      </c>
      <c r="N49" s="3" t="s">
        <v>81</v>
      </c>
      <c r="O49" s="3" t="s">
        <v>81</v>
      </c>
      <c r="P49" s="3" t="s">
        <v>81</v>
      </c>
      <c r="Q49" s="3" t="s">
        <v>81</v>
      </c>
      <c r="R49" s="3">
        <v>2</v>
      </c>
      <c r="S49" s="3">
        <v>72.549000000000007</v>
      </c>
      <c r="T49" s="3">
        <v>22.481999999999999</v>
      </c>
      <c r="U49" s="3">
        <v>45.463999999999999</v>
      </c>
      <c r="V49" s="3">
        <v>16.574000000000002</v>
      </c>
      <c r="W49" s="3" t="s">
        <v>81</v>
      </c>
      <c r="X49" s="3" t="s">
        <v>81</v>
      </c>
      <c r="Y49" s="3" t="s">
        <v>81</v>
      </c>
      <c r="Z49" s="3" t="s">
        <v>81</v>
      </c>
      <c r="AA49" s="3" t="s">
        <v>81</v>
      </c>
      <c r="AB49" s="3">
        <v>143.44</v>
      </c>
      <c r="AC49" s="3">
        <v>2</v>
      </c>
      <c r="AD49" s="3">
        <v>82.686000000000007</v>
      </c>
      <c r="AE49" s="3">
        <v>29.204999999999998</v>
      </c>
      <c r="AF49" s="3">
        <v>56.6</v>
      </c>
      <c r="AG49" s="3">
        <v>18.43</v>
      </c>
      <c r="AH49" s="3">
        <v>4.96</v>
      </c>
      <c r="AI49" s="3" t="s">
        <v>81</v>
      </c>
      <c r="AJ49" s="3" t="s">
        <v>81</v>
      </c>
      <c r="AK49" s="3" t="s">
        <v>81</v>
      </c>
      <c r="AL49" s="3" t="s">
        <v>81</v>
      </c>
      <c r="AM49" s="3" t="s">
        <v>81</v>
      </c>
      <c r="AN49" s="3" t="s">
        <v>81</v>
      </c>
      <c r="AO49" s="3" t="s">
        <v>81</v>
      </c>
      <c r="AP49" s="3" t="s">
        <v>81</v>
      </c>
      <c r="AQ49" s="3" t="s">
        <v>81</v>
      </c>
      <c r="AR49" s="3" t="s">
        <v>81</v>
      </c>
      <c r="AS49" s="3" t="s">
        <v>81</v>
      </c>
      <c r="AT49" s="3" t="s">
        <v>81</v>
      </c>
      <c r="AU49" s="3" t="s">
        <v>81</v>
      </c>
      <c r="AV49" s="3" t="s">
        <v>81</v>
      </c>
      <c r="AW49" s="3" t="s">
        <v>81</v>
      </c>
      <c r="AX49" s="3" t="s">
        <v>81</v>
      </c>
      <c r="AY49" s="3" t="s">
        <v>81</v>
      </c>
      <c r="AZ49" s="3" t="s">
        <v>81</v>
      </c>
      <c r="BA49" s="3" t="s">
        <v>81</v>
      </c>
      <c r="BB49" s="3" t="s">
        <v>81</v>
      </c>
      <c r="BC49" s="3" t="s">
        <v>81</v>
      </c>
      <c r="BD49" s="3" t="s">
        <v>81</v>
      </c>
      <c r="BE49" s="3" t="s">
        <v>81</v>
      </c>
      <c r="BF49" s="3" t="s">
        <v>81</v>
      </c>
      <c r="BG49" s="3" t="s">
        <v>81</v>
      </c>
      <c r="BH49" s="3" t="s">
        <v>81</v>
      </c>
      <c r="BI49" s="3" t="s">
        <v>84</v>
      </c>
      <c r="BJ49" s="3" t="s">
        <v>82</v>
      </c>
      <c r="BK49" s="3" t="s">
        <v>83</v>
      </c>
      <c r="BL49" s="3" t="s">
        <v>84</v>
      </c>
      <c r="BM49" s="3" t="s">
        <v>84</v>
      </c>
      <c r="BN49" s="3" t="s">
        <v>82</v>
      </c>
      <c r="BO49" s="3" t="s">
        <v>82</v>
      </c>
      <c r="BP49" s="3" t="s">
        <v>87</v>
      </c>
      <c r="BQ49" s="3" t="s">
        <v>87</v>
      </c>
      <c r="BR49" s="3" t="s">
        <v>171</v>
      </c>
      <c r="BS49" s="3" t="s">
        <v>171</v>
      </c>
      <c r="BT49" s="3" t="s">
        <v>87</v>
      </c>
      <c r="BU49" s="3" t="s">
        <v>172</v>
      </c>
      <c r="BV49" s="3" t="s">
        <v>82</v>
      </c>
      <c r="BW49" s="3" t="s">
        <v>91</v>
      </c>
      <c r="BX49" s="3" t="s">
        <v>84</v>
      </c>
      <c r="BZ49" s="3" t="s">
        <v>86</v>
      </c>
      <c r="CB49" s="3" t="s">
        <v>84</v>
      </c>
      <c r="CD49" s="9">
        <v>8</v>
      </c>
      <c r="CE49" s="9">
        <v>2</v>
      </c>
    </row>
    <row r="50" spans="1:87" ht="15.75" customHeight="1" x14ac:dyDescent="0.15">
      <c r="A50" s="3">
        <v>2625836575</v>
      </c>
      <c r="B50" s="3" t="s">
        <v>166</v>
      </c>
      <c r="C50" s="3" t="s">
        <v>166</v>
      </c>
      <c r="D50" s="3">
        <v>3</v>
      </c>
      <c r="E50" s="3">
        <v>3</v>
      </c>
      <c r="F50" s="3">
        <v>64.575999999999993</v>
      </c>
      <c r="G50" s="3">
        <v>2</v>
      </c>
      <c r="H50" s="3">
        <v>35.145000000000003</v>
      </c>
      <c r="I50" s="3">
        <v>14.433999999999999</v>
      </c>
      <c r="J50" s="3">
        <v>12.9</v>
      </c>
      <c r="K50" s="3">
        <v>14.209</v>
      </c>
      <c r="L50" s="3">
        <v>15.766999999999999</v>
      </c>
      <c r="M50" s="3" t="s">
        <v>81</v>
      </c>
      <c r="N50" s="3" t="s">
        <v>81</v>
      </c>
      <c r="O50" s="3" t="s">
        <v>81</v>
      </c>
      <c r="P50" s="3" t="s">
        <v>81</v>
      </c>
      <c r="Q50" s="3">
        <v>61.223999999999997</v>
      </c>
      <c r="R50" s="3">
        <v>1</v>
      </c>
      <c r="S50" s="3">
        <v>35.271000000000001</v>
      </c>
      <c r="T50" s="3">
        <v>16.919</v>
      </c>
      <c r="U50" s="3">
        <v>25.646999999999998</v>
      </c>
      <c r="V50" s="3" t="s">
        <v>81</v>
      </c>
      <c r="W50" s="3" t="s">
        <v>81</v>
      </c>
      <c r="X50" s="3" t="s">
        <v>81</v>
      </c>
      <c r="Y50" s="3" t="s">
        <v>81</v>
      </c>
      <c r="Z50" s="3" t="s">
        <v>81</v>
      </c>
      <c r="AA50" s="3" t="s">
        <v>81</v>
      </c>
      <c r="AB50" s="3" t="s">
        <v>81</v>
      </c>
      <c r="AC50" s="3">
        <v>1</v>
      </c>
      <c r="AD50" s="3">
        <v>38.405000000000001</v>
      </c>
      <c r="AE50" s="3">
        <v>15.805999999999999</v>
      </c>
      <c r="AF50" s="3" t="s">
        <v>81</v>
      </c>
      <c r="AG50" s="3" t="s">
        <v>81</v>
      </c>
      <c r="AH50" s="3" t="s">
        <v>81</v>
      </c>
      <c r="AI50" s="3" t="s">
        <v>81</v>
      </c>
      <c r="AJ50" s="3" t="s">
        <v>81</v>
      </c>
      <c r="AK50" s="3" t="s">
        <v>81</v>
      </c>
      <c r="AL50" s="3" t="s">
        <v>81</v>
      </c>
      <c r="AM50" s="3" t="s">
        <v>81</v>
      </c>
      <c r="AN50" s="3" t="s">
        <v>81</v>
      </c>
      <c r="AO50" s="3" t="s">
        <v>81</v>
      </c>
      <c r="AP50" s="3" t="s">
        <v>81</v>
      </c>
      <c r="AQ50" s="3" t="s">
        <v>81</v>
      </c>
      <c r="AR50" s="3" t="s">
        <v>81</v>
      </c>
      <c r="AS50" s="3" t="s">
        <v>81</v>
      </c>
      <c r="AT50" s="3" t="s">
        <v>81</v>
      </c>
      <c r="AU50" s="3" t="s">
        <v>81</v>
      </c>
      <c r="AV50" s="3" t="s">
        <v>81</v>
      </c>
      <c r="AW50" s="3" t="s">
        <v>81</v>
      </c>
      <c r="AX50" s="3" t="s">
        <v>81</v>
      </c>
      <c r="AY50" s="3" t="s">
        <v>81</v>
      </c>
      <c r="AZ50" s="3" t="s">
        <v>81</v>
      </c>
      <c r="BA50" s="3" t="s">
        <v>81</v>
      </c>
      <c r="BB50" s="3" t="s">
        <v>81</v>
      </c>
      <c r="BC50" s="3" t="s">
        <v>81</v>
      </c>
      <c r="BD50" s="3" t="s">
        <v>81</v>
      </c>
      <c r="BE50" s="3" t="s">
        <v>81</v>
      </c>
      <c r="BF50" s="3" t="s">
        <v>81</v>
      </c>
      <c r="BG50" s="3" t="s">
        <v>81</v>
      </c>
      <c r="BH50" s="3" t="s">
        <v>81</v>
      </c>
      <c r="BI50" s="3" t="s">
        <v>84</v>
      </c>
      <c r="BJ50" s="3" t="s">
        <v>82</v>
      </c>
      <c r="BK50" s="3" t="s">
        <v>83</v>
      </c>
      <c r="BL50" s="3" t="s">
        <v>84</v>
      </c>
      <c r="BM50" s="3" t="s">
        <v>84</v>
      </c>
      <c r="BN50" s="3" t="s">
        <v>84</v>
      </c>
      <c r="BO50" s="3" t="s">
        <v>83</v>
      </c>
      <c r="BP50" s="3" t="s">
        <v>81</v>
      </c>
      <c r="BQ50" s="3" t="s">
        <v>81</v>
      </c>
      <c r="BR50" s="3" t="s">
        <v>81</v>
      </c>
      <c r="BS50" s="3" t="s">
        <v>81</v>
      </c>
      <c r="BT50" s="3" t="s">
        <v>81</v>
      </c>
      <c r="BU50" s="3" t="s">
        <v>81</v>
      </c>
      <c r="BV50" s="3" t="s">
        <v>82</v>
      </c>
      <c r="BW50" s="3" t="s">
        <v>91</v>
      </c>
      <c r="BX50" s="3" t="s">
        <v>84</v>
      </c>
      <c r="BY50" s="3" t="s">
        <v>173</v>
      </c>
      <c r="BZ50" s="3" t="s">
        <v>86</v>
      </c>
      <c r="CB50" s="3" t="s">
        <v>84</v>
      </c>
      <c r="CD50" s="9"/>
      <c r="CE50" s="9">
        <v>2</v>
      </c>
    </row>
    <row r="51" spans="1:87" ht="15.75" customHeight="1" x14ac:dyDescent="0.15">
      <c r="A51" s="3">
        <v>2643318708</v>
      </c>
      <c r="B51" s="3" t="s">
        <v>166</v>
      </c>
      <c r="C51" s="3" t="s">
        <v>166</v>
      </c>
      <c r="D51" s="3">
        <v>2</v>
      </c>
      <c r="E51" s="3">
        <v>2</v>
      </c>
      <c r="F51" s="3">
        <v>47.975999999999999</v>
      </c>
      <c r="G51" s="3">
        <v>1</v>
      </c>
      <c r="H51" s="3">
        <v>22.51</v>
      </c>
      <c r="I51" s="3">
        <v>14.978</v>
      </c>
      <c r="J51" s="3">
        <v>25.004999999999999</v>
      </c>
      <c r="K51" s="3" t="s">
        <v>81</v>
      </c>
      <c r="L51" s="3" t="s">
        <v>81</v>
      </c>
      <c r="M51" s="3" t="s">
        <v>81</v>
      </c>
      <c r="N51" s="3" t="s">
        <v>81</v>
      </c>
      <c r="O51" s="3" t="s">
        <v>81</v>
      </c>
      <c r="P51" s="3" t="s">
        <v>81</v>
      </c>
      <c r="Q51" s="3">
        <v>39.503999999999998</v>
      </c>
      <c r="R51" s="3">
        <v>2</v>
      </c>
      <c r="S51" s="3">
        <v>23.155000000000001</v>
      </c>
      <c r="T51" s="3">
        <v>14.073</v>
      </c>
      <c r="U51" s="3">
        <v>14.641999999999999</v>
      </c>
      <c r="V51" s="3">
        <v>7.7809999999999997</v>
      </c>
      <c r="W51" s="3">
        <v>0.68799999999999994</v>
      </c>
      <c r="X51" s="3" t="s">
        <v>81</v>
      </c>
      <c r="Y51" s="3" t="s">
        <v>81</v>
      </c>
      <c r="Z51" s="3" t="s">
        <v>81</v>
      </c>
      <c r="AA51" s="3" t="s">
        <v>81</v>
      </c>
      <c r="AB51" s="3" t="s">
        <v>81</v>
      </c>
      <c r="AC51" s="3" t="s">
        <v>81</v>
      </c>
      <c r="AD51" s="3" t="s">
        <v>81</v>
      </c>
      <c r="AE51" s="3" t="s">
        <v>81</v>
      </c>
      <c r="AF51" s="3" t="s">
        <v>81</v>
      </c>
      <c r="AG51" s="3" t="s">
        <v>81</v>
      </c>
      <c r="AH51" s="3" t="s">
        <v>81</v>
      </c>
      <c r="AI51" s="3" t="s">
        <v>81</v>
      </c>
      <c r="AJ51" s="3" t="s">
        <v>81</v>
      </c>
      <c r="AK51" s="3" t="s">
        <v>81</v>
      </c>
      <c r="AL51" s="3" t="s">
        <v>81</v>
      </c>
      <c r="AM51" s="3" t="s">
        <v>81</v>
      </c>
      <c r="AN51" s="3" t="s">
        <v>81</v>
      </c>
      <c r="AO51" s="3" t="s">
        <v>81</v>
      </c>
      <c r="AP51" s="3" t="s">
        <v>81</v>
      </c>
      <c r="AQ51" s="3" t="s">
        <v>81</v>
      </c>
      <c r="AR51" s="3" t="s">
        <v>81</v>
      </c>
      <c r="AS51" s="3" t="s">
        <v>81</v>
      </c>
      <c r="AT51" s="3" t="s">
        <v>81</v>
      </c>
      <c r="AU51" s="3" t="s">
        <v>81</v>
      </c>
      <c r="AV51" s="3" t="s">
        <v>81</v>
      </c>
      <c r="AW51" s="3" t="s">
        <v>81</v>
      </c>
      <c r="AX51" s="3" t="s">
        <v>81</v>
      </c>
      <c r="AY51" s="3" t="s">
        <v>81</v>
      </c>
      <c r="AZ51" s="3" t="s">
        <v>81</v>
      </c>
      <c r="BA51" s="3" t="s">
        <v>81</v>
      </c>
      <c r="BB51" s="3" t="s">
        <v>81</v>
      </c>
      <c r="BC51" s="3" t="s">
        <v>81</v>
      </c>
      <c r="BD51" s="3" t="s">
        <v>81</v>
      </c>
      <c r="BE51" s="3" t="s">
        <v>81</v>
      </c>
      <c r="BF51" s="3" t="s">
        <v>81</v>
      </c>
      <c r="BG51" s="3" t="s">
        <v>81</v>
      </c>
      <c r="BH51" s="3" t="s">
        <v>81</v>
      </c>
      <c r="BI51" s="3" t="s">
        <v>84</v>
      </c>
      <c r="BJ51" s="3" t="s">
        <v>82</v>
      </c>
      <c r="BK51" s="3" t="s">
        <v>83</v>
      </c>
      <c r="BL51" s="3" t="s">
        <v>84</v>
      </c>
      <c r="BM51" s="3" t="s">
        <v>84</v>
      </c>
      <c r="BN51" s="3" t="s">
        <v>82</v>
      </c>
      <c r="BO51" s="3" t="s">
        <v>82</v>
      </c>
      <c r="BP51" s="3" t="s">
        <v>133</v>
      </c>
      <c r="BQ51" s="3" t="s">
        <v>174</v>
      </c>
      <c r="BR51" s="3" t="s">
        <v>175</v>
      </c>
      <c r="BS51" s="3" t="s">
        <v>175</v>
      </c>
      <c r="BT51" s="3" t="s">
        <v>87</v>
      </c>
      <c r="BU51" s="3" t="s">
        <v>176</v>
      </c>
      <c r="BV51" s="3" t="s">
        <v>82</v>
      </c>
      <c r="BW51" s="3" t="s">
        <v>91</v>
      </c>
      <c r="BX51" s="3" t="s">
        <v>82</v>
      </c>
      <c r="BZ51" s="3" t="s">
        <v>86</v>
      </c>
      <c r="CB51" s="3" t="s">
        <v>84</v>
      </c>
      <c r="CD51" s="9">
        <v>3</v>
      </c>
      <c r="CE51" s="9"/>
    </row>
    <row r="52" spans="1:87" ht="15.75" customHeight="1" x14ac:dyDescent="0.15">
      <c r="A52" s="3">
        <v>2236057117</v>
      </c>
      <c r="B52" s="3" t="s">
        <v>166</v>
      </c>
      <c r="C52" s="3" t="s">
        <v>166</v>
      </c>
      <c r="D52" s="3">
        <v>3</v>
      </c>
      <c r="E52" s="3">
        <v>3</v>
      </c>
      <c r="F52" s="3">
        <v>88.906000000000006</v>
      </c>
      <c r="G52" s="3">
        <v>2</v>
      </c>
      <c r="H52" s="3">
        <v>53.734999999999999</v>
      </c>
      <c r="I52" s="3">
        <v>22.96</v>
      </c>
      <c r="J52" s="3">
        <v>28.248999999999999</v>
      </c>
      <c r="K52" s="3">
        <v>10.19</v>
      </c>
      <c r="L52" s="3">
        <v>6.38</v>
      </c>
      <c r="M52" s="3" t="s">
        <v>81</v>
      </c>
      <c r="N52" s="3" t="s">
        <v>81</v>
      </c>
      <c r="O52" s="3" t="s">
        <v>81</v>
      </c>
      <c r="P52" s="3" t="s">
        <v>81</v>
      </c>
      <c r="Q52" s="3">
        <v>90.677999999999997</v>
      </c>
      <c r="R52" s="3">
        <v>2</v>
      </c>
      <c r="S52" s="3">
        <v>53.872</v>
      </c>
      <c r="T52" s="3">
        <v>22.053000000000001</v>
      </c>
      <c r="U52" s="3">
        <v>29.26</v>
      </c>
      <c r="V52" s="3">
        <v>9.0429999999999993</v>
      </c>
      <c r="W52" s="3">
        <v>6.6139999999999999</v>
      </c>
      <c r="X52" s="3" t="s">
        <v>81</v>
      </c>
      <c r="Y52" s="3" t="s">
        <v>81</v>
      </c>
      <c r="Z52" s="3" t="s">
        <v>81</v>
      </c>
      <c r="AA52" s="3" t="s">
        <v>81</v>
      </c>
      <c r="AB52" s="3">
        <v>83.114000000000004</v>
      </c>
      <c r="AC52" s="3">
        <v>2</v>
      </c>
      <c r="AD52" s="3">
        <v>56.758000000000003</v>
      </c>
      <c r="AE52" s="3">
        <v>5.5209999999999999</v>
      </c>
      <c r="AF52" s="3">
        <v>22.356999999999999</v>
      </c>
      <c r="AG52" s="3">
        <v>8.9260000000000002</v>
      </c>
      <c r="AH52" s="3">
        <v>3.0289999999999999</v>
      </c>
      <c r="AI52" s="3" t="s">
        <v>81</v>
      </c>
      <c r="AJ52" s="3" t="s">
        <v>81</v>
      </c>
      <c r="AK52" s="3" t="s">
        <v>81</v>
      </c>
      <c r="AL52" s="3" t="s">
        <v>81</v>
      </c>
      <c r="AM52" s="3" t="s">
        <v>81</v>
      </c>
      <c r="AN52" s="3" t="s">
        <v>81</v>
      </c>
      <c r="AO52" s="3" t="s">
        <v>81</v>
      </c>
      <c r="AP52" s="3" t="s">
        <v>81</v>
      </c>
      <c r="AQ52" s="3" t="s">
        <v>81</v>
      </c>
      <c r="AR52" s="3" t="s">
        <v>81</v>
      </c>
      <c r="AS52" s="3" t="s">
        <v>81</v>
      </c>
      <c r="AT52" s="3" t="s">
        <v>81</v>
      </c>
      <c r="AU52" s="3" t="s">
        <v>81</v>
      </c>
      <c r="AV52" s="3" t="s">
        <v>81</v>
      </c>
      <c r="AW52" s="3" t="s">
        <v>81</v>
      </c>
      <c r="AX52" s="3" t="s">
        <v>81</v>
      </c>
      <c r="AY52" s="3" t="s">
        <v>81</v>
      </c>
      <c r="AZ52" s="3" t="s">
        <v>81</v>
      </c>
      <c r="BA52" s="3" t="s">
        <v>81</v>
      </c>
      <c r="BB52" s="3" t="s">
        <v>81</v>
      </c>
      <c r="BC52" s="3" t="s">
        <v>81</v>
      </c>
      <c r="BD52" s="3" t="s">
        <v>81</v>
      </c>
      <c r="BE52" s="3" t="s">
        <v>81</v>
      </c>
      <c r="BF52" s="3" t="s">
        <v>81</v>
      </c>
      <c r="BG52" s="3" t="s">
        <v>81</v>
      </c>
      <c r="BH52" s="3" t="s">
        <v>81</v>
      </c>
      <c r="BI52" s="3" t="s">
        <v>84</v>
      </c>
      <c r="BJ52" s="3" t="s">
        <v>82</v>
      </c>
      <c r="BK52" s="3" t="s">
        <v>83</v>
      </c>
      <c r="BL52" s="3" t="s">
        <v>84</v>
      </c>
      <c r="BM52" s="3" t="s">
        <v>84</v>
      </c>
      <c r="BN52" s="3" t="s">
        <v>82</v>
      </c>
      <c r="BO52" s="3" t="s">
        <v>84</v>
      </c>
      <c r="BP52" s="3" t="s">
        <v>170</v>
      </c>
      <c r="BQ52" s="3" t="s">
        <v>170</v>
      </c>
      <c r="BR52" s="3" t="s">
        <v>170</v>
      </c>
      <c r="BS52" s="3" t="s">
        <v>170</v>
      </c>
      <c r="BT52" s="3" t="s">
        <v>98</v>
      </c>
      <c r="BU52" s="3" t="s">
        <v>85</v>
      </c>
      <c r="BV52" s="3" t="s">
        <v>84</v>
      </c>
      <c r="BW52" s="3" t="s">
        <v>83</v>
      </c>
      <c r="BX52" s="3" t="s">
        <v>82</v>
      </c>
      <c r="BZ52" s="3" t="s">
        <v>86</v>
      </c>
      <c r="CB52" s="3" t="s">
        <v>84</v>
      </c>
    </row>
    <row r="53" spans="1:87" ht="15.75" customHeight="1" x14ac:dyDescent="0.15">
      <c r="A53" s="3" t="s">
        <v>567</v>
      </c>
      <c r="B53" s="3" t="s">
        <v>566</v>
      </c>
      <c r="C53" s="3" t="s">
        <v>566</v>
      </c>
    </row>
    <row r="54" spans="1:87" ht="15.75" customHeight="1" x14ac:dyDescent="0.15">
      <c r="A54" s="3" t="s">
        <v>568</v>
      </c>
      <c r="B54" s="3" t="s">
        <v>566</v>
      </c>
      <c r="C54" s="3" t="s">
        <v>566</v>
      </c>
    </row>
    <row r="55" spans="1:87" ht="15.75" customHeight="1" x14ac:dyDescent="0.15">
      <c r="A55" s="3" t="s">
        <v>569</v>
      </c>
      <c r="B55" s="3" t="s">
        <v>566</v>
      </c>
      <c r="C55" s="3" t="s">
        <v>566</v>
      </c>
    </row>
    <row r="56" spans="1:87" ht="15.75" customHeight="1" x14ac:dyDescent="0.15">
      <c r="A56" s="3" t="s">
        <v>570</v>
      </c>
      <c r="B56" s="3" t="s">
        <v>566</v>
      </c>
      <c r="C56" s="3" t="s">
        <v>566</v>
      </c>
      <c r="CI56" s="6"/>
    </row>
    <row r="57" spans="1:87" ht="15.75" customHeight="1" x14ac:dyDescent="0.15">
      <c r="A57" s="3" t="s">
        <v>571</v>
      </c>
      <c r="B57" s="3" t="s">
        <v>566</v>
      </c>
      <c r="C57" s="3" t="s">
        <v>566</v>
      </c>
    </row>
    <row r="58" spans="1:87" ht="15.75" customHeight="1" x14ac:dyDescent="0.15">
      <c r="A58" s="3" t="s">
        <v>572</v>
      </c>
      <c r="B58" s="3" t="s">
        <v>566</v>
      </c>
      <c r="C58" s="3" t="s">
        <v>566</v>
      </c>
    </row>
    <row r="59" spans="1:87" ht="15.75" customHeight="1" x14ac:dyDescent="0.15">
      <c r="A59" s="3" t="s">
        <v>573</v>
      </c>
      <c r="B59" s="3" t="s">
        <v>566</v>
      </c>
      <c r="C59" s="3" t="s">
        <v>566</v>
      </c>
      <c r="CI59" s="6"/>
    </row>
    <row r="60" spans="1:87" ht="13" hidden="1" x14ac:dyDescent="0.15">
      <c r="A60" s="3">
        <v>1228598098</v>
      </c>
      <c r="B60" s="3" t="s">
        <v>202</v>
      </c>
      <c r="C60" s="3" t="s">
        <v>203</v>
      </c>
      <c r="D60" s="3">
        <v>5</v>
      </c>
      <c r="E60" s="3">
        <v>5</v>
      </c>
      <c r="F60" s="3">
        <v>523.95000000000005</v>
      </c>
      <c r="G60" s="3">
        <v>4</v>
      </c>
      <c r="H60" s="3">
        <v>205.39599999999999</v>
      </c>
      <c r="I60" s="3">
        <v>76.652000000000001</v>
      </c>
      <c r="J60" s="3">
        <v>141.58600000000001</v>
      </c>
      <c r="K60" s="3">
        <v>56.698999999999998</v>
      </c>
      <c r="L60" s="3">
        <v>98.373999999999995</v>
      </c>
      <c r="M60" s="3">
        <v>37.665999999999997</v>
      </c>
      <c r="N60" s="3">
        <v>68.091999999999999</v>
      </c>
      <c r="O60" s="3" t="s">
        <v>81</v>
      </c>
      <c r="P60" s="3" t="s">
        <v>81</v>
      </c>
      <c r="Q60" s="3" t="s">
        <v>81</v>
      </c>
      <c r="R60" s="3" t="s">
        <v>81</v>
      </c>
      <c r="S60" s="3" t="s">
        <v>81</v>
      </c>
      <c r="T60" s="3" t="s">
        <v>81</v>
      </c>
      <c r="U60" s="3" t="s">
        <v>81</v>
      </c>
      <c r="V60" s="3" t="s">
        <v>81</v>
      </c>
      <c r="W60" s="3" t="s">
        <v>81</v>
      </c>
      <c r="X60" s="3" t="s">
        <v>81</v>
      </c>
      <c r="Y60" s="3" t="s">
        <v>81</v>
      </c>
      <c r="Z60" s="3" t="s">
        <v>81</v>
      </c>
      <c r="AA60" s="3" t="s">
        <v>81</v>
      </c>
      <c r="AB60" s="3" t="s">
        <v>81</v>
      </c>
      <c r="AC60" s="3" t="s">
        <v>81</v>
      </c>
      <c r="AD60" s="3" t="s">
        <v>81</v>
      </c>
      <c r="AE60" s="3" t="s">
        <v>81</v>
      </c>
      <c r="AF60" s="3" t="s">
        <v>81</v>
      </c>
      <c r="AG60" s="3" t="s">
        <v>81</v>
      </c>
      <c r="AH60" s="3" t="s">
        <v>81</v>
      </c>
      <c r="AI60" s="3" t="s">
        <v>81</v>
      </c>
      <c r="AJ60" s="3" t="s">
        <v>81</v>
      </c>
      <c r="AK60" s="3" t="s">
        <v>81</v>
      </c>
      <c r="AL60" s="3" t="s">
        <v>81</v>
      </c>
      <c r="AM60" s="3" t="s">
        <v>81</v>
      </c>
      <c r="AN60" s="3" t="s">
        <v>81</v>
      </c>
      <c r="AO60" s="3" t="s">
        <v>81</v>
      </c>
      <c r="AP60" s="3" t="s">
        <v>81</v>
      </c>
      <c r="AQ60" s="3" t="s">
        <v>81</v>
      </c>
      <c r="AR60" s="3" t="s">
        <v>81</v>
      </c>
      <c r="AS60" s="3" t="s">
        <v>81</v>
      </c>
      <c r="AT60" s="3" t="s">
        <v>81</v>
      </c>
      <c r="AU60" s="3" t="s">
        <v>81</v>
      </c>
      <c r="AV60" s="3" t="s">
        <v>81</v>
      </c>
      <c r="AW60" s="3" t="s">
        <v>81</v>
      </c>
      <c r="AX60" s="3" t="s">
        <v>81</v>
      </c>
      <c r="AY60" s="3" t="s">
        <v>81</v>
      </c>
      <c r="AZ60" s="3" t="s">
        <v>81</v>
      </c>
      <c r="BA60" s="3" t="s">
        <v>81</v>
      </c>
      <c r="BB60" s="3" t="s">
        <v>81</v>
      </c>
      <c r="BC60" s="3" t="s">
        <v>81</v>
      </c>
      <c r="BD60" s="3" t="s">
        <v>81</v>
      </c>
      <c r="BE60" s="3" t="s">
        <v>81</v>
      </c>
      <c r="BF60" s="3" t="s">
        <v>81</v>
      </c>
      <c r="BG60" s="3" t="s">
        <v>81</v>
      </c>
      <c r="BH60" s="3" t="s">
        <v>81</v>
      </c>
      <c r="BI60" s="3" t="s">
        <v>84</v>
      </c>
      <c r="BJ60" s="3" t="s">
        <v>82</v>
      </c>
      <c r="BK60" s="3" t="s">
        <v>83</v>
      </c>
      <c r="BL60" s="3" t="s">
        <v>84</v>
      </c>
      <c r="BM60" s="3" t="s">
        <v>84</v>
      </c>
      <c r="BN60" s="3" t="s">
        <v>83</v>
      </c>
      <c r="BO60" s="3" t="s">
        <v>84</v>
      </c>
      <c r="BP60" s="3" t="s">
        <v>81</v>
      </c>
      <c r="BQ60" s="3" t="s">
        <v>81</v>
      </c>
      <c r="BR60" s="3" t="s">
        <v>81</v>
      </c>
      <c r="BS60" s="3" t="s">
        <v>81</v>
      </c>
      <c r="BT60" s="3" t="s">
        <v>81</v>
      </c>
      <c r="BU60" s="3" t="s">
        <v>81</v>
      </c>
      <c r="BV60" s="3" t="s">
        <v>84</v>
      </c>
      <c r="BW60" s="3" t="s">
        <v>83</v>
      </c>
      <c r="BX60" s="3" t="s">
        <v>82</v>
      </c>
      <c r="BY60" s="3" t="s">
        <v>204</v>
      </c>
      <c r="BZ60" s="3" t="s">
        <v>93</v>
      </c>
      <c r="CA60" s="3"/>
      <c r="CB60" s="3"/>
      <c r="CC60" s="3"/>
      <c r="CD60" s="9">
        <v>4</v>
      </c>
      <c r="CE60" s="3"/>
      <c r="CF60" s="6"/>
      <c r="CG60" s="6"/>
      <c r="CH60" s="6"/>
    </row>
    <row r="61" spans="1:87" ht="13" hidden="1" x14ac:dyDescent="0.15">
      <c r="A61" s="3">
        <v>2235871538</v>
      </c>
      <c r="B61" s="3" t="s">
        <v>203</v>
      </c>
      <c r="C61" s="3" t="s">
        <v>203</v>
      </c>
      <c r="D61" s="3">
        <v>4</v>
      </c>
      <c r="E61" s="3">
        <v>4</v>
      </c>
      <c r="F61" s="3">
        <v>157.035</v>
      </c>
      <c r="G61" s="3">
        <v>2</v>
      </c>
      <c r="H61" s="3">
        <v>106.736</v>
      </c>
      <c r="I61" s="3">
        <v>40.526000000000003</v>
      </c>
      <c r="J61" s="3">
        <v>41.216999999999999</v>
      </c>
      <c r="K61" s="3">
        <v>19.234000000000002</v>
      </c>
      <c r="L61" s="3">
        <v>4.4459999999999997</v>
      </c>
      <c r="M61" s="3" t="s">
        <v>81</v>
      </c>
      <c r="N61" s="3" t="s">
        <v>81</v>
      </c>
      <c r="O61" s="3" t="s">
        <v>81</v>
      </c>
      <c r="P61" s="3" t="s">
        <v>81</v>
      </c>
      <c r="Q61" s="3">
        <v>159.376</v>
      </c>
      <c r="R61" s="3">
        <v>2</v>
      </c>
      <c r="S61" s="3">
        <v>114.503</v>
      </c>
      <c r="T61" s="3">
        <v>42.518999999999998</v>
      </c>
      <c r="U61" s="3">
        <v>33.030999999999999</v>
      </c>
      <c r="V61" s="3">
        <v>17.166</v>
      </c>
      <c r="W61" s="3">
        <v>10.651999999999999</v>
      </c>
      <c r="X61" s="3" t="s">
        <v>81</v>
      </c>
      <c r="Y61" s="3" t="s">
        <v>81</v>
      </c>
      <c r="Z61" s="3" t="s">
        <v>81</v>
      </c>
      <c r="AA61" s="3" t="s">
        <v>81</v>
      </c>
      <c r="AB61" s="3">
        <v>150.023</v>
      </c>
      <c r="AC61" s="3">
        <v>2</v>
      </c>
      <c r="AD61" s="3">
        <v>103.657</v>
      </c>
      <c r="AE61" s="3" t="s">
        <v>81</v>
      </c>
      <c r="AF61" s="3">
        <v>37.822000000000003</v>
      </c>
      <c r="AG61" s="3">
        <v>8.8260000000000005</v>
      </c>
      <c r="AH61" s="3" t="s">
        <v>81</v>
      </c>
      <c r="AI61" s="3" t="s">
        <v>81</v>
      </c>
      <c r="AJ61" s="3" t="s">
        <v>81</v>
      </c>
      <c r="AK61" s="3" t="s">
        <v>81</v>
      </c>
      <c r="AL61" s="3" t="s">
        <v>81</v>
      </c>
      <c r="AM61" s="3">
        <v>155.21</v>
      </c>
      <c r="AN61" s="3">
        <v>2</v>
      </c>
      <c r="AO61" s="3">
        <v>103.97499999999999</v>
      </c>
      <c r="AP61" s="3">
        <v>39.073999999999998</v>
      </c>
      <c r="AQ61" s="3">
        <v>42.658999999999999</v>
      </c>
      <c r="AR61" s="3">
        <v>11.93</v>
      </c>
      <c r="AS61" s="3">
        <v>7.2709999999999999</v>
      </c>
      <c r="AT61" s="3" t="s">
        <v>81</v>
      </c>
      <c r="AU61" s="3" t="s">
        <v>81</v>
      </c>
      <c r="AV61" s="3" t="s">
        <v>81</v>
      </c>
      <c r="AW61" s="3" t="s">
        <v>81</v>
      </c>
      <c r="AX61" s="3" t="s">
        <v>81</v>
      </c>
      <c r="AY61" s="3" t="s">
        <v>81</v>
      </c>
      <c r="AZ61" s="3" t="s">
        <v>81</v>
      </c>
      <c r="BA61" s="3" t="s">
        <v>81</v>
      </c>
      <c r="BB61" s="3" t="s">
        <v>81</v>
      </c>
      <c r="BC61" s="3" t="s">
        <v>81</v>
      </c>
      <c r="BD61" s="3" t="s">
        <v>81</v>
      </c>
      <c r="BE61" s="3" t="s">
        <v>81</v>
      </c>
      <c r="BF61" s="3" t="s">
        <v>81</v>
      </c>
      <c r="BG61" s="3" t="s">
        <v>81</v>
      </c>
      <c r="BH61" s="3" t="s">
        <v>81</v>
      </c>
      <c r="BI61" s="3" t="s">
        <v>84</v>
      </c>
      <c r="BJ61" s="3" t="s">
        <v>82</v>
      </c>
      <c r="BK61" s="3" t="s">
        <v>83</v>
      </c>
      <c r="BL61" s="3" t="s">
        <v>84</v>
      </c>
      <c r="BM61" s="3" t="s">
        <v>82</v>
      </c>
      <c r="BN61" s="3" t="s">
        <v>82</v>
      </c>
      <c r="BO61" s="3" t="s">
        <v>83</v>
      </c>
      <c r="BP61" s="3" t="s">
        <v>81</v>
      </c>
      <c r="BQ61" s="3" t="s">
        <v>81</v>
      </c>
      <c r="BR61" s="3" t="s">
        <v>81</v>
      </c>
      <c r="BS61" s="3" t="s">
        <v>81</v>
      </c>
      <c r="BT61" s="3" t="s">
        <v>81</v>
      </c>
      <c r="BU61" s="3" t="s">
        <v>81</v>
      </c>
      <c r="BV61" s="3" t="s">
        <v>83</v>
      </c>
      <c r="BW61" s="3" t="s">
        <v>83</v>
      </c>
      <c r="BX61" s="3" t="s">
        <v>83</v>
      </c>
      <c r="BY61" s="3" t="s">
        <v>173</v>
      </c>
      <c r="BZ61" s="3" t="s">
        <v>86</v>
      </c>
      <c r="CD61" s="9">
        <v>8</v>
      </c>
    </row>
    <row r="62" spans="1:87" ht="13" hidden="1" x14ac:dyDescent="0.15">
      <c r="A62" s="3">
        <v>2235948200</v>
      </c>
      <c r="B62" s="3" t="s">
        <v>203</v>
      </c>
      <c r="C62" s="3" t="s">
        <v>203</v>
      </c>
      <c r="D62" s="3">
        <v>8</v>
      </c>
      <c r="E62" s="3">
        <v>13</v>
      </c>
      <c r="F62" s="3">
        <v>522.12800000000004</v>
      </c>
      <c r="G62" s="3">
        <v>2</v>
      </c>
      <c r="H62" s="3">
        <v>288.25799999999998</v>
      </c>
      <c r="I62" s="3">
        <v>48.453000000000003</v>
      </c>
      <c r="J62" s="3">
        <v>168.37200000000001</v>
      </c>
      <c r="K62" s="3">
        <v>31.114000000000001</v>
      </c>
      <c r="L62" s="3">
        <v>58.75</v>
      </c>
      <c r="M62" s="3" t="s">
        <v>81</v>
      </c>
      <c r="N62" s="3" t="s">
        <v>81</v>
      </c>
      <c r="O62" s="3" t="s">
        <v>81</v>
      </c>
      <c r="P62" s="3" t="s">
        <v>81</v>
      </c>
      <c r="Q62" s="3">
        <v>410.72800000000001</v>
      </c>
      <c r="R62" s="3">
        <v>3</v>
      </c>
      <c r="S62" s="3">
        <v>265.29000000000002</v>
      </c>
      <c r="T62" s="3" t="s">
        <v>81</v>
      </c>
      <c r="U62" s="3">
        <v>121.483</v>
      </c>
      <c r="V62" s="3">
        <v>16.542000000000002</v>
      </c>
      <c r="W62" s="3">
        <v>18.093</v>
      </c>
      <c r="X62" s="3">
        <v>5.0309999999999997</v>
      </c>
      <c r="Y62" s="3">
        <v>0.94099999999999995</v>
      </c>
      <c r="Z62" s="3" t="s">
        <v>81</v>
      </c>
      <c r="AA62" s="3" t="s">
        <v>81</v>
      </c>
      <c r="AB62" s="3">
        <v>499.42500000000001</v>
      </c>
      <c r="AC62" s="3">
        <v>2</v>
      </c>
      <c r="AD62" s="3">
        <v>315.18400000000003</v>
      </c>
      <c r="AE62" s="3">
        <v>49.139000000000003</v>
      </c>
      <c r="AF62" s="3">
        <v>154.34800000000001</v>
      </c>
      <c r="AG62" s="3">
        <v>20.818000000000001</v>
      </c>
      <c r="AH62" s="3">
        <v>25.756</v>
      </c>
      <c r="AI62" s="3" t="s">
        <v>81</v>
      </c>
      <c r="AJ62" s="3" t="s">
        <v>81</v>
      </c>
      <c r="AK62" s="3" t="s">
        <v>81</v>
      </c>
      <c r="AL62" s="3" t="s">
        <v>81</v>
      </c>
      <c r="AM62" s="3" t="s">
        <v>81</v>
      </c>
      <c r="AN62" s="3" t="s">
        <v>81</v>
      </c>
      <c r="AO62" s="3" t="s">
        <v>81</v>
      </c>
      <c r="AP62" s="3" t="s">
        <v>81</v>
      </c>
      <c r="AQ62" s="3" t="s">
        <v>81</v>
      </c>
      <c r="AR62" s="3" t="s">
        <v>81</v>
      </c>
      <c r="AS62" s="3" t="s">
        <v>81</v>
      </c>
      <c r="AT62" s="3" t="s">
        <v>81</v>
      </c>
      <c r="AU62" s="3" t="s">
        <v>81</v>
      </c>
      <c r="AV62" s="3" t="s">
        <v>81</v>
      </c>
      <c r="AW62" s="3" t="s">
        <v>81</v>
      </c>
      <c r="AX62" s="3" t="s">
        <v>81</v>
      </c>
      <c r="AY62" s="3" t="s">
        <v>81</v>
      </c>
      <c r="AZ62" s="3" t="s">
        <v>81</v>
      </c>
      <c r="BA62" s="3" t="s">
        <v>81</v>
      </c>
      <c r="BB62" s="3" t="s">
        <v>81</v>
      </c>
      <c r="BC62" s="3" t="s">
        <v>81</v>
      </c>
      <c r="BD62" s="3" t="s">
        <v>81</v>
      </c>
      <c r="BE62" s="3" t="s">
        <v>81</v>
      </c>
      <c r="BF62" s="3" t="s">
        <v>81</v>
      </c>
      <c r="BG62" s="3" t="s">
        <v>81</v>
      </c>
      <c r="BH62" s="3" t="s">
        <v>81</v>
      </c>
      <c r="BI62" s="3" t="s">
        <v>84</v>
      </c>
      <c r="BJ62" s="3" t="s">
        <v>82</v>
      </c>
      <c r="BK62" s="3" t="s">
        <v>83</v>
      </c>
      <c r="BL62" s="3" t="s">
        <v>84</v>
      </c>
      <c r="BM62" s="3" t="s">
        <v>84</v>
      </c>
      <c r="BN62" s="3" t="s">
        <v>82</v>
      </c>
      <c r="BO62" s="3" t="s">
        <v>84</v>
      </c>
      <c r="BP62" s="3" t="s">
        <v>87</v>
      </c>
      <c r="BQ62" s="3" t="s">
        <v>205</v>
      </c>
      <c r="BR62" s="3" t="s">
        <v>206</v>
      </c>
      <c r="BS62" s="3" t="s">
        <v>207</v>
      </c>
      <c r="BT62" s="3" t="s">
        <v>129</v>
      </c>
      <c r="BU62" s="3" t="s">
        <v>87</v>
      </c>
      <c r="BV62" s="3" t="s">
        <v>84</v>
      </c>
      <c r="BW62" s="3" t="s">
        <v>83</v>
      </c>
      <c r="BX62" s="3" t="s">
        <v>82</v>
      </c>
      <c r="BY62" s="3" t="s">
        <v>208</v>
      </c>
      <c r="BZ62" s="3" t="s">
        <v>86</v>
      </c>
      <c r="CD62" s="9">
        <v>39</v>
      </c>
      <c r="CG62">
        <v>9</v>
      </c>
      <c r="CI62" s="4"/>
    </row>
    <row r="63" spans="1:87" ht="13" hidden="1" x14ac:dyDescent="0.15">
      <c r="A63" s="9" t="s">
        <v>546</v>
      </c>
      <c r="B63" s="9" t="s">
        <v>547</v>
      </c>
      <c r="C63" s="9" t="s">
        <v>547</v>
      </c>
      <c r="D63">
        <v>4</v>
      </c>
      <c r="E63">
        <v>5</v>
      </c>
      <c r="F63" s="9">
        <f>SUM(35.73+35.73+17.05)</f>
        <v>88.509999999999991</v>
      </c>
      <c r="G63" s="3">
        <v>1</v>
      </c>
      <c r="H63" s="3">
        <v>37.799999999999997</v>
      </c>
      <c r="I63" s="3" t="s">
        <v>81</v>
      </c>
      <c r="J63" s="3" t="s">
        <v>81</v>
      </c>
      <c r="K63" s="3" t="s">
        <v>81</v>
      </c>
      <c r="L63" s="3" t="s">
        <v>81</v>
      </c>
      <c r="M63" s="3" t="s">
        <v>81</v>
      </c>
      <c r="N63" s="3" t="s">
        <v>81</v>
      </c>
      <c r="O63" s="3" t="s">
        <v>81</v>
      </c>
      <c r="P63" s="3" t="s">
        <v>81</v>
      </c>
      <c r="Q63">
        <f>SUM(40.17+30.72+16.6)</f>
        <v>87.490000000000009</v>
      </c>
      <c r="R63" s="3">
        <v>15.84</v>
      </c>
      <c r="S63" s="3" t="s">
        <v>81</v>
      </c>
      <c r="T63" s="3" t="s">
        <v>81</v>
      </c>
      <c r="U63" s="3" t="s">
        <v>81</v>
      </c>
      <c r="V63" s="3" t="s">
        <v>81</v>
      </c>
      <c r="W63" s="3" t="s">
        <v>81</v>
      </c>
      <c r="X63" s="3" t="s">
        <v>81</v>
      </c>
      <c r="Y63" s="3" t="s">
        <v>81</v>
      </c>
      <c r="Z63" s="3" t="s">
        <v>81</v>
      </c>
      <c r="AA63" s="3" t="s">
        <v>81</v>
      </c>
      <c r="AB63">
        <f>SUM(67.5+28.5)</f>
        <v>96</v>
      </c>
      <c r="AC63" s="3">
        <v>16.12</v>
      </c>
      <c r="AD63" s="3" t="s">
        <v>81</v>
      </c>
      <c r="AE63" s="3" t="s">
        <v>81</v>
      </c>
      <c r="AF63" s="3" t="s">
        <v>81</v>
      </c>
      <c r="AG63" s="3" t="s">
        <v>81</v>
      </c>
      <c r="AH63" s="3" t="s">
        <v>81</v>
      </c>
      <c r="AI63" s="3" t="s">
        <v>81</v>
      </c>
      <c r="AJ63" s="3" t="s">
        <v>81</v>
      </c>
      <c r="AK63" s="3" t="s">
        <v>81</v>
      </c>
      <c r="AL63" s="3" t="s">
        <v>81</v>
      </c>
      <c r="AM63" s="3" t="s">
        <v>81</v>
      </c>
      <c r="AN63" s="3" t="s">
        <v>81</v>
      </c>
      <c r="AO63" s="9" t="s">
        <v>81</v>
      </c>
      <c r="AP63" s="9" t="s">
        <v>81</v>
      </c>
      <c r="AQ63" s="9" t="s">
        <v>81</v>
      </c>
      <c r="AR63" s="9" t="s">
        <v>81</v>
      </c>
      <c r="AS63" s="9" t="s">
        <v>81</v>
      </c>
      <c r="AT63" s="9" t="s">
        <v>81</v>
      </c>
      <c r="AU63" s="9" t="s">
        <v>81</v>
      </c>
      <c r="AV63" s="9" t="s">
        <v>81</v>
      </c>
      <c r="AW63" s="9" t="s">
        <v>81</v>
      </c>
      <c r="AX63" s="9" t="s">
        <v>81</v>
      </c>
      <c r="AY63" s="9" t="s">
        <v>81</v>
      </c>
      <c r="AZ63" s="9" t="s">
        <v>81</v>
      </c>
      <c r="BA63" s="9" t="s">
        <v>81</v>
      </c>
      <c r="BB63" s="9" t="s">
        <v>81</v>
      </c>
      <c r="BC63" s="9" t="s">
        <v>81</v>
      </c>
      <c r="BD63" s="9" t="s">
        <v>81</v>
      </c>
      <c r="BE63" s="9" t="s">
        <v>81</v>
      </c>
      <c r="BF63" s="9" t="s">
        <v>81</v>
      </c>
      <c r="BG63" s="9" t="s">
        <v>81</v>
      </c>
      <c r="BH63" s="9" t="s">
        <v>81</v>
      </c>
      <c r="BI63" s="9" t="s">
        <v>84</v>
      </c>
      <c r="BJ63" s="3" t="s">
        <v>82</v>
      </c>
      <c r="BK63" s="3" t="s">
        <v>83</v>
      </c>
      <c r="BL63" s="3" t="s">
        <v>84</v>
      </c>
      <c r="BM63" s="3" t="s">
        <v>84</v>
      </c>
      <c r="BN63" s="3" t="s">
        <v>82</v>
      </c>
      <c r="BO63" s="3"/>
      <c r="BV63" s="3"/>
      <c r="BW63" s="3"/>
      <c r="BX63" s="3"/>
      <c r="BZ63" s="9" t="s">
        <v>93</v>
      </c>
      <c r="CD63">
        <v>6</v>
      </c>
      <c r="CG63">
        <v>6</v>
      </c>
      <c r="CI63" s="4"/>
    </row>
    <row r="64" spans="1:87" ht="13" hidden="1" x14ac:dyDescent="0.15">
      <c r="A64" s="9" t="s">
        <v>548</v>
      </c>
      <c r="B64" s="9" t="s">
        <v>547</v>
      </c>
      <c r="C64" s="9" t="s">
        <v>547</v>
      </c>
      <c r="E64">
        <v>6</v>
      </c>
      <c r="F64">
        <f>SUM(13.59+30+33.66+57.54+43.52+12.34+19.95)</f>
        <v>210.6</v>
      </c>
      <c r="G64" s="3">
        <v>2</v>
      </c>
      <c r="H64">
        <f>SUM(13.59+30+33.66+57.5)</f>
        <v>134.75</v>
      </c>
      <c r="I64">
        <v>15.54</v>
      </c>
      <c r="J64">
        <v>43.52</v>
      </c>
      <c r="K64">
        <v>20.7</v>
      </c>
      <c r="L64">
        <f>SUM(12.34+19.95)</f>
        <v>32.29</v>
      </c>
      <c r="M64" s="3" t="s">
        <v>81</v>
      </c>
      <c r="N64" s="3" t="s">
        <v>81</v>
      </c>
      <c r="O64" s="3" t="s">
        <v>81</v>
      </c>
      <c r="P64" s="3" t="s">
        <v>81</v>
      </c>
      <c r="Q64">
        <f>SUM(112.32+36.82+37.74)</f>
        <v>186.88</v>
      </c>
      <c r="R64" s="3">
        <v>2</v>
      </c>
      <c r="S64">
        <v>112.32</v>
      </c>
      <c r="T64">
        <v>25.12</v>
      </c>
      <c r="U64">
        <v>36.82</v>
      </c>
      <c r="V64">
        <v>25.76</v>
      </c>
      <c r="W64">
        <v>37.74</v>
      </c>
      <c r="BI64" s="3" t="s">
        <v>84</v>
      </c>
      <c r="BJ64" s="3" t="s">
        <v>82</v>
      </c>
      <c r="BK64" s="3" t="s">
        <v>83</v>
      </c>
      <c r="BL64" s="3" t="s">
        <v>84</v>
      </c>
      <c r="BM64" s="3" t="s">
        <v>84</v>
      </c>
      <c r="BN64" s="3" t="s">
        <v>82</v>
      </c>
      <c r="BO64" s="3"/>
      <c r="BV64" s="3"/>
      <c r="BW64" s="3"/>
      <c r="BX64" s="3"/>
      <c r="BZ64" s="9" t="s">
        <v>93</v>
      </c>
      <c r="CD64">
        <v>18</v>
      </c>
      <c r="CG64">
        <v>18</v>
      </c>
    </row>
    <row r="65" spans="1:87" ht="13" hidden="1" x14ac:dyDescent="0.15">
      <c r="A65" s="9" t="s">
        <v>549</v>
      </c>
      <c r="B65" s="9" t="s">
        <v>547</v>
      </c>
      <c r="C65" s="9" t="s">
        <v>547</v>
      </c>
      <c r="D65">
        <v>2</v>
      </c>
      <c r="E65">
        <v>5</v>
      </c>
      <c r="F65">
        <f>+SUM(92.29+18.01)</f>
        <v>110.30000000000001</v>
      </c>
      <c r="G65" s="3">
        <v>1</v>
      </c>
      <c r="H65">
        <v>92.29</v>
      </c>
      <c r="I65" s="3" t="s">
        <v>81</v>
      </c>
      <c r="J65">
        <v>18.010000000000002</v>
      </c>
      <c r="K65" s="3" t="s">
        <v>81</v>
      </c>
      <c r="L65" s="3" t="s">
        <v>81</v>
      </c>
      <c r="M65" s="3" t="s">
        <v>81</v>
      </c>
      <c r="N65" s="3" t="s">
        <v>81</v>
      </c>
      <c r="O65" s="3" t="s">
        <v>81</v>
      </c>
      <c r="P65" s="3" t="s">
        <v>81</v>
      </c>
      <c r="Q65">
        <v>113.23</v>
      </c>
      <c r="R65" s="3">
        <v>13.88</v>
      </c>
      <c r="S65">
        <v>20.149999999999999</v>
      </c>
      <c r="T65" s="3" t="s">
        <v>81</v>
      </c>
      <c r="U65" s="3" t="s">
        <v>81</v>
      </c>
      <c r="V65" s="3" t="s">
        <v>81</v>
      </c>
      <c r="W65" s="3" t="s">
        <v>81</v>
      </c>
      <c r="X65" s="3" t="s">
        <v>81</v>
      </c>
      <c r="Y65" s="3" t="s">
        <v>81</v>
      </c>
      <c r="Z65" s="3" t="s">
        <v>81</v>
      </c>
      <c r="AA65" s="3" t="s">
        <v>81</v>
      </c>
      <c r="AB65" s="3" t="s">
        <v>81</v>
      </c>
      <c r="AC65" s="3" t="s">
        <v>81</v>
      </c>
      <c r="AD65" s="3" t="s">
        <v>81</v>
      </c>
      <c r="AE65" s="3" t="s">
        <v>81</v>
      </c>
      <c r="AF65" s="3" t="s">
        <v>81</v>
      </c>
      <c r="AG65" s="3" t="s">
        <v>81</v>
      </c>
      <c r="AH65" s="3" t="s">
        <v>81</v>
      </c>
      <c r="AI65" s="3" t="s">
        <v>81</v>
      </c>
      <c r="AJ65" s="3" t="s">
        <v>81</v>
      </c>
      <c r="AK65" s="3" t="s">
        <v>81</v>
      </c>
      <c r="AL65" s="3" t="s">
        <v>81</v>
      </c>
      <c r="AM65" s="3" t="s">
        <v>81</v>
      </c>
      <c r="AN65" s="3" t="s">
        <v>81</v>
      </c>
      <c r="AO65" s="3" t="s">
        <v>81</v>
      </c>
      <c r="AP65" s="3" t="s">
        <v>81</v>
      </c>
      <c r="AQ65" s="3" t="s">
        <v>81</v>
      </c>
      <c r="AR65" s="3" t="s">
        <v>81</v>
      </c>
      <c r="AS65" s="3" t="s">
        <v>81</v>
      </c>
      <c r="AT65" s="3" t="s">
        <v>81</v>
      </c>
      <c r="AU65" s="3" t="s">
        <v>81</v>
      </c>
      <c r="AV65" s="3" t="s">
        <v>81</v>
      </c>
      <c r="AW65" s="3" t="s">
        <v>81</v>
      </c>
      <c r="AX65" s="3" t="s">
        <v>81</v>
      </c>
      <c r="AY65" s="3" t="s">
        <v>81</v>
      </c>
      <c r="AZ65" s="3" t="s">
        <v>81</v>
      </c>
      <c r="BA65" s="3" t="s">
        <v>81</v>
      </c>
      <c r="BB65" s="3" t="s">
        <v>81</v>
      </c>
      <c r="BC65" s="3" t="s">
        <v>81</v>
      </c>
      <c r="BD65" s="3" t="s">
        <v>81</v>
      </c>
      <c r="BE65" s="3" t="s">
        <v>81</v>
      </c>
      <c r="BF65" s="3" t="s">
        <v>81</v>
      </c>
      <c r="BG65" s="3" t="s">
        <v>81</v>
      </c>
      <c r="BH65" s="3" t="s">
        <v>81</v>
      </c>
      <c r="BI65" s="3" t="s">
        <v>84</v>
      </c>
      <c r="BJ65" s="3" t="s">
        <v>82</v>
      </c>
      <c r="BK65" s="3" t="s">
        <v>83</v>
      </c>
      <c r="BL65" s="3" t="s">
        <v>84</v>
      </c>
      <c r="BM65" s="3" t="s">
        <v>84</v>
      </c>
      <c r="BN65" s="3" t="s">
        <v>82</v>
      </c>
      <c r="BO65" s="3"/>
      <c r="BV65" s="3"/>
      <c r="BW65" s="3"/>
      <c r="BX65" s="3"/>
      <c r="BZ65" s="9" t="s">
        <v>93</v>
      </c>
      <c r="CD65">
        <v>10</v>
      </c>
      <c r="CG65">
        <v>10</v>
      </c>
    </row>
    <row r="66" spans="1:87" ht="13" hidden="1" x14ac:dyDescent="0.15">
      <c r="A66" s="3">
        <v>1319000926</v>
      </c>
      <c r="B66" s="3" t="s">
        <v>209</v>
      </c>
      <c r="C66" s="3" t="s">
        <v>209</v>
      </c>
      <c r="D66" s="3">
        <v>2</v>
      </c>
      <c r="E66" s="3">
        <v>2</v>
      </c>
      <c r="F66" s="3">
        <v>60.954000000000001</v>
      </c>
      <c r="G66" s="3">
        <v>3</v>
      </c>
      <c r="H66" s="3">
        <v>37.75</v>
      </c>
      <c r="I66" s="3">
        <v>20.797999999999998</v>
      </c>
      <c r="J66" s="3">
        <v>12.791</v>
      </c>
      <c r="K66" s="3">
        <v>17.457999999999998</v>
      </c>
      <c r="L66" s="3">
        <v>7.9569999999999999</v>
      </c>
      <c r="M66" s="3">
        <v>13.407999999999999</v>
      </c>
      <c r="N66" s="3">
        <v>1.0509999999999999</v>
      </c>
      <c r="O66" s="3" t="s">
        <v>81</v>
      </c>
      <c r="P66" s="3" t="s">
        <v>81</v>
      </c>
      <c r="Q66" s="3">
        <v>66.16</v>
      </c>
      <c r="R66" s="3">
        <v>3</v>
      </c>
      <c r="S66" s="3">
        <v>41.179000000000002</v>
      </c>
      <c r="T66" s="3">
        <v>19.466999999999999</v>
      </c>
      <c r="U66" s="3">
        <v>14.637</v>
      </c>
      <c r="V66" s="3">
        <v>17.643999999999998</v>
      </c>
      <c r="W66" s="3">
        <v>8.4079999999999995</v>
      </c>
      <c r="X66" s="3">
        <v>15.643000000000001</v>
      </c>
      <c r="Y66" s="3">
        <v>1.006</v>
      </c>
      <c r="Z66" s="3" t="s">
        <v>81</v>
      </c>
      <c r="AA66" s="3" t="s">
        <v>81</v>
      </c>
      <c r="AB66" s="3" t="s">
        <v>81</v>
      </c>
      <c r="AC66" s="3" t="s">
        <v>81</v>
      </c>
      <c r="AD66" s="3" t="s">
        <v>81</v>
      </c>
      <c r="AE66" s="3" t="s">
        <v>81</v>
      </c>
      <c r="AF66" s="3" t="s">
        <v>81</v>
      </c>
      <c r="AG66" s="3" t="s">
        <v>81</v>
      </c>
      <c r="AH66" s="3" t="s">
        <v>81</v>
      </c>
      <c r="AI66" s="3" t="s">
        <v>81</v>
      </c>
      <c r="AJ66" s="3" t="s">
        <v>81</v>
      </c>
      <c r="AK66" s="3" t="s">
        <v>81</v>
      </c>
      <c r="AL66" s="3" t="s">
        <v>81</v>
      </c>
      <c r="AM66" s="3" t="s">
        <v>81</v>
      </c>
      <c r="AN66" s="3" t="s">
        <v>81</v>
      </c>
      <c r="AO66" s="3" t="s">
        <v>81</v>
      </c>
      <c r="AP66" s="3" t="s">
        <v>81</v>
      </c>
      <c r="AQ66" s="3" t="s">
        <v>81</v>
      </c>
      <c r="AR66" s="3" t="s">
        <v>81</v>
      </c>
      <c r="AS66" s="3" t="s">
        <v>81</v>
      </c>
      <c r="AT66" s="3" t="s">
        <v>81</v>
      </c>
      <c r="AU66" s="3" t="s">
        <v>81</v>
      </c>
      <c r="AV66" s="3" t="s">
        <v>81</v>
      </c>
      <c r="AW66" s="3" t="s">
        <v>81</v>
      </c>
      <c r="AX66" s="3" t="s">
        <v>81</v>
      </c>
      <c r="AY66" s="3" t="s">
        <v>81</v>
      </c>
      <c r="AZ66" s="3" t="s">
        <v>81</v>
      </c>
      <c r="BA66" s="3" t="s">
        <v>81</v>
      </c>
      <c r="BB66" s="3" t="s">
        <v>81</v>
      </c>
      <c r="BC66" s="3" t="s">
        <v>81</v>
      </c>
      <c r="BD66" s="3" t="s">
        <v>81</v>
      </c>
      <c r="BE66" s="3" t="s">
        <v>81</v>
      </c>
      <c r="BF66" s="3" t="s">
        <v>81</v>
      </c>
      <c r="BG66" s="3" t="s">
        <v>81</v>
      </c>
      <c r="BH66" s="3" t="s">
        <v>81</v>
      </c>
      <c r="BI66" s="3" t="s">
        <v>84</v>
      </c>
      <c r="BJ66" s="3" t="s">
        <v>84</v>
      </c>
      <c r="BK66" s="3" t="s">
        <v>84</v>
      </c>
      <c r="BL66" s="3" t="s">
        <v>84</v>
      </c>
      <c r="BM66" s="3" t="s">
        <v>84</v>
      </c>
      <c r="BN66" s="3" t="s">
        <v>82</v>
      </c>
      <c r="BO66" s="3" t="s">
        <v>82</v>
      </c>
      <c r="BP66" s="3" t="s">
        <v>210</v>
      </c>
      <c r="BQ66" s="3" t="s">
        <v>210</v>
      </c>
      <c r="BR66" s="3" t="s">
        <v>98</v>
      </c>
      <c r="BS66" s="3" t="s">
        <v>98</v>
      </c>
      <c r="BT66" s="3" t="s">
        <v>98</v>
      </c>
      <c r="BU66" s="3" t="s">
        <v>129</v>
      </c>
      <c r="BV66" s="3" t="s">
        <v>82</v>
      </c>
      <c r="BW66" s="3" t="s">
        <v>91</v>
      </c>
      <c r="BX66" s="3" t="s">
        <v>82</v>
      </c>
      <c r="BY66" s="3" t="s">
        <v>211</v>
      </c>
      <c r="BZ66" s="3" t="s">
        <v>86</v>
      </c>
      <c r="CA66" s="3"/>
      <c r="CB66" s="3"/>
      <c r="CC66" s="3"/>
      <c r="CD66" s="9">
        <v>6</v>
      </c>
      <c r="CE66" s="3"/>
      <c r="CF66" s="6"/>
      <c r="CG66" s="6"/>
      <c r="CH66" s="6"/>
    </row>
    <row r="67" spans="1:87" ht="13" hidden="1" x14ac:dyDescent="0.15">
      <c r="A67" s="3">
        <v>2235951268</v>
      </c>
      <c r="B67" s="3" t="s">
        <v>209</v>
      </c>
      <c r="C67" s="3" t="s">
        <v>209</v>
      </c>
      <c r="D67" s="3">
        <v>1</v>
      </c>
      <c r="E67" s="3">
        <v>1</v>
      </c>
      <c r="F67" s="3">
        <v>67.513999999999996</v>
      </c>
      <c r="G67" s="3">
        <v>3</v>
      </c>
      <c r="H67" s="3">
        <v>36.389000000000003</v>
      </c>
      <c r="I67" s="3">
        <v>10.579000000000001</v>
      </c>
      <c r="J67" s="3">
        <v>21.754999999999999</v>
      </c>
      <c r="K67" s="3">
        <v>6.6779999999999999</v>
      </c>
      <c r="L67" s="3">
        <v>7.4960000000000004</v>
      </c>
      <c r="M67" s="3">
        <v>1.5249999999999999</v>
      </c>
      <c r="N67" s="3">
        <v>0.40799999999999997</v>
      </c>
      <c r="O67" s="3" t="s">
        <v>81</v>
      </c>
      <c r="P67" s="3" t="s">
        <v>81</v>
      </c>
      <c r="Q67" s="3" t="s">
        <v>81</v>
      </c>
      <c r="R67" s="3" t="s">
        <v>81</v>
      </c>
      <c r="S67" s="3" t="s">
        <v>81</v>
      </c>
      <c r="T67" s="3" t="s">
        <v>81</v>
      </c>
      <c r="U67" s="3" t="s">
        <v>81</v>
      </c>
      <c r="V67" s="3" t="s">
        <v>81</v>
      </c>
      <c r="W67" s="3" t="s">
        <v>81</v>
      </c>
      <c r="X67" s="3" t="s">
        <v>81</v>
      </c>
      <c r="Y67" s="3" t="s">
        <v>81</v>
      </c>
      <c r="Z67" s="3" t="s">
        <v>81</v>
      </c>
      <c r="AA67" s="3" t="s">
        <v>81</v>
      </c>
      <c r="AB67" s="3" t="s">
        <v>81</v>
      </c>
      <c r="AC67" s="3" t="s">
        <v>81</v>
      </c>
      <c r="AD67" s="3" t="s">
        <v>81</v>
      </c>
      <c r="AE67" s="3" t="s">
        <v>81</v>
      </c>
      <c r="AF67" s="3" t="s">
        <v>81</v>
      </c>
      <c r="AG67" s="3" t="s">
        <v>81</v>
      </c>
      <c r="AH67" s="3" t="s">
        <v>81</v>
      </c>
      <c r="AI67" s="3" t="s">
        <v>81</v>
      </c>
      <c r="AJ67" s="3" t="s">
        <v>81</v>
      </c>
      <c r="AK67" s="3" t="s">
        <v>81</v>
      </c>
      <c r="AL67" s="3" t="s">
        <v>81</v>
      </c>
      <c r="AM67" s="3" t="s">
        <v>81</v>
      </c>
      <c r="AN67" s="3" t="s">
        <v>81</v>
      </c>
      <c r="AO67" s="3" t="s">
        <v>81</v>
      </c>
      <c r="AP67" s="3" t="s">
        <v>81</v>
      </c>
      <c r="AQ67" s="3" t="s">
        <v>81</v>
      </c>
      <c r="AR67" s="3" t="s">
        <v>81</v>
      </c>
      <c r="AS67" s="3" t="s">
        <v>81</v>
      </c>
      <c r="AT67" s="3" t="s">
        <v>81</v>
      </c>
      <c r="AU67" s="3" t="s">
        <v>81</v>
      </c>
      <c r="AV67" s="3" t="s">
        <v>81</v>
      </c>
      <c r="AW67" s="3" t="s">
        <v>81</v>
      </c>
      <c r="AX67" s="3" t="s">
        <v>81</v>
      </c>
      <c r="AY67" s="3" t="s">
        <v>81</v>
      </c>
      <c r="AZ67" s="3" t="s">
        <v>81</v>
      </c>
      <c r="BA67" s="3" t="s">
        <v>81</v>
      </c>
      <c r="BB67" s="3" t="s">
        <v>81</v>
      </c>
      <c r="BC67" s="3" t="s">
        <v>81</v>
      </c>
      <c r="BD67" s="3" t="s">
        <v>81</v>
      </c>
      <c r="BE67" s="3" t="s">
        <v>81</v>
      </c>
      <c r="BF67" s="3" t="s">
        <v>81</v>
      </c>
      <c r="BG67" s="3" t="s">
        <v>81</v>
      </c>
      <c r="BH67" s="3" t="s">
        <v>81</v>
      </c>
      <c r="BI67" s="3" t="s">
        <v>84</v>
      </c>
      <c r="BJ67" s="3" t="s">
        <v>82</v>
      </c>
      <c r="BK67" s="3" t="s">
        <v>83</v>
      </c>
      <c r="BL67" s="3" t="s">
        <v>84</v>
      </c>
      <c r="BM67" s="3" t="s">
        <v>84</v>
      </c>
      <c r="BN67" s="3" t="s">
        <v>82</v>
      </c>
      <c r="BO67" s="3" t="s">
        <v>82</v>
      </c>
      <c r="BP67" s="3" t="s">
        <v>87</v>
      </c>
      <c r="BQ67" s="3" t="s">
        <v>87</v>
      </c>
      <c r="BR67" s="3" t="s">
        <v>87</v>
      </c>
      <c r="BS67" s="3" t="s">
        <v>87</v>
      </c>
      <c r="BT67" s="3" t="s">
        <v>87</v>
      </c>
      <c r="BU67" s="3" t="s">
        <v>81</v>
      </c>
      <c r="BV67" s="3" t="s">
        <v>82</v>
      </c>
      <c r="BW67" s="3" t="s">
        <v>111</v>
      </c>
      <c r="BX67" s="3" t="s">
        <v>82</v>
      </c>
      <c r="BZ67" s="3" t="s">
        <v>86</v>
      </c>
      <c r="CD67" s="9">
        <v>6</v>
      </c>
    </row>
    <row r="68" spans="1:87" ht="13" hidden="1" x14ac:dyDescent="0.15">
      <c r="A68" s="3">
        <v>2643370846</v>
      </c>
      <c r="B68" s="3" t="s">
        <v>209</v>
      </c>
      <c r="C68" s="3" t="s">
        <v>209</v>
      </c>
      <c r="D68" s="3">
        <v>2</v>
      </c>
      <c r="E68" s="3">
        <v>2</v>
      </c>
      <c r="F68" s="3">
        <v>104.884</v>
      </c>
      <c r="G68" s="3">
        <v>3</v>
      </c>
      <c r="H68" s="3">
        <v>38.765999999999998</v>
      </c>
      <c r="I68" s="3">
        <v>14.302</v>
      </c>
      <c r="J68" s="3">
        <v>36.865000000000002</v>
      </c>
      <c r="K68" s="3">
        <v>12.026</v>
      </c>
      <c r="L68" s="3">
        <v>21.385000000000002</v>
      </c>
      <c r="M68" s="3">
        <v>5.0839999999999996</v>
      </c>
      <c r="N68" s="3">
        <v>5.6660000000000004</v>
      </c>
      <c r="O68" s="3" t="s">
        <v>81</v>
      </c>
      <c r="P68" s="3" t="s">
        <v>81</v>
      </c>
      <c r="Q68" s="3">
        <v>96.061999999999998</v>
      </c>
      <c r="R68" s="3">
        <v>3</v>
      </c>
      <c r="S68" s="3">
        <v>45.936999999999998</v>
      </c>
      <c r="T68" s="3">
        <v>12.903</v>
      </c>
      <c r="U68" s="3">
        <v>28.140999999999998</v>
      </c>
      <c r="V68" s="3">
        <v>10.645</v>
      </c>
      <c r="W68" s="3">
        <v>16.709</v>
      </c>
      <c r="X68" s="3" t="s">
        <v>81</v>
      </c>
      <c r="Y68" s="3">
        <v>2.9790000000000001</v>
      </c>
      <c r="Z68" s="3" t="s">
        <v>81</v>
      </c>
      <c r="AA68" s="3" t="s">
        <v>81</v>
      </c>
      <c r="AB68" s="3" t="s">
        <v>81</v>
      </c>
      <c r="AC68" s="3" t="s">
        <v>81</v>
      </c>
      <c r="AD68" s="3" t="s">
        <v>81</v>
      </c>
      <c r="AE68" s="3" t="s">
        <v>81</v>
      </c>
      <c r="AF68" s="3" t="s">
        <v>81</v>
      </c>
      <c r="AG68" s="3" t="s">
        <v>81</v>
      </c>
      <c r="AH68" s="3" t="s">
        <v>81</v>
      </c>
      <c r="AI68" s="3" t="s">
        <v>81</v>
      </c>
      <c r="AJ68" s="3" t="s">
        <v>81</v>
      </c>
      <c r="AK68" s="3" t="s">
        <v>81</v>
      </c>
      <c r="AL68" s="3" t="s">
        <v>81</v>
      </c>
      <c r="AM68" s="3" t="s">
        <v>81</v>
      </c>
      <c r="AN68" s="3" t="s">
        <v>81</v>
      </c>
      <c r="AO68" s="3" t="s">
        <v>81</v>
      </c>
      <c r="AP68" s="3" t="s">
        <v>81</v>
      </c>
      <c r="AQ68" s="3" t="s">
        <v>81</v>
      </c>
      <c r="AR68" s="3" t="s">
        <v>81</v>
      </c>
      <c r="AS68" s="3" t="s">
        <v>81</v>
      </c>
      <c r="AT68" s="3" t="s">
        <v>81</v>
      </c>
      <c r="AU68" s="3" t="s">
        <v>81</v>
      </c>
      <c r="AV68" s="3" t="s">
        <v>81</v>
      </c>
      <c r="AW68" s="3" t="s">
        <v>81</v>
      </c>
      <c r="AX68" s="3" t="s">
        <v>81</v>
      </c>
      <c r="AY68" s="3" t="s">
        <v>81</v>
      </c>
      <c r="AZ68" s="3" t="s">
        <v>81</v>
      </c>
      <c r="BA68" s="3" t="s">
        <v>81</v>
      </c>
      <c r="BB68" s="3" t="s">
        <v>81</v>
      </c>
      <c r="BC68" s="3" t="s">
        <v>81</v>
      </c>
      <c r="BD68" s="3" t="s">
        <v>81</v>
      </c>
      <c r="BE68" s="3" t="s">
        <v>81</v>
      </c>
      <c r="BF68" s="3" t="s">
        <v>81</v>
      </c>
      <c r="BG68" s="3" t="s">
        <v>81</v>
      </c>
      <c r="BH68" s="3" t="s">
        <v>81</v>
      </c>
      <c r="BI68" s="3" t="s">
        <v>84</v>
      </c>
      <c r="BJ68" s="3" t="s">
        <v>82</v>
      </c>
      <c r="BK68" s="3" t="s">
        <v>83</v>
      </c>
      <c r="BL68" s="3" t="s">
        <v>84</v>
      </c>
      <c r="BM68" s="3" t="s">
        <v>84</v>
      </c>
      <c r="BN68" s="3" t="s">
        <v>82</v>
      </c>
      <c r="BO68" s="3" t="s">
        <v>82</v>
      </c>
      <c r="BP68" s="3" t="s">
        <v>87</v>
      </c>
      <c r="BQ68" s="3" t="s">
        <v>87</v>
      </c>
      <c r="BR68" s="3" t="s">
        <v>87</v>
      </c>
      <c r="BS68" s="3" t="s">
        <v>87</v>
      </c>
      <c r="BT68" s="3" t="s">
        <v>87</v>
      </c>
      <c r="BU68" s="3" t="s">
        <v>81</v>
      </c>
      <c r="BV68" s="3" t="s">
        <v>82</v>
      </c>
      <c r="BW68" s="3" t="s">
        <v>111</v>
      </c>
      <c r="BX68" s="3" t="s">
        <v>82</v>
      </c>
      <c r="BZ68" s="3" t="s">
        <v>86</v>
      </c>
      <c r="CD68" s="9">
        <v>6</v>
      </c>
    </row>
    <row r="69" spans="1:87" ht="13" x14ac:dyDescent="0.15">
      <c r="A69" s="3" t="s">
        <v>574</v>
      </c>
      <c r="B69" s="3" t="s">
        <v>566</v>
      </c>
      <c r="C69" s="3" t="s">
        <v>566</v>
      </c>
    </row>
    <row r="70" spans="1:87" ht="13" x14ac:dyDescent="0.15">
      <c r="A70" s="3" t="s">
        <v>575</v>
      </c>
      <c r="B70" s="3" t="s">
        <v>566</v>
      </c>
      <c r="C70" s="3" t="s">
        <v>566</v>
      </c>
    </row>
    <row r="71" spans="1:87" ht="13" x14ac:dyDescent="0.15">
      <c r="A71" s="3" t="s">
        <v>576</v>
      </c>
      <c r="B71" s="3" t="s">
        <v>566</v>
      </c>
      <c r="C71" s="3" t="s">
        <v>566</v>
      </c>
    </row>
    <row r="72" spans="1:87" ht="13" x14ac:dyDescent="0.15">
      <c r="A72" s="3">
        <v>1847942164</v>
      </c>
      <c r="B72" s="3" t="s">
        <v>177</v>
      </c>
      <c r="C72" s="3" t="s">
        <v>177</v>
      </c>
      <c r="D72" s="3">
        <v>9</v>
      </c>
      <c r="E72" s="3">
        <v>12</v>
      </c>
      <c r="F72" s="3">
        <v>21.585000000000001</v>
      </c>
      <c r="G72" s="3">
        <v>0</v>
      </c>
      <c r="H72" s="3" t="s">
        <v>81</v>
      </c>
      <c r="I72" s="3" t="s">
        <v>81</v>
      </c>
      <c r="J72" s="3" t="s">
        <v>81</v>
      </c>
      <c r="K72" s="3" t="s">
        <v>81</v>
      </c>
      <c r="L72" s="3" t="s">
        <v>81</v>
      </c>
      <c r="M72" s="3" t="s">
        <v>81</v>
      </c>
      <c r="N72" s="3" t="s">
        <v>81</v>
      </c>
      <c r="O72" s="3" t="s">
        <v>81</v>
      </c>
      <c r="P72" s="3" t="s">
        <v>81</v>
      </c>
      <c r="Q72" s="3">
        <v>18.751000000000001</v>
      </c>
      <c r="R72" s="3">
        <v>0</v>
      </c>
      <c r="S72" s="3" t="s">
        <v>81</v>
      </c>
      <c r="T72" s="3" t="s">
        <v>81</v>
      </c>
      <c r="U72" s="3" t="s">
        <v>81</v>
      </c>
      <c r="V72" s="3" t="s">
        <v>81</v>
      </c>
      <c r="W72" s="3" t="s">
        <v>81</v>
      </c>
      <c r="X72" s="3" t="s">
        <v>81</v>
      </c>
      <c r="Y72" s="3" t="s">
        <v>81</v>
      </c>
      <c r="Z72" s="3" t="s">
        <v>81</v>
      </c>
      <c r="AA72" s="3" t="s">
        <v>81</v>
      </c>
      <c r="AB72" s="3">
        <v>21.048999999999999</v>
      </c>
      <c r="AC72" s="3">
        <v>0</v>
      </c>
      <c r="AD72" s="3" t="s">
        <v>81</v>
      </c>
      <c r="AE72" s="3" t="s">
        <v>81</v>
      </c>
      <c r="AF72" s="3" t="s">
        <v>81</v>
      </c>
      <c r="AG72" s="3" t="s">
        <v>81</v>
      </c>
      <c r="AH72" s="3" t="s">
        <v>81</v>
      </c>
      <c r="AI72" s="3" t="s">
        <v>81</v>
      </c>
      <c r="AJ72" s="3" t="s">
        <v>81</v>
      </c>
      <c r="AK72" s="3" t="s">
        <v>81</v>
      </c>
      <c r="AL72" s="3" t="s">
        <v>81</v>
      </c>
      <c r="AM72" s="3">
        <v>20.439</v>
      </c>
      <c r="AN72" s="3">
        <v>0</v>
      </c>
      <c r="AO72" s="3" t="s">
        <v>81</v>
      </c>
      <c r="AP72" s="3" t="s">
        <v>81</v>
      </c>
      <c r="AQ72" s="3" t="s">
        <v>81</v>
      </c>
      <c r="AR72" s="3" t="s">
        <v>81</v>
      </c>
      <c r="AS72" s="3" t="s">
        <v>81</v>
      </c>
      <c r="AT72" s="3" t="s">
        <v>81</v>
      </c>
      <c r="AU72" s="3" t="s">
        <v>81</v>
      </c>
      <c r="AV72" s="3" t="s">
        <v>81</v>
      </c>
      <c r="AW72" s="3" t="s">
        <v>81</v>
      </c>
      <c r="AX72" s="3">
        <v>22.478999999999999</v>
      </c>
      <c r="AY72" s="3">
        <v>0</v>
      </c>
      <c r="AZ72" s="3" t="s">
        <v>81</v>
      </c>
      <c r="BA72" s="3" t="s">
        <v>81</v>
      </c>
      <c r="BB72" s="3" t="s">
        <v>81</v>
      </c>
      <c r="BC72" s="3" t="s">
        <v>81</v>
      </c>
      <c r="BD72" s="3" t="s">
        <v>81</v>
      </c>
      <c r="BE72" s="3" t="s">
        <v>81</v>
      </c>
      <c r="BF72" s="3" t="s">
        <v>81</v>
      </c>
      <c r="BG72" s="3" t="s">
        <v>81</v>
      </c>
      <c r="BH72" s="3" t="s">
        <v>81</v>
      </c>
      <c r="BI72" s="3" t="s">
        <v>84</v>
      </c>
      <c r="BJ72" s="3" t="s">
        <v>84</v>
      </c>
      <c r="BK72" s="3" t="s">
        <v>84</v>
      </c>
      <c r="BL72" s="3" t="s">
        <v>84</v>
      </c>
      <c r="BM72" s="3" t="s">
        <v>84</v>
      </c>
      <c r="BN72" s="3" t="s">
        <v>84</v>
      </c>
      <c r="BO72" s="3" t="s">
        <v>84</v>
      </c>
      <c r="BP72" s="3" t="s">
        <v>87</v>
      </c>
      <c r="BQ72" s="3" t="s">
        <v>98</v>
      </c>
      <c r="BR72" s="3" t="s">
        <v>178</v>
      </c>
      <c r="BS72" s="3" t="s">
        <v>178</v>
      </c>
      <c r="BT72" s="3" t="s">
        <v>87</v>
      </c>
      <c r="BU72" s="3" t="s">
        <v>98</v>
      </c>
      <c r="BV72" s="3" t="s">
        <v>84</v>
      </c>
      <c r="BW72" s="3" t="s">
        <v>83</v>
      </c>
      <c r="BX72" s="3" t="s">
        <v>82</v>
      </c>
      <c r="BY72" s="3" t="s">
        <v>179</v>
      </c>
      <c r="BZ72" s="3" t="s">
        <v>93</v>
      </c>
      <c r="CB72" s="3" t="s">
        <v>84</v>
      </c>
      <c r="CD72" s="9">
        <v>25</v>
      </c>
      <c r="CE72" s="9">
        <v>13</v>
      </c>
    </row>
    <row r="73" spans="1:87" ht="13" x14ac:dyDescent="0.15">
      <c r="A73" s="3">
        <v>2643334526</v>
      </c>
      <c r="B73" s="3" t="s">
        <v>177</v>
      </c>
      <c r="C73" s="3" t="s">
        <v>177</v>
      </c>
      <c r="D73" s="3">
        <v>16</v>
      </c>
      <c r="E73" s="3">
        <v>16</v>
      </c>
      <c r="F73" s="3">
        <v>26.163</v>
      </c>
      <c r="G73" s="3">
        <v>0</v>
      </c>
      <c r="H73" s="3" t="s">
        <v>81</v>
      </c>
      <c r="I73" s="3" t="s">
        <v>81</v>
      </c>
      <c r="J73" s="3" t="s">
        <v>81</v>
      </c>
      <c r="K73" s="3" t="s">
        <v>81</v>
      </c>
      <c r="L73" s="3" t="s">
        <v>81</v>
      </c>
      <c r="M73" s="3" t="s">
        <v>81</v>
      </c>
      <c r="N73" s="3" t="s">
        <v>81</v>
      </c>
      <c r="O73" s="3" t="s">
        <v>81</v>
      </c>
      <c r="P73" s="3" t="s">
        <v>81</v>
      </c>
      <c r="Q73" s="3">
        <v>30.201000000000001</v>
      </c>
      <c r="R73" s="3">
        <v>0</v>
      </c>
      <c r="S73" s="3" t="s">
        <v>81</v>
      </c>
      <c r="T73" s="3" t="s">
        <v>81</v>
      </c>
      <c r="U73" s="3" t="s">
        <v>81</v>
      </c>
      <c r="V73" s="3" t="s">
        <v>81</v>
      </c>
      <c r="W73" s="3" t="s">
        <v>81</v>
      </c>
      <c r="X73" s="3" t="s">
        <v>81</v>
      </c>
      <c r="Y73" s="3" t="s">
        <v>81</v>
      </c>
      <c r="Z73" s="3" t="s">
        <v>81</v>
      </c>
      <c r="AA73" s="3" t="s">
        <v>81</v>
      </c>
      <c r="AB73" s="3">
        <v>41.250999999999998</v>
      </c>
      <c r="AC73" s="3">
        <v>0</v>
      </c>
      <c r="AD73" s="3" t="s">
        <v>81</v>
      </c>
      <c r="AE73" s="3" t="s">
        <v>81</v>
      </c>
      <c r="AF73" s="3" t="s">
        <v>81</v>
      </c>
      <c r="AG73" s="3" t="s">
        <v>81</v>
      </c>
      <c r="AH73" s="3" t="s">
        <v>81</v>
      </c>
      <c r="AI73" s="3" t="s">
        <v>81</v>
      </c>
      <c r="AJ73" s="3" t="s">
        <v>81</v>
      </c>
      <c r="AK73" s="3" t="s">
        <v>81</v>
      </c>
      <c r="AL73" s="3" t="s">
        <v>81</v>
      </c>
      <c r="AM73" s="3">
        <v>35.783999999999999</v>
      </c>
      <c r="AN73" s="3">
        <v>0</v>
      </c>
      <c r="AO73" s="3" t="s">
        <v>81</v>
      </c>
      <c r="AP73" s="3" t="s">
        <v>81</v>
      </c>
      <c r="AQ73" s="3" t="s">
        <v>81</v>
      </c>
      <c r="AR73" s="3" t="s">
        <v>81</v>
      </c>
      <c r="AS73" s="3" t="s">
        <v>81</v>
      </c>
      <c r="AT73" s="3" t="s">
        <v>81</v>
      </c>
      <c r="AU73" s="3" t="s">
        <v>81</v>
      </c>
      <c r="AV73" s="3" t="s">
        <v>81</v>
      </c>
      <c r="AW73" s="3" t="s">
        <v>81</v>
      </c>
      <c r="AX73" s="3">
        <v>30.067</v>
      </c>
      <c r="AY73" s="3">
        <v>0</v>
      </c>
      <c r="AZ73" s="3" t="s">
        <v>81</v>
      </c>
      <c r="BA73" s="3" t="s">
        <v>81</v>
      </c>
      <c r="BB73" s="3" t="s">
        <v>81</v>
      </c>
      <c r="BC73" s="3" t="s">
        <v>81</v>
      </c>
      <c r="BD73" s="3" t="s">
        <v>81</v>
      </c>
      <c r="BE73" s="3" t="s">
        <v>81</v>
      </c>
      <c r="BF73" s="3" t="s">
        <v>81</v>
      </c>
      <c r="BG73" s="3" t="s">
        <v>81</v>
      </c>
      <c r="BH73" s="3" t="s">
        <v>81</v>
      </c>
      <c r="BI73" s="3" t="s">
        <v>84</v>
      </c>
      <c r="BJ73" s="3" t="s">
        <v>82</v>
      </c>
      <c r="BK73" s="3" t="s">
        <v>83</v>
      </c>
      <c r="BL73" s="3" t="s">
        <v>84</v>
      </c>
      <c r="BM73" s="3" t="s">
        <v>84</v>
      </c>
      <c r="BN73" s="3" t="s">
        <v>84</v>
      </c>
      <c r="BO73" s="3" t="s">
        <v>84</v>
      </c>
      <c r="BP73" s="3" t="s">
        <v>87</v>
      </c>
      <c r="BQ73" s="3" t="s">
        <v>87</v>
      </c>
      <c r="BR73" s="3" t="s">
        <v>180</v>
      </c>
      <c r="BS73" s="3" t="s">
        <v>180</v>
      </c>
      <c r="BT73" s="3" t="s">
        <v>87</v>
      </c>
      <c r="BU73" s="3" t="s">
        <v>98</v>
      </c>
      <c r="BV73" s="3" t="s">
        <v>84</v>
      </c>
      <c r="BW73" s="3" t="s">
        <v>83</v>
      </c>
      <c r="BX73" s="3" t="s">
        <v>82</v>
      </c>
      <c r="BY73" s="3" t="s">
        <v>181</v>
      </c>
      <c r="BZ73" s="3" t="s">
        <v>86</v>
      </c>
      <c r="CB73" s="3" t="s">
        <v>84</v>
      </c>
      <c r="CD73" s="9">
        <v>16</v>
      </c>
      <c r="CE73" s="9"/>
    </row>
    <row r="74" spans="1:87" s="15" customFormat="1" ht="13" x14ac:dyDescent="0.15">
      <c r="A74" s="3">
        <v>2625837530</v>
      </c>
      <c r="B74" s="3" t="s">
        <v>177</v>
      </c>
      <c r="C74" s="3" t="s">
        <v>177</v>
      </c>
      <c r="D74" s="3">
        <v>12</v>
      </c>
      <c r="E74" s="3">
        <v>12</v>
      </c>
      <c r="F74" s="3">
        <v>30.768999999999998</v>
      </c>
      <c r="G74" s="3">
        <v>0</v>
      </c>
      <c r="H74" s="3" t="s">
        <v>81</v>
      </c>
      <c r="I74" s="3" t="s">
        <v>81</v>
      </c>
      <c r="J74" s="3" t="s">
        <v>81</v>
      </c>
      <c r="K74" s="3" t="s">
        <v>81</v>
      </c>
      <c r="L74" s="3" t="s">
        <v>81</v>
      </c>
      <c r="M74" s="3" t="s">
        <v>81</v>
      </c>
      <c r="N74" s="3" t="s">
        <v>81</v>
      </c>
      <c r="O74" s="3" t="s">
        <v>81</v>
      </c>
      <c r="P74" s="3" t="s">
        <v>81</v>
      </c>
      <c r="Q74" s="3">
        <v>36.945</v>
      </c>
      <c r="R74" s="3">
        <v>0</v>
      </c>
      <c r="S74" s="3" t="s">
        <v>81</v>
      </c>
      <c r="T74" s="3" t="s">
        <v>81</v>
      </c>
      <c r="U74" s="3" t="s">
        <v>81</v>
      </c>
      <c r="V74" s="3" t="s">
        <v>81</v>
      </c>
      <c r="W74" s="3" t="s">
        <v>81</v>
      </c>
      <c r="X74" s="3" t="s">
        <v>81</v>
      </c>
      <c r="Y74" s="3" t="s">
        <v>81</v>
      </c>
      <c r="Z74" s="3" t="s">
        <v>81</v>
      </c>
      <c r="AA74" s="3" t="s">
        <v>81</v>
      </c>
      <c r="AB74" s="3">
        <v>28.004999999999999</v>
      </c>
      <c r="AC74" s="3">
        <v>0</v>
      </c>
      <c r="AD74" s="3" t="s">
        <v>81</v>
      </c>
      <c r="AE74" s="3" t="s">
        <v>81</v>
      </c>
      <c r="AF74" s="3" t="s">
        <v>81</v>
      </c>
      <c r="AG74" s="3" t="s">
        <v>81</v>
      </c>
      <c r="AH74" s="3" t="s">
        <v>81</v>
      </c>
      <c r="AI74" s="3" t="s">
        <v>81</v>
      </c>
      <c r="AJ74" s="3" t="s">
        <v>81</v>
      </c>
      <c r="AK74" s="3" t="s">
        <v>81</v>
      </c>
      <c r="AL74" s="3" t="s">
        <v>81</v>
      </c>
      <c r="AM74" s="3">
        <v>25.434000000000001</v>
      </c>
      <c r="AN74" s="3">
        <v>0</v>
      </c>
      <c r="AO74" s="3" t="s">
        <v>81</v>
      </c>
      <c r="AP74" s="3" t="s">
        <v>81</v>
      </c>
      <c r="AQ74" s="3" t="s">
        <v>81</v>
      </c>
      <c r="AR74" s="3" t="s">
        <v>81</v>
      </c>
      <c r="AS74" s="3" t="s">
        <v>81</v>
      </c>
      <c r="AT74" s="3" t="s">
        <v>81</v>
      </c>
      <c r="AU74" s="3" t="s">
        <v>81</v>
      </c>
      <c r="AV74" s="3" t="s">
        <v>81</v>
      </c>
      <c r="AW74" s="3" t="s">
        <v>81</v>
      </c>
      <c r="AX74" s="3">
        <v>36.033999999999999</v>
      </c>
      <c r="AY74" s="3">
        <v>0</v>
      </c>
      <c r="AZ74" s="3" t="s">
        <v>81</v>
      </c>
      <c r="BA74" s="3" t="s">
        <v>81</v>
      </c>
      <c r="BB74" s="3" t="s">
        <v>81</v>
      </c>
      <c r="BC74" s="3" t="s">
        <v>81</v>
      </c>
      <c r="BD74" s="3" t="s">
        <v>81</v>
      </c>
      <c r="BE74" s="3" t="s">
        <v>81</v>
      </c>
      <c r="BF74" s="3" t="s">
        <v>81</v>
      </c>
      <c r="BG74" s="3" t="s">
        <v>81</v>
      </c>
      <c r="BH74" s="3" t="s">
        <v>81</v>
      </c>
      <c r="BI74" s="3" t="s">
        <v>84</v>
      </c>
      <c r="BJ74" s="3" t="s">
        <v>82</v>
      </c>
      <c r="BK74" s="3" t="s">
        <v>83</v>
      </c>
      <c r="BL74" s="3" t="s">
        <v>84</v>
      </c>
      <c r="BM74" s="3" t="s">
        <v>84</v>
      </c>
      <c r="BN74" s="3" t="s">
        <v>84</v>
      </c>
      <c r="BO74" s="3" t="s">
        <v>84</v>
      </c>
      <c r="BP74" s="3" t="s">
        <v>87</v>
      </c>
      <c r="BQ74" s="3" t="s">
        <v>87</v>
      </c>
      <c r="BR74" s="3" t="s">
        <v>180</v>
      </c>
      <c r="BS74" s="3" t="s">
        <v>180</v>
      </c>
      <c r="BT74" s="3" t="s">
        <v>87</v>
      </c>
      <c r="BU74" s="3" t="s">
        <v>98</v>
      </c>
      <c r="BV74" s="3" t="s">
        <v>84</v>
      </c>
      <c r="BW74" s="3" t="s">
        <v>83</v>
      </c>
      <c r="BX74" s="3" t="s">
        <v>82</v>
      </c>
      <c r="BY74" s="3" t="s">
        <v>181</v>
      </c>
      <c r="BZ74" s="3" t="s">
        <v>86</v>
      </c>
      <c r="CA74"/>
      <c r="CB74" s="3" t="s">
        <v>84</v>
      </c>
      <c r="CC74"/>
      <c r="CD74" s="9">
        <v>11</v>
      </c>
      <c r="CE74" s="9"/>
      <c r="CF74"/>
      <c r="CG74"/>
      <c r="CH74"/>
      <c r="CI74" s="14"/>
    </row>
    <row r="75" spans="1:87" ht="13" x14ac:dyDescent="0.15">
      <c r="A75" s="3">
        <v>2625897010</v>
      </c>
      <c r="B75" s="3" t="s">
        <v>177</v>
      </c>
      <c r="C75" s="3" t="s">
        <v>177</v>
      </c>
      <c r="D75" s="3">
        <v>9</v>
      </c>
      <c r="E75" s="3">
        <v>12</v>
      </c>
      <c r="F75" s="3">
        <v>19.222999999999999</v>
      </c>
      <c r="G75" s="3">
        <v>0</v>
      </c>
      <c r="H75" s="3" t="s">
        <v>81</v>
      </c>
      <c r="I75" s="3" t="s">
        <v>81</v>
      </c>
      <c r="J75" s="3" t="s">
        <v>81</v>
      </c>
      <c r="K75" s="3" t="s">
        <v>81</v>
      </c>
      <c r="L75" s="3" t="s">
        <v>81</v>
      </c>
      <c r="M75" s="3" t="s">
        <v>81</v>
      </c>
      <c r="N75" s="3" t="s">
        <v>81</v>
      </c>
      <c r="O75" s="3" t="s">
        <v>81</v>
      </c>
      <c r="P75" s="3" t="s">
        <v>81</v>
      </c>
      <c r="Q75" s="3">
        <v>16.917000000000002</v>
      </c>
      <c r="R75" s="3">
        <v>0</v>
      </c>
      <c r="S75" s="3" t="s">
        <v>81</v>
      </c>
      <c r="T75" s="3" t="s">
        <v>81</v>
      </c>
      <c r="U75" s="3" t="s">
        <v>81</v>
      </c>
      <c r="V75" s="3" t="s">
        <v>81</v>
      </c>
      <c r="W75" s="3" t="s">
        <v>81</v>
      </c>
      <c r="X75" s="3" t="s">
        <v>81</v>
      </c>
      <c r="Y75" s="3" t="s">
        <v>81</v>
      </c>
      <c r="Z75" s="3" t="s">
        <v>81</v>
      </c>
      <c r="AA75" s="3" t="s">
        <v>81</v>
      </c>
      <c r="AB75" s="3">
        <v>15.785</v>
      </c>
      <c r="AC75" s="3">
        <v>0</v>
      </c>
      <c r="AD75" s="3" t="s">
        <v>81</v>
      </c>
      <c r="AE75" s="3" t="s">
        <v>81</v>
      </c>
      <c r="AF75" s="3" t="s">
        <v>81</v>
      </c>
      <c r="AG75" s="3" t="s">
        <v>81</v>
      </c>
      <c r="AH75" s="3" t="s">
        <v>81</v>
      </c>
      <c r="AI75" s="3" t="s">
        <v>81</v>
      </c>
      <c r="AJ75" s="3" t="s">
        <v>81</v>
      </c>
      <c r="AK75" s="3" t="s">
        <v>81</v>
      </c>
      <c r="AL75" s="3" t="s">
        <v>81</v>
      </c>
      <c r="AM75" s="3">
        <v>16.111000000000001</v>
      </c>
      <c r="AN75" s="3">
        <v>0</v>
      </c>
      <c r="AO75" s="3" t="s">
        <v>81</v>
      </c>
      <c r="AP75" s="3" t="s">
        <v>81</v>
      </c>
      <c r="AQ75" s="3" t="s">
        <v>81</v>
      </c>
      <c r="AR75" s="3" t="s">
        <v>81</v>
      </c>
      <c r="AS75" s="3" t="s">
        <v>81</v>
      </c>
      <c r="AT75" s="3" t="s">
        <v>81</v>
      </c>
      <c r="AU75" s="3" t="s">
        <v>81</v>
      </c>
      <c r="AV75" s="3" t="s">
        <v>81</v>
      </c>
      <c r="AW75" s="3" t="s">
        <v>81</v>
      </c>
      <c r="AX75" s="3">
        <v>17.419</v>
      </c>
      <c r="AY75" s="3">
        <v>0</v>
      </c>
      <c r="AZ75" s="3" t="s">
        <v>81</v>
      </c>
      <c r="BA75" s="3" t="s">
        <v>81</v>
      </c>
      <c r="BB75" s="3" t="s">
        <v>81</v>
      </c>
      <c r="BC75" s="3" t="s">
        <v>81</v>
      </c>
      <c r="BD75" s="3" t="s">
        <v>81</v>
      </c>
      <c r="BE75" s="3" t="s">
        <v>81</v>
      </c>
      <c r="BF75" s="3" t="s">
        <v>81</v>
      </c>
      <c r="BG75" s="3" t="s">
        <v>81</v>
      </c>
      <c r="BH75" s="3" t="s">
        <v>81</v>
      </c>
      <c r="BI75" s="3" t="s">
        <v>84</v>
      </c>
      <c r="BJ75" s="3" t="s">
        <v>82</v>
      </c>
      <c r="BK75" s="3" t="s">
        <v>83</v>
      </c>
      <c r="BL75" s="3" t="s">
        <v>84</v>
      </c>
      <c r="BM75" s="3" t="s">
        <v>84</v>
      </c>
      <c r="BN75" s="3" t="s">
        <v>84</v>
      </c>
      <c r="BO75" s="3" t="s">
        <v>84</v>
      </c>
      <c r="BP75" s="3" t="s">
        <v>87</v>
      </c>
      <c r="BQ75" s="3" t="s">
        <v>182</v>
      </c>
      <c r="BR75" s="3" t="s">
        <v>183</v>
      </c>
      <c r="BS75" s="3" t="s">
        <v>184</v>
      </c>
      <c r="BT75" s="3" t="s">
        <v>87</v>
      </c>
      <c r="BU75" s="3" t="s">
        <v>98</v>
      </c>
      <c r="BV75" s="3" t="s">
        <v>82</v>
      </c>
      <c r="BW75" s="3" t="s">
        <v>91</v>
      </c>
      <c r="BX75" s="3" t="s">
        <v>82</v>
      </c>
      <c r="BY75" s="3" t="s">
        <v>185</v>
      </c>
      <c r="BZ75" s="3" t="s">
        <v>86</v>
      </c>
      <c r="CB75" s="3" t="s">
        <v>84</v>
      </c>
      <c r="CD75" s="9">
        <v>12</v>
      </c>
      <c r="CE75" s="9"/>
    </row>
    <row r="76" spans="1:87" ht="13" hidden="1" x14ac:dyDescent="0.15">
      <c r="A76" s="9">
        <v>1317708190</v>
      </c>
      <c r="B76" s="9" t="s">
        <v>215</v>
      </c>
      <c r="C76" s="9" t="s">
        <v>215</v>
      </c>
      <c r="D76" s="3"/>
      <c r="E76" s="3">
        <v>34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Z76" s="3"/>
      <c r="CB76" s="3"/>
      <c r="CD76" s="9">
        <v>34</v>
      </c>
      <c r="CE76" s="9"/>
      <c r="CI76" s="6"/>
    </row>
    <row r="77" spans="1:87" ht="13" x14ac:dyDescent="0.15">
      <c r="A77" s="3">
        <v>2625856481</v>
      </c>
      <c r="B77" s="3" t="s">
        <v>177</v>
      </c>
      <c r="C77" s="3" t="s">
        <v>177</v>
      </c>
      <c r="D77" s="3">
        <v>9</v>
      </c>
      <c r="E77" s="3">
        <v>10</v>
      </c>
      <c r="F77" s="3">
        <v>12.689</v>
      </c>
      <c r="G77" s="3">
        <v>0</v>
      </c>
      <c r="H77" s="3" t="s">
        <v>81</v>
      </c>
      <c r="I77" s="3" t="s">
        <v>81</v>
      </c>
      <c r="J77" s="3" t="s">
        <v>81</v>
      </c>
      <c r="K77" s="3" t="s">
        <v>81</v>
      </c>
      <c r="L77" s="3" t="s">
        <v>81</v>
      </c>
      <c r="M77" s="3" t="s">
        <v>81</v>
      </c>
      <c r="N77" s="3" t="s">
        <v>81</v>
      </c>
      <c r="O77" s="3" t="s">
        <v>81</v>
      </c>
      <c r="P77" s="3" t="s">
        <v>81</v>
      </c>
      <c r="Q77" s="3">
        <v>15.881</v>
      </c>
      <c r="R77" s="3">
        <v>0</v>
      </c>
      <c r="S77" s="3" t="s">
        <v>81</v>
      </c>
      <c r="T77" s="3" t="s">
        <v>81</v>
      </c>
      <c r="U77" s="3" t="s">
        <v>81</v>
      </c>
      <c r="V77" s="3" t="s">
        <v>81</v>
      </c>
      <c r="W77" s="3" t="s">
        <v>81</v>
      </c>
      <c r="X77" s="3" t="s">
        <v>81</v>
      </c>
      <c r="Y77" s="3" t="s">
        <v>81</v>
      </c>
      <c r="Z77" s="3" t="s">
        <v>81</v>
      </c>
      <c r="AA77" s="3" t="s">
        <v>81</v>
      </c>
      <c r="AB77" s="3">
        <v>12.096</v>
      </c>
      <c r="AC77" s="3">
        <v>0</v>
      </c>
      <c r="AD77" s="3" t="s">
        <v>81</v>
      </c>
      <c r="AE77" s="3" t="s">
        <v>81</v>
      </c>
      <c r="AF77" s="3" t="s">
        <v>81</v>
      </c>
      <c r="AG77" s="3" t="s">
        <v>81</v>
      </c>
      <c r="AH77" s="3" t="s">
        <v>81</v>
      </c>
      <c r="AI77" s="3" t="s">
        <v>81</v>
      </c>
      <c r="AJ77" s="3" t="s">
        <v>81</v>
      </c>
      <c r="AK77" s="3" t="s">
        <v>81</v>
      </c>
      <c r="AL77" s="3" t="s">
        <v>81</v>
      </c>
      <c r="AM77" s="3">
        <v>12.537000000000001</v>
      </c>
      <c r="AN77" s="3">
        <v>0</v>
      </c>
      <c r="AO77" s="3" t="s">
        <v>81</v>
      </c>
      <c r="AP77" s="3" t="s">
        <v>81</v>
      </c>
      <c r="AQ77" s="3" t="s">
        <v>81</v>
      </c>
      <c r="AR77" s="3" t="s">
        <v>81</v>
      </c>
      <c r="AS77" s="3" t="s">
        <v>81</v>
      </c>
      <c r="AT77" s="3" t="s">
        <v>81</v>
      </c>
      <c r="AU77" s="3" t="s">
        <v>81</v>
      </c>
      <c r="AV77" s="3" t="s">
        <v>81</v>
      </c>
      <c r="AW77" s="3" t="s">
        <v>81</v>
      </c>
      <c r="AX77" s="3">
        <v>10.943</v>
      </c>
      <c r="AY77" s="3">
        <v>0</v>
      </c>
      <c r="AZ77" s="3" t="s">
        <v>81</v>
      </c>
      <c r="BA77" s="3" t="s">
        <v>81</v>
      </c>
      <c r="BB77" s="3" t="s">
        <v>81</v>
      </c>
      <c r="BC77" s="3" t="s">
        <v>81</v>
      </c>
      <c r="BD77" s="3" t="s">
        <v>81</v>
      </c>
      <c r="BE77" s="3" t="s">
        <v>81</v>
      </c>
      <c r="BF77" s="3" t="s">
        <v>81</v>
      </c>
      <c r="BG77" s="3" t="s">
        <v>81</v>
      </c>
      <c r="BH77" s="3" t="s">
        <v>81</v>
      </c>
      <c r="BI77" s="3" t="s">
        <v>84</v>
      </c>
      <c r="BJ77" s="3" t="s">
        <v>82</v>
      </c>
      <c r="BK77" s="3" t="s">
        <v>83</v>
      </c>
      <c r="BL77" s="3" t="s">
        <v>84</v>
      </c>
      <c r="BM77" s="3" t="s">
        <v>84</v>
      </c>
      <c r="BN77" s="3" t="s">
        <v>84</v>
      </c>
      <c r="BO77" s="3" t="s">
        <v>84</v>
      </c>
      <c r="BP77" s="3" t="s">
        <v>87</v>
      </c>
      <c r="BQ77" s="3" t="s">
        <v>87</v>
      </c>
      <c r="BR77" s="3" t="s">
        <v>87</v>
      </c>
      <c r="BS77" s="3" t="s">
        <v>87</v>
      </c>
      <c r="BT77" s="3" t="s">
        <v>87</v>
      </c>
      <c r="BU77" s="3" t="s">
        <v>81</v>
      </c>
      <c r="BV77" s="3" t="s">
        <v>82</v>
      </c>
      <c r="BW77" s="3" t="s">
        <v>91</v>
      </c>
      <c r="BX77" s="3" t="s">
        <v>82</v>
      </c>
      <c r="BY77" s="3" t="s">
        <v>185</v>
      </c>
      <c r="BZ77" s="3" t="s">
        <v>86</v>
      </c>
      <c r="CB77" s="3" t="s">
        <v>84</v>
      </c>
      <c r="CD77" s="9">
        <v>11</v>
      </c>
      <c r="CE77" s="9"/>
    </row>
    <row r="78" spans="1:87" ht="13" hidden="1" x14ac:dyDescent="0.15">
      <c r="A78" s="3">
        <v>2235744935</v>
      </c>
      <c r="B78" s="3" t="s">
        <v>229</v>
      </c>
      <c r="C78" s="3" t="s">
        <v>229</v>
      </c>
      <c r="D78" s="3">
        <v>12</v>
      </c>
      <c r="E78" s="3">
        <v>14</v>
      </c>
      <c r="F78" s="3">
        <v>43.982999999999997</v>
      </c>
      <c r="G78" s="3">
        <v>1</v>
      </c>
      <c r="H78" s="3">
        <v>22.552</v>
      </c>
      <c r="I78" s="3">
        <v>24.34</v>
      </c>
      <c r="J78" s="3">
        <v>21.103000000000002</v>
      </c>
      <c r="K78" s="3" t="s">
        <v>81</v>
      </c>
      <c r="L78" s="3" t="s">
        <v>81</v>
      </c>
      <c r="M78" s="3" t="s">
        <v>81</v>
      </c>
      <c r="N78" s="3" t="s">
        <v>81</v>
      </c>
      <c r="O78" s="3" t="s">
        <v>81</v>
      </c>
      <c r="P78" s="3" t="s">
        <v>81</v>
      </c>
      <c r="Q78" s="3">
        <v>45.890999999999998</v>
      </c>
      <c r="R78" s="3">
        <v>1</v>
      </c>
      <c r="S78" s="3">
        <v>21.975999999999999</v>
      </c>
      <c r="T78" s="3">
        <v>24.824000000000002</v>
      </c>
      <c r="U78" s="3">
        <v>23.204000000000001</v>
      </c>
      <c r="V78" s="3" t="s">
        <v>81</v>
      </c>
      <c r="W78" s="3" t="s">
        <v>81</v>
      </c>
      <c r="X78" s="3" t="s">
        <v>81</v>
      </c>
      <c r="Y78" s="3" t="s">
        <v>81</v>
      </c>
      <c r="Z78" s="3" t="s">
        <v>81</v>
      </c>
      <c r="AA78" s="3" t="s">
        <v>81</v>
      </c>
      <c r="AB78" s="3">
        <v>50.323</v>
      </c>
      <c r="AC78" s="3">
        <v>1</v>
      </c>
      <c r="AD78" s="3">
        <v>23.959</v>
      </c>
      <c r="AE78" s="3">
        <v>25.742000000000001</v>
      </c>
      <c r="AF78" s="3">
        <v>26.053999999999998</v>
      </c>
      <c r="AG78" s="3" t="s">
        <v>81</v>
      </c>
      <c r="AH78" s="3" t="s">
        <v>81</v>
      </c>
      <c r="AI78" s="3" t="s">
        <v>81</v>
      </c>
      <c r="AJ78" s="3" t="s">
        <v>81</v>
      </c>
      <c r="AK78" s="3" t="s">
        <v>81</v>
      </c>
      <c r="AL78" s="3" t="s">
        <v>81</v>
      </c>
      <c r="AM78" s="3">
        <v>56.377000000000002</v>
      </c>
      <c r="AN78" s="3">
        <v>1</v>
      </c>
      <c r="AO78" s="3">
        <v>29.81</v>
      </c>
      <c r="AP78" s="3">
        <v>22.193000000000001</v>
      </c>
      <c r="AQ78" s="3">
        <v>26.26</v>
      </c>
      <c r="AR78" s="3" t="s">
        <v>81</v>
      </c>
      <c r="AS78" s="3" t="s">
        <v>81</v>
      </c>
      <c r="AT78" s="3" t="s">
        <v>81</v>
      </c>
      <c r="AU78" s="3" t="s">
        <v>81</v>
      </c>
      <c r="AV78" s="3" t="s">
        <v>81</v>
      </c>
      <c r="AW78" s="3" t="s">
        <v>81</v>
      </c>
      <c r="AX78" s="3">
        <v>49.725999999999999</v>
      </c>
      <c r="AY78" s="3">
        <v>1</v>
      </c>
      <c r="AZ78" s="3">
        <v>22.366</v>
      </c>
      <c r="BA78" s="3">
        <v>25.25</v>
      </c>
      <c r="BB78" s="3">
        <v>26.87</v>
      </c>
      <c r="BC78" s="3" t="s">
        <v>81</v>
      </c>
      <c r="BD78" s="3" t="s">
        <v>81</v>
      </c>
      <c r="BE78" s="3" t="s">
        <v>81</v>
      </c>
      <c r="BF78" s="3" t="s">
        <v>81</v>
      </c>
      <c r="BG78" s="3" t="s">
        <v>81</v>
      </c>
      <c r="BH78" s="3" t="s">
        <v>81</v>
      </c>
      <c r="BI78" s="3" t="s">
        <v>84</v>
      </c>
      <c r="BJ78" s="3" t="s">
        <v>84</v>
      </c>
      <c r="BK78" s="3" t="s">
        <v>84</v>
      </c>
      <c r="BL78" s="3" t="s">
        <v>82</v>
      </c>
      <c r="BM78" s="3" t="s">
        <v>83</v>
      </c>
      <c r="BN78" s="3" t="s">
        <v>82</v>
      </c>
      <c r="BO78" s="3" t="s">
        <v>82</v>
      </c>
      <c r="BP78" s="3" t="s">
        <v>230</v>
      </c>
      <c r="BQ78" s="3" t="s">
        <v>230</v>
      </c>
      <c r="BR78" s="3" t="s">
        <v>87</v>
      </c>
      <c r="BS78" s="3" t="s">
        <v>231</v>
      </c>
      <c r="BT78" s="3" t="s">
        <v>87</v>
      </c>
      <c r="BU78" s="3" t="s">
        <v>81</v>
      </c>
      <c r="BV78" s="3" t="s">
        <v>83</v>
      </c>
      <c r="BW78" s="3" t="s">
        <v>83</v>
      </c>
      <c r="BX78" s="3" t="s">
        <v>83</v>
      </c>
      <c r="BY78" s="3"/>
      <c r="BZ78" s="3" t="s">
        <v>86</v>
      </c>
      <c r="CA78" s="3" t="s">
        <v>232</v>
      </c>
      <c r="CB78" s="3"/>
      <c r="CC78" s="3"/>
      <c r="CD78" s="9">
        <v>25</v>
      </c>
      <c r="CE78" s="3"/>
      <c r="CF78" s="5"/>
      <c r="CG78" s="5"/>
      <c r="CH78" s="5"/>
    </row>
    <row r="79" spans="1:87" ht="13" hidden="1" x14ac:dyDescent="0.15">
      <c r="A79" s="3">
        <v>2235747324</v>
      </c>
      <c r="B79" s="3" t="s">
        <v>229</v>
      </c>
      <c r="C79" s="3" t="s">
        <v>229</v>
      </c>
      <c r="D79" s="3">
        <v>4</v>
      </c>
      <c r="E79" s="3">
        <v>6</v>
      </c>
      <c r="F79" s="3">
        <v>14.692</v>
      </c>
      <c r="G79" s="3">
        <v>1</v>
      </c>
      <c r="H79" s="3">
        <f>11.567</f>
        <v>11.567</v>
      </c>
      <c r="I79" s="3">
        <v>20.015999999999998</v>
      </c>
      <c r="J79" s="3">
        <v>2.5579999999999998</v>
      </c>
      <c r="K79" s="3" t="s">
        <v>81</v>
      </c>
      <c r="L79" s="3" t="s">
        <v>81</v>
      </c>
      <c r="M79" s="3" t="s">
        <v>81</v>
      </c>
      <c r="N79" s="3" t="s">
        <v>81</v>
      </c>
      <c r="O79" s="3" t="s">
        <v>81</v>
      </c>
      <c r="P79" s="3" t="s">
        <v>81</v>
      </c>
      <c r="Q79" s="3">
        <v>8.9390000000000001</v>
      </c>
      <c r="R79" s="3">
        <v>1</v>
      </c>
      <c r="S79" s="3">
        <v>7.6280000000000001</v>
      </c>
      <c r="T79" s="3">
        <v>28.143000000000001</v>
      </c>
      <c r="U79" s="3" t="s">
        <v>81</v>
      </c>
      <c r="V79" s="3" t="s">
        <v>81</v>
      </c>
      <c r="W79" s="3" t="s">
        <v>81</v>
      </c>
      <c r="X79" s="3" t="s">
        <v>81</v>
      </c>
      <c r="Y79" s="3" t="s">
        <v>81</v>
      </c>
      <c r="Z79" s="3" t="s">
        <v>81</v>
      </c>
      <c r="AA79" s="3" t="s">
        <v>81</v>
      </c>
      <c r="AB79" s="3">
        <v>9.8260000000000005</v>
      </c>
      <c r="AC79" s="3">
        <v>1</v>
      </c>
      <c r="AD79" s="3">
        <v>9.407</v>
      </c>
      <c r="AE79" s="3">
        <v>10.831</v>
      </c>
      <c r="AF79" s="3">
        <v>0.40699999999999997</v>
      </c>
      <c r="AG79" s="3" t="s">
        <v>81</v>
      </c>
      <c r="AH79" s="3" t="s">
        <v>81</v>
      </c>
      <c r="AI79" s="3" t="s">
        <v>81</v>
      </c>
      <c r="AJ79" s="3" t="s">
        <v>81</v>
      </c>
      <c r="AK79" s="3" t="s">
        <v>81</v>
      </c>
      <c r="AL79" s="3" t="s">
        <v>81</v>
      </c>
      <c r="AM79" s="3">
        <v>17.716000000000001</v>
      </c>
      <c r="AN79" s="3">
        <v>1</v>
      </c>
      <c r="AO79" s="3">
        <v>10.335000000000001</v>
      </c>
      <c r="AP79" s="3">
        <v>22.513999999999999</v>
      </c>
      <c r="AQ79" s="3">
        <v>7.4320000000000004</v>
      </c>
      <c r="AR79" s="3" t="s">
        <v>81</v>
      </c>
      <c r="AS79" s="3" t="s">
        <v>81</v>
      </c>
      <c r="AT79" s="3" t="s">
        <v>81</v>
      </c>
      <c r="AU79" s="3" t="s">
        <v>81</v>
      </c>
      <c r="AV79" s="3" t="s">
        <v>81</v>
      </c>
      <c r="AW79" s="3" t="s">
        <v>81</v>
      </c>
      <c r="AX79" s="3" t="s">
        <v>81</v>
      </c>
      <c r="AY79" s="3" t="s">
        <v>81</v>
      </c>
      <c r="AZ79" s="3" t="s">
        <v>81</v>
      </c>
      <c r="BA79" s="3" t="s">
        <v>81</v>
      </c>
      <c r="BB79" s="3" t="s">
        <v>81</v>
      </c>
      <c r="BC79" s="3" t="s">
        <v>81</v>
      </c>
      <c r="BD79" s="3" t="s">
        <v>81</v>
      </c>
      <c r="BE79" s="3" t="s">
        <v>81</v>
      </c>
      <c r="BF79" s="3" t="s">
        <v>81</v>
      </c>
      <c r="BG79" s="3" t="s">
        <v>81</v>
      </c>
      <c r="BH79" s="3" t="s">
        <v>81</v>
      </c>
      <c r="BI79" s="3" t="s">
        <v>84</v>
      </c>
      <c r="BJ79" s="3" t="s">
        <v>82</v>
      </c>
      <c r="BK79" s="3" t="s">
        <v>83</v>
      </c>
      <c r="BL79" s="3" t="s">
        <v>84</v>
      </c>
      <c r="BM79" s="3" t="s">
        <v>84</v>
      </c>
      <c r="BN79" s="3" t="s">
        <v>82</v>
      </c>
      <c r="BO79" s="3" t="s">
        <v>82</v>
      </c>
      <c r="BP79" s="3" t="s">
        <v>230</v>
      </c>
      <c r="BQ79" s="3" t="s">
        <v>230</v>
      </c>
      <c r="BR79" s="3" t="s">
        <v>87</v>
      </c>
      <c r="BS79" s="3" t="s">
        <v>231</v>
      </c>
      <c r="BT79" s="3" t="s">
        <v>87</v>
      </c>
      <c r="BU79" s="3" t="s">
        <v>81</v>
      </c>
      <c r="BV79" s="3" t="s">
        <v>82</v>
      </c>
      <c r="BW79" s="3" t="s">
        <v>91</v>
      </c>
      <c r="BX79" s="3" t="s">
        <v>82</v>
      </c>
      <c r="BY79" s="3" t="s">
        <v>134</v>
      </c>
      <c r="BZ79" s="3" t="s">
        <v>86</v>
      </c>
      <c r="CD79" s="9">
        <v>11</v>
      </c>
      <c r="CI79" s="6"/>
    </row>
    <row r="80" spans="1:87" ht="13" hidden="1" x14ac:dyDescent="0.15">
      <c r="A80" s="3">
        <v>1228177320</v>
      </c>
      <c r="B80" s="3" t="s">
        <v>233</v>
      </c>
      <c r="C80" s="3" t="s">
        <v>233</v>
      </c>
      <c r="D80" s="3">
        <v>3</v>
      </c>
      <c r="E80" s="3">
        <v>5</v>
      </c>
      <c r="F80" s="3">
        <v>82.968999999999994</v>
      </c>
      <c r="G80" s="3">
        <v>1</v>
      </c>
      <c r="H80" s="3">
        <v>45.735999999999997</v>
      </c>
      <c r="I80" s="3">
        <v>31.407</v>
      </c>
      <c r="J80" s="3" t="s">
        <v>81</v>
      </c>
      <c r="K80" s="3" t="s">
        <v>81</v>
      </c>
      <c r="L80" s="3" t="s">
        <v>81</v>
      </c>
      <c r="M80" s="3" t="s">
        <v>81</v>
      </c>
      <c r="N80" s="3" t="s">
        <v>81</v>
      </c>
      <c r="O80" s="3" t="s">
        <v>81</v>
      </c>
      <c r="P80" s="3" t="s">
        <v>81</v>
      </c>
      <c r="Q80" s="3">
        <v>82.888000000000005</v>
      </c>
      <c r="R80" s="3">
        <v>1</v>
      </c>
      <c r="S80" s="3">
        <v>46.323</v>
      </c>
      <c r="T80" s="3">
        <v>27.962</v>
      </c>
      <c r="U80" s="3">
        <v>36.402999999999999</v>
      </c>
      <c r="V80" s="3" t="s">
        <v>81</v>
      </c>
      <c r="W80" s="3" t="s">
        <v>81</v>
      </c>
      <c r="X80" s="3" t="s">
        <v>81</v>
      </c>
      <c r="Y80" s="3" t="s">
        <v>81</v>
      </c>
      <c r="Z80" s="3" t="s">
        <v>81</v>
      </c>
      <c r="AA80" s="3" t="s">
        <v>81</v>
      </c>
      <c r="AB80" s="3">
        <v>53.377000000000002</v>
      </c>
      <c r="AC80" s="3">
        <v>1</v>
      </c>
      <c r="AD80" s="3">
        <v>42.658000000000001</v>
      </c>
      <c r="AE80" s="3">
        <v>27.983000000000001</v>
      </c>
      <c r="AF80" s="3">
        <v>10.401999999999999</v>
      </c>
      <c r="AG80" s="3" t="s">
        <v>81</v>
      </c>
      <c r="AH80" s="3" t="s">
        <v>81</v>
      </c>
      <c r="AI80" s="3" t="s">
        <v>81</v>
      </c>
      <c r="AJ80" s="3" t="s">
        <v>81</v>
      </c>
      <c r="AK80" s="3" t="s">
        <v>81</v>
      </c>
      <c r="AL80" s="3" t="s">
        <v>81</v>
      </c>
      <c r="AM80" s="3">
        <v>48.222999999999999</v>
      </c>
      <c r="AN80" s="3">
        <v>1</v>
      </c>
      <c r="AO80" s="3">
        <v>34.472999999999999</v>
      </c>
      <c r="AP80" s="3">
        <v>28.311</v>
      </c>
      <c r="AQ80" s="3">
        <v>13.153</v>
      </c>
      <c r="AR80" s="3" t="s">
        <v>81</v>
      </c>
      <c r="AS80" s="3" t="s">
        <v>81</v>
      </c>
      <c r="AT80" s="3" t="s">
        <v>81</v>
      </c>
      <c r="AU80" s="3" t="s">
        <v>81</v>
      </c>
      <c r="AV80" s="3" t="s">
        <v>81</v>
      </c>
      <c r="AW80" s="3" t="s">
        <v>81</v>
      </c>
      <c r="AX80" s="3">
        <v>47.34</v>
      </c>
      <c r="AY80" s="3">
        <v>1</v>
      </c>
      <c r="AZ80" s="3">
        <v>37.965000000000003</v>
      </c>
      <c r="BA80" s="3">
        <v>9.9710000000000001</v>
      </c>
      <c r="BB80" s="3" t="s">
        <v>81</v>
      </c>
      <c r="BC80" s="3" t="s">
        <v>81</v>
      </c>
      <c r="BD80" s="3" t="s">
        <v>81</v>
      </c>
      <c r="BE80" s="3" t="s">
        <v>81</v>
      </c>
      <c r="BF80" s="3" t="s">
        <v>81</v>
      </c>
      <c r="BG80" s="3" t="s">
        <v>81</v>
      </c>
      <c r="BH80" s="3" t="s">
        <v>81</v>
      </c>
      <c r="BI80" s="3" t="s">
        <v>84</v>
      </c>
      <c r="BJ80" s="3" t="s">
        <v>82</v>
      </c>
      <c r="BK80" s="3" t="s">
        <v>83</v>
      </c>
      <c r="BL80" s="3" t="s">
        <v>84</v>
      </c>
      <c r="BM80" s="3" t="s">
        <v>84</v>
      </c>
      <c r="BN80" s="3" t="s">
        <v>82</v>
      </c>
      <c r="BO80" s="3" t="s">
        <v>84</v>
      </c>
      <c r="BP80" s="3" t="s">
        <v>106</v>
      </c>
      <c r="BQ80" s="3" t="s">
        <v>106</v>
      </c>
      <c r="BR80" s="3" t="s">
        <v>137</v>
      </c>
      <c r="BS80" s="3" t="s">
        <v>137</v>
      </c>
      <c r="BT80" s="3" t="s">
        <v>106</v>
      </c>
      <c r="BU80" s="3" t="s">
        <v>129</v>
      </c>
      <c r="BV80" s="3" t="s">
        <v>82</v>
      </c>
      <c r="BW80" s="3" t="s">
        <v>91</v>
      </c>
      <c r="BX80" s="3" t="s">
        <v>82</v>
      </c>
      <c r="BY80" s="3"/>
      <c r="BZ80" s="3" t="s">
        <v>93</v>
      </c>
      <c r="CA80" s="3"/>
      <c r="CB80" s="3"/>
      <c r="CC80" s="3"/>
      <c r="CD80" s="9">
        <v>10</v>
      </c>
      <c r="CE80" s="9"/>
      <c r="CF80" s="9"/>
      <c r="CG80" s="6"/>
      <c r="CH80" s="6"/>
    </row>
    <row r="81" spans="1:87" ht="13" hidden="1" x14ac:dyDescent="0.15">
      <c r="A81" s="3">
        <v>2625862552</v>
      </c>
      <c r="B81" s="3" t="s">
        <v>233</v>
      </c>
      <c r="C81" s="3" t="s">
        <v>233</v>
      </c>
      <c r="D81" s="3">
        <v>3</v>
      </c>
      <c r="E81" s="3">
        <v>3</v>
      </c>
      <c r="F81" s="3">
        <v>27.911000000000001</v>
      </c>
      <c r="G81" s="3">
        <v>0</v>
      </c>
      <c r="H81" s="3" t="s">
        <v>81</v>
      </c>
      <c r="I81" s="3" t="s">
        <v>81</v>
      </c>
      <c r="J81" s="3" t="s">
        <v>81</v>
      </c>
      <c r="K81" s="3" t="s">
        <v>81</v>
      </c>
      <c r="L81" s="3" t="s">
        <v>81</v>
      </c>
      <c r="M81" s="3" t="s">
        <v>81</v>
      </c>
      <c r="N81" s="3" t="s">
        <v>81</v>
      </c>
      <c r="O81" s="3" t="s">
        <v>81</v>
      </c>
      <c r="P81" s="3" t="s">
        <v>81</v>
      </c>
      <c r="Q81" s="3" t="s">
        <v>81</v>
      </c>
      <c r="R81" s="3">
        <v>0</v>
      </c>
      <c r="S81" s="3" t="s">
        <v>81</v>
      </c>
      <c r="T81" s="3" t="s">
        <v>81</v>
      </c>
      <c r="U81" s="3" t="s">
        <v>81</v>
      </c>
      <c r="V81" s="3" t="s">
        <v>81</v>
      </c>
      <c r="W81" s="3" t="s">
        <v>81</v>
      </c>
      <c r="X81" s="3" t="s">
        <v>81</v>
      </c>
      <c r="Y81" s="3" t="s">
        <v>81</v>
      </c>
      <c r="Z81" s="3" t="s">
        <v>81</v>
      </c>
      <c r="AA81" s="3" t="s">
        <v>81</v>
      </c>
      <c r="AB81" s="3">
        <v>29.260999999999999</v>
      </c>
      <c r="AC81" s="3">
        <v>0</v>
      </c>
      <c r="AD81" s="3" t="s">
        <v>81</v>
      </c>
      <c r="AE81" s="3" t="s">
        <v>81</v>
      </c>
      <c r="AF81" s="3" t="s">
        <v>81</v>
      </c>
      <c r="AG81" s="3" t="s">
        <v>81</v>
      </c>
      <c r="AH81" s="3" t="s">
        <v>81</v>
      </c>
      <c r="AI81" s="3" t="s">
        <v>81</v>
      </c>
      <c r="AJ81" s="3" t="s">
        <v>81</v>
      </c>
      <c r="AK81" s="3" t="s">
        <v>81</v>
      </c>
      <c r="AL81" s="3" t="s">
        <v>81</v>
      </c>
      <c r="AM81" s="3">
        <v>28.888000000000002</v>
      </c>
      <c r="AN81" s="3">
        <v>0</v>
      </c>
      <c r="AO81" s="3" t="s">
        <v>81</v>
      </c>
      <c r="AP81" s="3" t="s">
        <v>81</v>
      </c>
      <c r="AQ81" s="3" t="s">
        <v>81</v>
      </c>
      <c r="AR81" s="3" t="s">
        <v>81</v>
      </c>
      <c r="AS81" s="3" t="s">
        <v>81</v>
      </c>
      <c r="AT81" s="3" t="s">
        <v>81</v>
      </c>
      <c r="AU81" s="3" t="s">
        <v>81</v>
      </c>
      <c r="AV81" s="3" t="s">
        <v>81</v>
      </c>
      <c r="AW81" s="3" t="s">
        <v>81</v>
      </c>
      <c r="AX81" s="3" t="s">
        <v>81</v>
      </c>
      <c r="AY81" s="3" t="s">
        <v>81</v>
      </c>
      <c r="AZ81" s="3" t="s">
        <v>81</v>
      </c>
      <c r="BA81" s="3" t="s">
        <v>81</v>
      </c>
      <c r="BB81" s="3" t="s">
        <v>81</v>
      </c>
      <c r="BC81" s="3" t="s">
        <v>81</v>
      </c>
      <c r="BD81" s="3" t="s">
        <v>81</v>
      </c>
      <c r="BE81" s="3" t="s">
        <v>81</v>
      </c>
      <c r="BF81" s="3" t="s">
        <v>81</v>
      </c>
      <c r="BG81" s="3" t="s">
        <v>81</v>
      </c>
      <c r="BH81" s="3" t="s">
        <v>81</v>
      </c>
      <c r="BI81" s="3" t="s">
        <v>84</v>
      </c>
      <c r="BJ81" s="3" t="s">
        <v>82</v>
      </c>
      <c r="BK81" s="3" t="s">
        <v>83</v>
      </c>
      <c r="BL81" s="3" t="s">
        <v>84</v>
      </c>
      <c r="BM81" s="3" t="s">
        <v>84</v>
      </c>
      <c r="BN81" s="3" t="s">
        <v>84</v>
      </c>
      <c r="BO81" s="3" t="s">
        <v>82</v>
      </c>
      <c r="BP81" s="3" t="s">
        <v>106</v>
      </c>
      <c r="BQ81" s="3" t="s">
        <v>106</v>
      </c>
      <c r="BR81" s="3" t="s">
        <v>106</v>
      </c>
      <c r="BS81" s="3" t="s">
        <v>106</v>
      </c>
      <c r="BT81" s="3" t="s">
        <v>106</v>
      </c>
      <c r="BU81" s="3" t="s">
        <v>81</v>
      </c>
      <c r="BV81" s="3" t="s">
        <v>82</v>
      </c>
      <c r="BW81" s="3" t="s">
        <v>111</v>
      </c>
      <c r="BX81" s="3" t="s">
        <v>82</v>
      </c>
      <c r="BZ81" s="3" t="s">
        <v>86</v>
      </c>
      <c r="CD81" s="9">
        <v>1</v>
      </c>
      <c r="CE81" s="9">
        <v>3</v>
      </c>
      <c r="CF81" s="9"/>
    </row>
    <row r="82" spans="1:87" ht="13" hidden="1" x14ac:dyDescent="0.15">
      <c r="A82" s="3">
        <v>2625871637</v>
      </c>
      <c r="B82" s="3" t="s">
        <v>233</v>
      </c>
      <c r="C82" s="3" t="s">
        <v>233</v>
      </c>
      <c r="D82" s="3" t="s">
        <v>81</v>
      </c>
      <c r="E82" s="3">
        <v>2</v>
      </c>
      <c r="F82" s="3">
        <v>20.033000000000001</v>
      </c>
      <c r="G82" s="3">
        <v>0</v>
      </c>
      <c r="H82" s="3" t="s">
        <v>81</v>
      </c>
      <c r="I82" s="3" t="s">
        <v>81</v>
      </c>
      <c r="J82" s="3" t="s">
        <v>81</v>
      </c>
      <c r="K82" s="3" t="s">
        <v>81</v>
      </c>
      <c r="L82" s="3" t="s">
        <v>81</v>
      </c>
      <c r="M82" s="3" t="s">
        <v>81</v>
      </c>
      <c r="N82" s="3" t="s">
        <v>81</v>
      </c>
      <c r="O82" s="3" t="s">
        <v>81</v>
      </c>
      <c r="P82" s="3" t="s">
        <v>81</v>
      </c>
      <c r="Q82" s="3" t="s">
        <v>81</v>
      </c>
      <c r="R82" s="3" t="s">
        <v>81</v>
      </c>
      <c r="S82" s="3" t="s">
        <v>81</v>
      </c>
      <c r="T82" s="3" t="s">
        <v>81</v>
      </c>
      <c r="U82" s="3" t="s">
        <v>81</v>
      </c>
      <c r="V82" s="3" t="s">
        <v>81</v>
      </c>
      <c r="W82" s="3" t="s">
        <v>81</v>
      </c>
      <c r="X82" s="3" t="s">
        <v>81</v>
      </c>
      <c r="Y82" s="3" t="s">
        <v>81</v>
      </c>
      <c r="Z82" s="3" t="s">
        <v>81</v>
      </c>
      <c r="AA82" s="3" t="s">
        <v>81</v>
      </c>
      <c r="AB82" s="3" t="s">
        <v>81</v>
      </c>
      <c r="AC82" s="3" t="s">
        <v>81</v>
      </c>
      <c r="AD82" s="3" t="s">
        <v>81</v>
      </c>
      <c r="AE82" s="3" t="s">
        <v>81</v>
      </c>
      <c r="AF82" s="3" t="s">
        <v>81</v>
      </c>
      <c r="AG82" s="3" t="s">
        <v>81</v>
      </c>
      <c r="AH82" s="3" t="s">
        <v>81</v>
      </c>
      <c r="AI82" s="3" t="s">
        <v>81</v>
      </c>
      <c r="AJ82" s="3" t="s">
        <v>81</v>
      </c>
      <c r="AK82" s="3" t="s">
        <v>81</v>
      </c>
      <c r="AL82" s="3" t="s">
        <v>81</v>
      </c>
      <c r="AM82" s="3" t="s">
        <v>81</v>
      </c>
      <c r="AN82" s="3" t="s">
        <v>81</v>
      </c>
      <c r="AO82" s="3" t="s">
        <v>81</v>
      </c>
      <c r="AP82" s="3" t="s">
        <v>81</v>
      </c>
      <c r="AQ82" s="3" t="s">
        <v>81</v>
      </c>
      <c r="AR82" s="3" t="s">
        <v>81</v>
      </c>
      <c r="AS82" s="3" t="s">
        <v>81</v>
      </c>
      <c r="AT82" s="3" t="s">
        <v>81</v>
      </c>
      <c r="AU82" s="3" t="s">
        <v>81</v>
      </c>
      <c r="AV82" s="3" t="s">
        <v>81</v>
      </c>
      <c r="AW82" s="3" t="s">
        <v>81</v>
      </c>
      <c r="AX82" s="3" t="s">
        <v>81</v>
      </c>
      <c r="AY82" s="3" t="s">
        <v>81</v>
      </c>
      <c r="AZ82" s="3" t="s">
        <v>81</v>
      </c>
      <c r="BA82" s="3" t="s">
        <v>81</v>
      </c>
      <c r="BB82" s="3" t="s">
        <v>81</v>
      </c>
      <c r="BC82" s="3" t="s">
        <v>81</v>
      </c>
      <c r="BD82" s="3" t="s">
        <v>81</v>
      </c>
      <c r="BE82" s="3" t="s">
        <v>81</v>
      </c>
      <c r="BF82" s="3" t="s">
        <v>81</v>
      </c>
      <c r="BG82" s="3" t="s">
        <v>81</v>
      </c>
      <c r="BH82" s="3" t="s">
        <v>81</v>
      </c>
      <c r="BI82" s="3" t="s">
        <v>84</v>
      </c>
      <c r="BJ82" s="3" t="s">
        <v>82</v>
      </c>
      <c r="BK82" s="3" t="s">
        <v>83</v>
      </c>
      <c r="BL82" s="3" t="s">
        <v>84</v>
      </c>
      <c r="BM82" s="3" t="s">
        <v>84</v>
      </c>
      <c r="BN82" s="3" t="s">
        <v>83</v>
      </c>
      <c r="BO82" s="3" t="s">
        <v>82</v>
      </c>
      <c r="BP82" s="3" t="s">
        <v>85</v>
      </c>
      <c r="BQ82" s="3" t="s">
        <v>85</v>
      </c>
      <c r="BR82" s="3" t="s">
        <v>85</v>
      </c>
      <c r="BS82" s="3" t="s">
        <v>85</v>
      </c>
      <c r="BT82" s="3" t="s">
        <v>85</v>
      </c>
      <c r="BU82" s="3" t="s">
        <v>81</v>
      </c>
      <c r="BV82" s="3" t="s">
        <v>82</v>
      </c>
      <c r="BW82" s="3" t="s">
        <v>111</v>
      </c>
      <c r="BX82" s="3" t="s">
        <v>82</v>
      </c>
      <c r="BY82" s="3" t="s">
        <v>234</v>
      </c>
      <c r="BZ82" s="3" t="s">
        <v>86</v>
      </c>
      <c r="CD82" s="9">
        <v>1</v>
      </c>
      <c r="CE82" s="9">
        <v>3</v>
      </c>
      <c r="CF82" s="9">
        <v>2</v>
      </c>
      <c r="CI82" s="6"/>
    </row>
    <row r="83" spans="1:87" ht="13" x14ac:dyDescent="0.15">
      <c r="A83" s="3">
        <v>1228157243</v>
      </c>
      <c r="B83" s="3" t="s">
        <v>186</v>
      </c>
      <c r="C83" s="3" t="s">
        <v>186</v>
      </c>
      <c r="D83" s="3">
        <v>2</v>
      </c>
      <c r="E83" s="3">
        <v>2</v>
      </c>
      <c r="F83" s="3">
        <v>13.834</v>
      </c>
      <c r="G83" s="3">
        <v>0</v>
      </c>
      <c r="H83" s="3" t="s">
        <v>81</v>
      </c>
      <c r="I83" s="3" t="s">
        <v>81</v>
      </c>
      <c r="J83" s="3" t="s">
        <v>81</v>
      </c>
      <c r="K83" s="3" t="s">
        <v>81</v>
      </c>
      <c r="L83" s="3" t="s">
        <v>81</v>
      </c>
      <c r="M83" s="3" t="s">
        <v>81</v>
      </c>
      <c r="N83" s="3" t="s">
        <v>81</v>
      </c>
      <c r="O83" s="3" t="s">
        <v>81</v>
      </c>
      <c r="P83" s="3" t="s">
        <v>81</v>
      </c>
      <c r="Q83" s="3">
        <v>14.73</v>
      </c>
      <c r="R83" s="3">
        <v>0</v>
      </c>
      <c r="S83" s="3" t="s">
        <v>81</v>
      </c>
      <c r="T83" s="3" t="s">
        <v>81</v>
      </c>
      <c r="U83" s="3" t="s">
        <v>81</v>
      </c>
      <c r="V83" s="3" t="s">
        <v>81</v>
      </c>
      <c r="W83" s="3" t="s">
        <v>81</v>
      </c>
      <c r="X83" s="3" t="s">
        <v>81</v>
      </c>
      <c r="Y83" s="3" t="s">
        <v>81</v>
      </c>
      <c r="Z83" s="3" t="s">
        <v>81</v>
      </c>
      <c r="AA83" s="3" t="s">
        <v>81</v>
      </c>
      <c r="AB83" s="3" t="s">
        <v>81</v>
      </c>
      <c r="AC83" s="3" t="s">
        <v>81</v>
      </c>
      <c r="AD83" s="3" t="s">
        <v>81</v>
      </c>
      <c r="AE83" s="3" t="s">
        <v>81</v>
      </c>
      <c r="AF83" s="3" t="s">
        <v>81</v>
      </c>
      <c r="AG83" s="3" t="s">
        <v>81</v>
      </c>
      <c r="AH83" s="3" t="s">
        <v>81</v>
      </c>
      <c r="AI83" s="3" t="s">
        <v>81</v>
      </c>
      <c r="AJ83" s="3" t="s">
        <v>81</v>
      </c>
      <c r="AK83" s="3" t="s">
        <v>81</v>
      </c>
      <c r="AL83" s="3" t="s">
        <v>81</v>
      </c>
      <c r="AM83" s="3" t="s">
        <v>81</v>
      </c>
      <c r="AN83" s="3" t="s">
        <v>81</v>
      </c>
      <c r="AO83" s="3" t="s">
        <v>81</v>
      </c>
      <c r="AP83" s="3" t="s">
        <v>81</v>
      </c>
      <c r="AQ83" s="3" t="s">
        <v>81</v>
      </c>
      <c r="AR83" s="3" t="s">
        <v>81</v>
      </c>
      <c r="AS83" s="3" t="s">
        <v>81</v>
      </c>
      <c r="AT83" s="3" t="s">
        <v>81</v>
      </c>
      <c r="AU83" s="3" t="s">
        <v>81</v>
      </c>
      <c r="AV83" s="3" t="s">
        <v>81</v>
      </c>
      <c r="AW83" s="3" t="s">
        <v>81</v>
      </c>
      <c r="AX83" s="3" t="s">
        <v>81</v>
      </c>
      <c r="AY83" s="3" t="s">
        <v>81</v>
      </c>
      <c r="AZ83" s="3" t="s">
        <v>81</v>
      </c>
      <c r="BA83" s="3" t="s">
        <v>81</v>
      </c>
      <c r="BB83" s="3" t="s">
        <v>81</v>
      </c>
      <c r="BC83" s="3" t="s">
        <v>81</v>
      </c>
      <c r="BD83" s="3" t="s">
        <v>81</v>
      </c>
      <c r="BE83" s="3" t="s">
        <v>81</v>
      </c>
      <c r="BF83" s="3" t="s">
        <v>81</v>
      </c>
      <c r="BG83" s="3" t="s">
        <v>81</v>
      </c>
      <c r="BH83" s="3" t="s">
        <v>81</v>
      </c>
      <c r="BI83" s="3" t="s">
        <v>82</v>
      </c>
      <c r="BJ83" s="3" t="s">
        <v>82</v>
      </c>
      <c r="BK83" s="3" t="s">
        <v>83</v>
      </c>
      <c r="BL83" s="3" t="s">
        <v>84</v>
      </c>
      <c r="BM83" s="3" t="s">
        <v>82</v>
      </c>
      <c r="BN83" s="3" t="s">
        <v>84</v>
      </c>
      <c r="BO83" s="3" t="s">
        <v>82</v>
      </c>
      <c r="BP83" s="3" t="s">
        <v>87</v>
      </c>
      <c r="BQ83" s="3" t="s">
        <v>87</v>
      </c>
      <c r="BR83" s="3" t="s">
        <v>85</v>
      </c>
      <c r="BS83" s="3" t="s">
        <v>85</v>
      </c>
      <c r="BT83" s="3" t="s">
        <v>87</v>
      </c>
      <c r="BU83" s="3" t="s">
        <v>85</v>
      </c>
      <c r="BV83" s="3" t="s">
        <v>84</v>
      </c>
      <c r="BW83" s="3" t="s">
        <v>83</v>
      </c>
      <c r="BX83" s="3" t="s">
        <v>82</v>
      </c>
      <c r="BZ83" s="3" t="s">
        <v>93</v>
      </c>
      <c r="CB83" s="3" t="s">
        <v>84</v>
      </c>
      <c r="CD83" s="9">
        <v>2</v>
      </c>
      <c r="CE83" s="9"/>
    </row>
    <row r="84" spans="1:87" ht="13" x14ac:dyDescent="0.15">
      <c r="A84" s="3">
        <v>1847943110</v>
      </c>
      <c r="B84" s="3" t="s">
        <v>186</v>
      </c>
      <c r="C84" s="3" t="s">
        <v>186</v>
      </c>
      <c r="D84" s="3">
        <v>3</v>
      </c>
      <c r="E84" s="3">
        <v>3</v>
      </c>
      <c r="F84" s="3">
        <v>28.835000000000001</v>
      </c>
      <c r="G84" s="3">
        <v>0</v>
      </c>
      <c r="H84" s="3" t="s">
        <v>81</v>
      </c>
      <c r="I84" s="3" t="s">
        <v>81</v>
      </c>
      <c r="J84" s="3" t="s">
        <v>81</v>
      </c>
      <c r="K84" s="3" t="s">
        <v>81</v>
      </c>
      <c r="L84" s="3" t="s">
        <v>81</v>
      </c>
      <c r="M84" s="3" t="s">
        <v>81</v>
      </c>
      <c r="N84" s="3" t="s">
        <v>81</v>
      </c>
      <c r="O84" s="3" t="s">
        <v>81</v>
      </c>
      <c r="P84" s="3" t="s">
        <v>81</v>
      </c>
      <c r="Q84" s="3">
        <v>25.498999999999999</v>
      </c>
      <c r="R84" s="3">
        <v>0</v>
      </c>
      <c r="S84" s="3" t="s">
        <v>81</v>
      </c>
      <c r="T84" s="3" t="s">
        <v>81</v>
      </c>
      <c r="U84" s="3" t="s">
        <v>81</v>
      </c>
      <c r="V84" s="3" t="s">
        <v>81</v>
      </c>
      <c r="W84" s="3" t="s">
        <v>81</v>
      </c>
      <c r="X84" s="3" t="s">
        <v>81</v>
      </c>
      <c r="Y84" s="3" t="s">
        <v>81</v>
      </c>
      <c r="Z84" s="3" t="s">
        <v>81</v>
      </c>
      <c r="AA84" s="3" t="s">
        <v>81</v>
      </c>
      <c r="AB84" s="3" t="s">
        <v>81</v>
      </c>
      <c r="AC84" s="3" t="s">
        <v>81</v>
      </c>
      <c r="AD84" s="3" t="s">
        <v>81</v>
      </c>
      <c r="AE84" s="3" t="s">
        <v>81</v>
      </c>
      <c r="AF84" s="3" t="s">
        <v>81</v>
      </c>
      <c r="AG84" s="3" t="s">
        <v>81</v>
      </c>
      <c r="AH84" s="3" t="s">
        <v>81</v>
      </c>
      <c r="AI84" s="3" t="s">
        <v>81</v>
      </c>
      <c r="AJ84" s="3" t="s">
        <v>81</v>
      </c>
      <c r="AK84" s="3" t="s">
        <v>81</v>
      </c>
      <c r="AL84" s="3" t="s">
        <v>81</v>
      </c>
      <c r="AM84" s="3" t="s">
        <v>81</v>
      </c>
      <c r="AN84" s="3" t="s">
        <v>81</v>
      </c>
      <c r="AO84" s="3" t="s">
        <v>81</v>
      </c>
      <c r="AP84" s="3" t="s">
        <v>81</v>
      </c>
      <c r="AQ84" s="3" t="s">
        <v>81</v>
      </c>
      <c r="AR84" s="3" t="s">
        <v>81</v>
      </c>
      <c r="AS84" s="3" t="s">
        <v>81</v>
      </c>
      <c r="AT84" s="3" t="s">
        <v>81</v>
      </c>
      <c r="AU84" s="3" t="s">
        <v>81</v>
      </c>
      <c r="AV84" s="3" t="s">
        <v>81</v>
      </c>
      <c r="AW84" s="3" t="s">
        <v>81</v>
      </c>
      <c r="AX84" s="3" t="s">
        <v>81</v>
      </c>
      <c r="AY84" s="3" t="s">
        <v>81</v>
      </c>
      <c r="AZ84" s="3" t="s">
        <v>81</v>
      </c>
      <c r="BA84" s="3" t="s">
        <v>81</v>
      </c>
      <c r="BB84" s="3" t="s">
        <v>81</v>
      </c>
      <c r="BC84" s="3" t="s">
        <v>81</v>
      </c>
      <c r="BD84" s="3" t="s">
        <v>81</v>
      </c>
      <c r="BE84" s="3" t="s">
        <v>81</v>
      </c>
      <c r="BF84" s="3" t="s">
        <v>81</v>
      </c>
      <c r="BG84" s="3" t="s">
        <v>81</v>
      </c>
      <c r="BH84" s="3" t="s">
        <v>81</v>
      </c>
      <c r="BI84" s="3" t="s">
        <v>82</v>
      </c>
      <c r="BJ84" s="3" t="s">
        <v>84</v>
      </c>
      <c r="BK84" s="3" t="s">
        <v>84</v>
      </c>
      <c r="BL84" s="3" t="s">
        <v>82</v>
      </c>
      <c r="BM84" s="3" t="s">
        <v>83</v>
      </c>
      <c r="BN84" s="3" t="s">
        <v>83</v>
      </c>
      <c r="BO84" s="3" t="s">
        <v>83</v>
      </c>
      <c r="BP84" s="3" t="s">
        <v>81</v>
      </c>
      <c r="BQ84" s="3" t="s">
        <v>81</v>
      </c>
      <c r="BR84" s="3" t="s">
        <v>81</v>
      </c>
      <c r="BS84" s="3" t="s">
        <v>81</v>
      </c>
      <c r="BT84" s="3" t="s">
        <v>81</v>
      </c>
      <c r="BU84" s="3" t="s">
        <v>81</v>
      </c>
      <c r="BV84" s="3" t="s">
        <v>83</v>
      </c>
      <c r="BW84" s="3"/>
      <c r="BX84" s="3" t="s">
        <v>83</v>
      </c>
      <c r="BY84" s="3" t="s">
        <v>187</v>
      </c>
      <c r="BZ84" s="3" t="s">
        <v>93</v>
      </c>
      <c r="CB84" s="3" t="s">
        <v>84</v>
      </c>
      <c r="CD84" s="9">
        <v>3</v>
      </c>
      <c r="CE84" s="9"/>
    </row>
    <row r="85" spans="1:87" ht="13" hidden="1" x14ac:dyDescent="0.15">
      <c r="A85" s="3">
        <v>1847943675</v>
      </c>
      <c r="B85" s="3" t="s">
        <v>241</v>
      </c>
      <c r="C85" s="3" t="s">
        <v>241</v>
      </c>
      <c r="D85" s="3" t="s">
        <v>81</v>
      </c>
      <c r="E85" s="3">
        <v>15</v>
      </c>
      <c r="F85" s="3">
        <v>48.091000000000001</v>
      </c>
      <c r="G85" s="3">
        <v>0</v>
      </c>
      <c r="H85" s="3" t="s">
        <v>81</v>
      </c>
      <c r="I85" s="3" t="s">
        <v>81</v>
      </c>
      <c r="J85" s="3" t="s">
        <v>81</v>
      </c>
      <c r="K85" s="3" t="s">
        <v>81</v>
      </c>
      <c r="L85" s="3" t="s">
        <v>81</v>
      </c>
      <c r="M85" s="3" t="s">
        <v>81</v>
      </c>
      <c r="N85" s="3" t="s">
        <v>81</v>
      </c>
      <c r="O85" s="3" t="s">
        <v>81</v>
      </c>
      <c r="P85" s="3" t="s">
        <v>81</v>
      </c>
      <c r="Q85" s="3">
        <v>59.83</v>
      </c>
      <c r="R85" s="3">
        <v>0</v>
      </c>
      <c r="S85" s="3" t="s">
        <v>81</v>
      </c>
      <c r="T85" s="3" t="s">
        <v>81</v>
      </c>
      <c r="U85" s="3" t="s">
        <v>81</v>
      </c>
      <c r="V85" s="3" t="s">
        <v>81</v>
      </c>
      <c r="W85" s="3" t="s">
        <v>81</v>
      </c>
      <c r="X85" s="3" t="s">
        <v>81</v>
      </c>
      <c r="Y85" s="3" t="s">
        <v>81</v>
      </c>
      <c r="Z85" s="3" t="s">
        <v>81</v>
      </c>
      <c r="AA85" s="3" t="s">
        <v>81</v>
      </c>
      <c r="AB85" s="3">
        <v>57.826000000000001</v>
      </c>
      <c r="AC85" s="3">
        <v>0</v>
      </c>
      <c r="AD85" s="3" t="s">
        <v>81</v>
      </c>
      <c r="AE85" s="3" t="s">
        <v>81</v>
      </c>
      <c r="AF85" s="3" t="s">
        <v>81</v>
      </c>
      <c r="AG85" s="3" t="s">
        <v>81</v>
      </c>
      <c r="AH85" s="3" t="s">
        <v>81</v>
      </c>
      <c r="AI85" s="3" t="s">
        <v>81</v>
      </c>
      <c r="AJ85" s="3" t="s">
        <v>81</v>
      </c>
      <c r="AK85" s="3" t="s">
        <v>81</v>
      </c>
      <c r="AL85" s="3" t="s">
        <v>81</v>
      </c>
      <c r="AM85" s="3">
        <v>48.491999999999997</v>
      </c>
      <c r="AN85" s="3">
        <v>0</v>
      </c>
      <c r="AO85" s="3" t="s">
        <v>81</v>
      </c>
      <c r="AP85" s="3" t="s">
        <v>81</v>
      </c>
      <c r="AQ85" s="3" t="s">
        <v>81</v>
      </c>
      <c r="AR85" s="3" t="s">
        <v>81</v>
      </c>
      <c r="AS85" s="3" t="s">
        <v>81</v>
      </c>
      <c r="AT85" s="3" t="s">
        <v>81</v>
      </c>
      <c r="AU85" s="3" t="s">
        <v>81</v>
      </c>
      <c r="AV85" s="3" t="s">
        <v>81</v>
      </c>
      <c r="AW85" s="3" t="s">
        <v>81</v>
      </c>
      <c r="AX85" s="3">
        <v>57.360999999999997</v>
      </c>
      <c r="AY85" s="3">
        <v>0</v>
      </c>
      <c r="AZ85" s="3" t="s">
        <v>81</v>
      </c>
      <c r="BA85" s="3" t="s">
        <v>81</v>
      </c>
      <c r="BB85" s="3" t="s">
        <v>81</v>
      </c>
      <c r="BC85" s="3" t="s">
        <v>81</v>
      </c>
      <c r="BD85" s="3" t="s">
        <v>81</v>
      </c>
      <c r="BE85" s="3" t="s">
        <v>81</v>
      </c>
      <c r="BF85" s="3" t="s">
        <v>81</v>
      </c>
      <c r="BG85" s="3" t="s">
        <v>81</v>
      </c>
      <c r="BH85" s="3" t="s">
        <v>81</v>
      </c>
      <c r="BI85" s="3" t="s">
        <v>82</v>
      </c>
      <c r="BJ85" s="3" t="s">
        <v>82</v>
      </c>
      <c r="BK85" s="3" t="s">
        <v>83</v>
      </c>
      <c r="BL85" s="3" t="s">
        <v>84</v>
      </c>
      <c r="BM85" s="3" t="s">
        <v>84</v>
      </c>
      <c r="BN85" s="3" t="s">
        <v>84</v>
      </c>
      <c r="BO85" s="3" t="s">
        <v>84</v>
      </c>
      <c r="BP85" s="3" t="s">
        <v>87</v>
      </c>
      <c r="BQ85" s="3" t="s">
        <v>98</v>
      </c>
      <c r="BR85" s="3" t="s">
        <v>242</v>
      </c>
      <c r="BS85" s="3" t="s">
        <v>243</v>
      </c>
      <c r="BT85" s="3" t="s">
        <v>87</v>
      </c>
      <c r="BU85" s="3" t="s">
        <v>98</v>
      </c>
      <c r="BV85" s="3" t="s">
        <v>84</v>
      </c>
      <c r="BW85" s="3" t="s">
        <v>83</v>
      </c>
      <c r="BX85" s="3" t="s">
        <v>82</v>
      </c>
      <c r="BY85" s="3" t="s">
        <v>244</v>
      </c>
      <c r="BZ85" s="3" t="s">
        <v>93</v>
      </c>
      <c r="CA85" s="3"/>
      <c r="CB85" s="3"/>
      <c r="CC85" s="3"/>
      <c r="CD85" s="9">
        <v>14</v>
      </c>
      <c r="CE85" s="3"/>
      <c r="CF85" s="6"/>
      <c r="CG85" s="6"/>
      <c r="CH85" s="6"/>
    </row>
    <row r="86" spans="1:87" ht="13" hidden="1" x14ac:dyDescent="0.15">
      <c r="A86" s="3">
        <v>1318696369</v>
      </c>
      <c r="B86" s="3" t="s">
        <v>241</v>
      </c>
      <c r="C86" s="3" t="s">
        <v>241</v>
      </c>
      <c r="D86" s="3">
        <v>16</v>
      </c>
      <c r="E86" s="3">
        <v>24</v>
      </c>
      <c r="F86" s="3">
        <v>128.09899999999999</v>
      </c>
      <c r="G86" s="3">
        <v>0</v>
      </c>
      <c r="H86" s="3" t="s">
        <v>81</v>
      </c>
      <c r="I86" s="3" t="s">
        <v>81</v>
      </c>
      <c r="J86" s="3" t="s">
        <v>81</v>
      </c>
      <c r="K86" s="3" t="s">
        <v>81</v>
      </c>
      <c r="L86" s="3" t="s">
        <v>81</v>
      </c>
      <c r="M86" s="3" t="s">
        <v>81</v>
      </c>
      <c r="N86" s="3" t="s">
        <v>81</v>
      </c>
      <c r="O86" s="3" t="s">
        <v>81</v>
      </c>
      <c r="P86" s="3" t="s">
        <v>81</v>
      </c>
      <c r="Q86" s="3">
        <v>124.23699999999999</v>
      </c>
      <c r="R86" s="3">
        <v>0</v>
      </c>
      <c r="S86" s="3" t="s">
        <v>81</v>
      </c>
      <c r="T86" s="3" t="s">
        <v>81</v>
      </c>
      <c r="U86" s="3" t="s">
        <v>81</v>
      </c>
      <c r="V86" s="3" t="s">
        <v>81</v>
      </c>
      <c r="W86" s="3" t="s">
        <v>81</v>
      </c>
      <c r="X86" s="3" t="s">
        <v>81</v>
      </c>
      <c r="Y86" s="3" t="s">
        <v>81</v>
      </c>
      <c r="Z86" s="3" t="s">
        <v>81</v>
      </c>
      <c r="AA86" s="3" t="s">
        <v>81</v>
      </c>
      <c r="AB86" s="3">
        <v>134.07599999999999</v>
      </c>
      <c r="AC86" s="3">
        <v>0</v>
      </c>
      <c r="AD86" s="3" t="s">
        <v>81</v>
      </c>
      <c r="AE86" s="3" t="s">
        <v>81</v>
      </c>
      <c r="AF86" s="3" t="s">
        <v>81</v>
      </c>
      <c r="AG86" s="3" t="s">
        <v>81</v>
      </c>
      <c r="AH86" s="3" t="s">
        <v>81</v>
      </c>
      <c r="AI86" s="3" t="s">
        <v>81</v>
      </c>
      <c r="AJ86" s="3" t="s">
        <v>81</v>
      </c>
      <c r="AK86" s="3" t="s">
        <v>81</v>
      </c>
      <c r="AL86" s="3" t="s">
        <v>81</v>
      </c>
      <c r="AM86" s="3">
        <v>128.26599999999999</v>
      </c>
      <c r="AN86" s="3">
        <v>0</v>
      </c>
      <c r="AO86" s="3" t="s">
        <v>81</v>
      </c>
      <c r="AP86" s="3" t="s">
        <v>81</v>
      </c>
      <c r="AQ86" s="3" t="s">
        <v>81</v>
      </c>
      <c r="AR86" s="3" t="s">
        <v>81</v>
      </c>
      <c r="AS86" s="3" t="s">
        <v>81</v>
      </c>
      <c r="AT86" s="3" t="s">
        <v>81</v>
      </c>
      <c r="AU86" s="3" t="s">
        <v>81</v>
      </c>
      <c r="AV86" s="3" t="s">
        <v>81</v>
      </c>
      <c r="AW86" s="3" t="s">
        <v>81</v>
      </c>
      <c r="AX86" s="3">
        <v>144.92699999999999</v>
      </c>
      <c r="AY86" s="3">
        <v>0</v>
      </c>
      <c r="AZ86" s="3" t="s">
        <v>81</v>
      </c>
      <c r="BA86" s="3" t="s">
        <v>81</v>
      </c>
      <c r="BB86" s="3" t="s">
        <v>81</v>
      </c>
      <c r="BC86" s="3" t="s">
        <v>81</v>
      </c>
      <c r="BD86" s="3" t="s">
        <v>81</v>
      </c>
      <c r="BE86" s="3" t="s">
        <v>81</v>
      </c>
      <c r="BF86" s="3" t="s">
        <v>81</v>
      </c>
      <c r="BG86" s="3" t="s">
        <v>81</v>
      </c>
      <c r="BH86" s="3" t="s">
        <v>81</v>
      </c>
      <c r="BI86" s="3" t="s">
        <v>84</v>
      </c>
      <c r="BJ86" s="3" t="s">
        <v>82</v>
      </c>
      <c r="BK86" s="3" t="s">
        <v>83</v>
      </c>
      <c r="BL86" s="3" t="s">
        <v>84</v>
      </c>
      <c r="BM86" s="3" t="s">
        <v>84</v>
      </c>
      <c r="BN86" s="3" t="s">
        <v>84</v>
      </c>
      <c r="BO86" s="3" t="s">
        <v>82</v>
      </c>
      <c r="BP86" s="3" t="s">
        <v>188</v>
      </c>
      <c r="BQ86" s="3" t="s">
        <v>188</v>
      </c>
      <c r="BR86" s="3" t="s">
        <v>85</v>
      </c>
      <c r="BS86" s="3" t="s">
        <v>85</v>
      </c>
      <c r="BT86" s="3" t="s">
        <v>85</v>
      </c>
      <c r="BU86" s="3" t="s">
        <v>87</v>
      </c>
      <c r="BV86" s="3" t="s">
        <v>82</v>
      </c>
      <c r="BW86" s="3" t="s">
        <v>91</v>
      </c>
      <c r="BX86" s="3" t="s">
        <v>82</v>
      </c>
      <c r="BY86" s="3" t="s">
        <v>245</v>
      </c>
      <c r="BZ86" s="3" t="s">
        <v>86</v>
      </c>
      <c r="CD86" s="9">
        <v>26</v>
      </c>
    </row>
    <row r="87" spans="1:87" ht="13" hidden="1" x14ac:dyDescent="0.15">
      <c r="A87" s="3">
        <v>2643357721</v>
      </c>
      <c r="B87" s="3" t="s">
        <v>241</v>
      </c>
      <c r="C87" s="3" t="s">
        <v>241</v>
      </c>
      <c r="D87" s="3">
        <v>9</v>
      </c>
      <c r="E87" s="3">
        <v>14</v>
      </c>
      <c r="F87" s="3">
        <v>83.183000000000007</v>
      </c>
      <c r="G87" s="3">
        <v>0</v>
      </c>
      <c r="H87" s="3" t="s">
        <v>81</v>
      </c>
      <c r="I87" s="3" t="s">
        <v>81</v>
      </c>
      <c r="J87" s="3" t="s">
        <v>81</v>
      </c>
      <c r="K87" s="3" t="s">
        <v>81</v>
      </c>
      <c r="L87" s="3" t="s">
        <v>81</v>
      </c>
      <c r="M87" s="3" t="s">
        <v>81</v>
      </c>
      <c r="N87" s="3" t="s">
        <v>81</v>
      </c>
      <c r="O87" s="3" t="s">
        <v>81</v>
      </c>
      <c r="P87" s="3" t="s">
        <v>81</v>
      </c>
      <c r="Q87" s="3">
        <v>94.671999999999997</v>
      </c>
      <c r="R87" s="3">
        <v>0</v>
      </c>
      <c r="S87" s="3" t="s">
        <v>81</v>
      </c>
      <c r="T87" s="3" t="s">
        <v>81</v>
      </c>
      <c r="U87" s="3" t="s">
        <v>81</v>
      </c>
      <c r="V87" s="3" t="s">
        <v>81</v>
      </c>
      <c r="W87" s="3" t="s">
        <v>81</v>
      </c>
      <c r="X87" s="3" t="s">
        <v>81</v>
      </c>
      <c r="Y87" s="3" t="s">
        <v>81</v>
      </c>
      <c r="Z87" s="3" t="s">
        <v>81</v>
      </c>
      <c r="AA87" s="3" t="s">
        <v>81</v>
      </c>
      <c r="AB87" s="3">
        <v>91.123000000000005</v>
      </c>
      <c r="AC87" s="3">
        <v>0</v>
      </c>
      <c r="AD87" s="3" t="s">
        <v>81</v>
      </c>
      <c r="AE87" s="3" t="s">
        <v>81</v>
      </c>
      <c r="AF87" s="3" t="s">
        <v>81</v>
      </c>
      <c r="AG87" s="3" t="s">
        <v>81</v>
      </c>
      <c r="AH87" s="3" t="s">
        <v>81</v>
      </c>
      <c r="AI87" s="3" t="s">
        <v>81</v>
      </c>
      <c r="AJ87" s="3" t="s">
        <v>81</v>
      </c>
      <c r="AK87" s="3" t="s">
        <v>81</v>
      </c>
      <c r="AL87" s="3" t="s">
        <v>81</v>
      </c>
      <c r="AM87" s="3">
        <v>85.77</v>
      </c>
      <c r="AN87" s="3">
        <v>0</v>
      </c>
      <c r="AO87" s="3" t="s">
        <v>81</v>
      </c>
      <c r="AP87" s="3" t="s">
        <v>81</v>
      </c>
      <c r="AQ87" s="3" t="s">
        <v>81</v>
      </c>
      <c r="AR87" s="3" t="s">
        <v>81</v>
      </c>
      <c r="AS87" s="3" t="s">
        <v>81</v>
      </c>
      <c r="AT87" s="3" t="s">
        <v>81</v>
      </c>
      <c r="AU87" s="3" t="s">
        <v>81</v>
      </c>
      <c r="AV87" s="3" t="s">
        <v>81</v>
      </c>
      <c r="AW87" s="3" t="s">
        <v>81</v>
      </c>
      <c r="AX87" s="3">
        <v>99.816000000000003</v>
      </c>
      <c r="AY87" s="3">
        <v>0</v>
      </c>
      <c r="AZ87" s="3" t="s">
        <v>81</v>
      </c>
      <c r="BA87" s="3" t="s">
        <v>81</v>
      </c>
      <c r="BB87" s="3" t="s">
        <v>81</v>
      </c>
      <c r="BC87" s="3" t="s">
        <v>81</v>
      </c>
      <c r="BD87" s="3" t="s">
        <v>81</v>
      </c>
      <c r="BE87" s="3" t="s">
        <v>81</v>
      </c>
      <c r="BF87" s="3" t="s">
        <v>81</v>
      </c>
      <c r="BG87" s="3" t="s">
        <v>81</v>
      </c>
      <c r="BH87" s="3" t="s">
        <v>81</v>
      </c>
      <c r="BI87" s="3" t="s">
        <v>84</v>
      </c>
      <c r="BJ87" s="3" t="s">
        <v>82</v>
      </c>
      <c r="BK87" s="3" t="s">
        <v>83</v>
      </c>
      <c r="BL87" s="3" t="s">
        <v>84</v>
      </c>
      <c r="BM87" s="3" t="s">
        <v>84</v>
      </c>
      <c r="BN87" s="3" t="s">
        <v>84</v>
      </c>
      <c r="BO87" s="3" t="s">
        <v>82</v>
      </c>
      <c r="BP87" s="3" t="s">
        <v>87</v>
      </c>
      <c r="BQ87" s="3" t="s">
        <v>87</v>
      </c>
      <c r="BR87" s="3" t="s">
        <v>120</v>
      </c>
      <c r="BS87" s="3" t="s">
        <v>120</v>
      </c>
      <c r="BT87" s="3" t="s">
        <v>87</v>
      </c>
      <c r="BU87" s="3" t="s">
        <v>81</v>
      </c>
      <c r="BV87" s="3" t="s">
        <v>82</v>
      </c>
      <c r="BW87" s="3" t="s">
        <v>91</v>
      </c>
      <c r="BX87" s="3" t="s">
        <v>82</v>
      </c>
      <c r="BZ87" s="3" t="s">
        <v>86</v>
      </c>
      <c r="CD87" s="9">
        <v>14</v>
      </c>
    </row>
    <row r="88" spans="1:87" ht="13" hidden="1" x14ac:dyDescent="0.15">
      <c r="A88" s="3">
        <v>1228494828</v>
      </c>
      <c r="B88" s="3" t="s">
        <v>246</v>
      </c>
      <c r="C88" s="3" t="s">
        <v>246</v>
      </c>
      <c r="D88" s="3" t="s">
        <v>81</v>
      </c>
      <c r="E88" s="3">
        <v>42</v>
      </c>
      <c r="F88" s="3">
        <v>26.154</v>
      </c>
      <c r="G88" s="3">
        <v>0</v>
      </c>
      <c r="H88" s="3" t="s">
        <v>81</v>
      </c>
      <c r="I88" s="3" t="s">
        <v>81</v>
      </c>
      <c r="J88" s="3" t="s">
        <v>81</v>
      </c>
      <c r="K88" s="3" t="s">
        <v>81</v>
      </c>
      <c r="L88" s="3" t="s">
        <v>81</v>
      </c>
      <c r="M88" s="3" t="s">
        <v>81</v>
      </c>
      <c r="N88" s="3" t="s">
        <v>81</v>
      </c>
      <c r="O88" s="3" t="s">
        <v>81</v>
      </c>
      <c r="P88" s="3" t="s">
        <v>81</v>
      </c>
      <c r="Q88" s="3">
        <v>22.425000000000001</v>
      </c>
      <c r="R88" s="3">
        <v>0</v>
      </c>
      <c r="S88" s="3" t="s">
        <v>81</v>
      </c>
      <c r="T88" s="3" t="s">
        <v>81</v>
      </c>
      <c r="U88" s="3" t="s">
        <v>81</v>
      </c>
      <c r="V88" s="3" t="s">
        <v>81</v>
      </c>
      <c r="W88" s="3" t="s">
        <v>81</v>
      </c>
      <c r="X88" s="3" t="s">
        <v>81</v>
      </c>
      <c r="Y88" s="3" t="s">
        <v>81</v>
      </c>
      <c r="Z88" s="3" t="s">
        <v>81</v>
      </c>
      <c r="AA88" s="3" t="s">
        <v>81</v>
      </c>
      <c r="AB88" s="3">
        <v>22.867000000000001</v>
      </c>
      <c r="AC88" s="3">
        <v>0</v>
      </c>
      <c r="AD88" s="3" t="s">
        <v>81</v>
      </c>
      <c r="AE88" s="3" t="s">
        <v>81</v>
      </c>
      <c r="AF88" s="3" t="s">
        <v>81</v>
      </c>
      <c r="AG88" s="3" t="s">
        <v>81</v>
      </c>
      <c r="AH88" s="3" t="s">
        <v>81</v>
      </c>
      <c r="AI88" s="3" t="s">
        <v>81</v>
      </c>
      <c r="AJ88" s="3" t="s">
        <v>81</v>
      </c>
      <c r="AK88" s="3" t="s">
        <v>81</v>
      </c>
      <c r="AL88" s="3" t="s">
        <v>81</v>
      </c>
      <c r="AM88" s="3">
        <v>24.757999999999999</v>
      </c>
      <c r="AN88" s="3">
        <v>0</v>
      </c>
      <c r="AO88" s="3" t="s">
        <v>81</v>
      </c>
      <c r="AP88" s="3" t="s">
        <v>81</v>
      </c>
      <c r="AQ88" s="3" t="s">
        <v>81</v>
      </c>
      <c r="AR88" s="3" t="s">
        <v>81</v>
      </c>
      <c r="AS88" s="3" t="s">
        <v>81</v>
      </c>
      <c r="AT88" s="3" t="s">
        <v>81</v>
      </c>
      <c r="AU88" s="3" t="s">
        <v>81</v>
      </c>
      <c r="AV88" s="3" t="s">
        <v>81</v>
      </c>
      <c r="AW88" s="3" t="s">
        <v>81</v>
      </c>
      <c r="AX88" s="3">
        <v>25.794</v>
      </c>
      <c r="AY88" s="3">
        <v>0</v>
      </c>
      <c r="AZ88" s="3" t="s">
        <v>81</v>
      </c>
      <c r="BA88" s="3" t="s">
        <v>81</v>
      </c>
      <c r="BB88" s="3" t="s">
        <v>81</v>
      </c>
      <c r="BC88" s="3" t="s">
        <v>81</v>
      </c>
      <c r="BD88" s="3" t="s">
        <v>81</v>
      </c>
      <c r="BE88" s="3" t="s">
        <v>81</v>
      </c>
      <c r="BF88" s="3" t="s">
        <v>81</v>
      </c>
      <c r="BG88" s="3" t="s">
        <v>81</v>
      </c>
      <c r="BH88" s="3" t="s">
        <v>81</v>
      </c>
      <c r="BI88" s="3" t="s">
        <v>82</v>
      </c>
      <c r="BJ88" s="3" t="s">
        <v>82</v>
      </c>
      <c r="BK88" s="3" t="s">
        <v>83</v>
      </c>
      <c r="BL88" s="3" t="s">
        <v>84</v>
      </c>
      <c r="BM88" s="3" t="s">
        <v>84</v>
      </c>
      <c r="BN88" s="3" t="s">
        <v>84</v>
      </c>
      <c r="BO88" s="3" t="s">
        <v>82</v>
      </c>
      <c r="BP88" s="3" t="s">
        <v>87</v>
      </c>
      <c r="BQ88" s="3" t="s">
        <v>87</v>
      </c>
      <c r="BR88" s="3" t="s">
        <v>87</v>
      </c>
      <c r="BS88" s="3" t="s">
        <v>87</v>
      </c>
      <c r="BT88" s="3" t="s">
        <v>87</v>
      </c>
      <c r="BU88" s="3" t="s">
        <v>81</v>
      </c>
      <c r="BV88" s="3" t="s">
        <v>84</v>
      </c>
      <c r="BW88" s="3" t="s">
        <v>83</v>
      </c>
      <c r="BX88" s="3" t="s">
        <v>82</v>
      </c>
      <c r="BY88" s="3" t="s">
        <v>159</v>
      </c>
      <c r="BZ88" s="3" t="s">
        <v>93</v>
      </c>
      <c r="CA88" s="3"/>
      <c r="CB88" s="3"/>
      <c r="CC88" s="3"/>
      <c r="CD88" s="9">
        <v>42</v>
      </c>
      <c r="CE88" s="3"/>
      <c r="CF88" s="6"/>
      <c r="CG88" s="6">
        <v>40</v>
      </c>
      <c r="CH88" s="6"/>
    </row>
    <row r="89" spans="1:87" ht="13" hidden="1" x14ac:dyDescent="0.15">
      <c r="A89" s="3">
        <v>2625831920</v>
      </c>
      <c r="B89" s="3" t="s">
        <v>246</v>
      </c>
      <c r="C89" s="3" t="s">
        <v>246</v>
      </c>
      <c r="D89" s="3" t="s">
        <v>81</v>
      </c>
      <c r="E89" s="3">
        <v>22</v>
      </c>
      <c r="F89" s="3">
        <v>26.056000000000001</v>
      </c>
      <c r="G89" s="3">
        <v>0</v>
      </c>
      <c r="H89" s="3" t="s">
        <v>81</v>
      </c>
      <c r="I89" s="3" t="s">
        <v>81</v>
      </c>
      <c r="J89" s="3" t="s">
        <v>81</v>
      </c>
      <c r="K89" s="3" t="s">
        <v>81</v>
      </c>
      <c r="L89" s="3" t="s">
        <v>81</v>
      </c>
      <c r="M89" s="3" t="s">
        <v>81</v>
      </c>
      <c r="N89" s="3" t="s">
        <v>81</v>
      </c>
      <c r="O89" s="3" t="s">
        <v>81</v>
      </c>
      <c r="P89" s="3" t="s">
        <v>81</v>
      </c>
      <c r="Q89" s="3">
        <v>18.353000000000002</v>
      </c>
      <c r="R89" s="3">
        <v>0</v>
      </c>
      <c r="S89" s="3" t="s">
        <v>81</v>
      </c>
      <c r="T89" s="3" t="s">
        <v>81</v>
      </c>
      <c r="U89" s="3" t="s">
        <v>81</v>
      </c>
      <c r="V89" s="3" t="s">
        <v>81</v>
      </c>
      <c r="W89" s="3" t="s">
        <v>81</v>
      </c>
      <c r="X89" s="3" t="s">
        <v>81</v>
      </c>
      <c r="Y89" s="3" t="s">
        <v>81</v>
      </c>
      <c r="Z89" s="3" t="s">
        <v>81</v>
      </c>
      <c r="AA89" s="3" t="s">
        <v>81</v>
      </c>
      <c r="AB89" s="3">
        <v>22.594000000000001</v>
      </c>
      <c r="AC89" s="3">
        <v>0</v>
      </c>
      <c r="AD89" s="3" t="s">
        <v>81</v>
      </c>
      <c r="AE89" s="3" t="s">
        <v>81</v>
      </c>
      <c r="AF89" s="3" t="s">
        <v>81</v>
      </c>
      <c r="AG89" s="3" t="s">
        <v>81</v>
      </c>
      <c r="AH89" s="3" t="s">
        <v>81</v>
      </c>
      <c r="AI89" s="3" t="s">
        <v>81</v>
      </c>
      <c r="AJ89" s="3" t="s">
        <v>81</v>
      </c>
      <c r="AK89" s="3" t="s">
        <v>81</v>
      </c>
      <c r="AL89" s="3" t="s">
        <v>81</v>
      </c>
      <c r="AM89" s="3">
        <v>19.8</v>
      </c>
      <c r="AN89" s="3">
        <v>0</v>
      </c>
      <c r="AO89" s="3" t="s">
        <v>81</v>
      </c>
      <c r="AP89" s="3" t="s">
        <v>81</v>
      </c>
      <c r="AQ89" s="3" t="s">
        <v>81</v>
      </c>
      <c r="AR89" s="3" t="s">
        <v>81</v>
      </c>
      <c r="AS89" s="3" t="s">
        <v>81</v>
      </c>
      <c r="AT89" s="3" t="s">
        <v>81</v>
      </c>
      <c r="AU89" s="3" t="s">
        <v>81</v>
      </c>
      <c r="AV89" s="3" t="s">
        <v>81</v>
      </c>
      <c r="AW89" s="3" t="s">
        <v>81</v>
      </c>
      <c r="AX89" s="3">
        <v>19.300999999999998</v>
      </c>
      <c r="AY89" s="3">
        <v>0</v>
      </c>
      <c r="AZ89" s="3" t="s">
        <v>81</v>
      </c>
      <c r="BA89" s="3" t="s">
        <v>81</v>
      </c>
      <c r="BB89" s="3" t="s">
        <v>81</v>
      </c>
      <c r="BC89" s="3" t="s">
        <v>81</v>
      </c>
      <c r="BD89" s="3" t="s">
        <v>81</v>
      </c>
      <c r="BE89" s="3" t="s">
        <v>81</v>
      </c>
      <c r="BF89" s="3" t="s">
        <v>81</v>
      </c>
      <c r="BG89" s="3" t="s">
        <v>81</v>
      </c>
      <c r="BH89" s="3" t="s">
        <v>81</v>
      </c>
      <c r="BI89" s="3" t="s">
        <v>84</v>
      </c>
      <c r="BJ89" s="3" t="s">
        <v>82</v>
      </c>
      <c r="BK89" s="3" t="s">
        <v>83</v>
      </c>
      <c r="BL89" s="3" t="s">
        <v>84</v>
      </c>
      <c r="BM89" s="3" t="s">
        <v>84</v>
      </c>
      <c r="BN89" s="3" t="s">
        <v>84</v>
      </c>
      <c r="BO89" s="3" t="s">
        <v>82</v>
      </c>
      <c r="BP89" s="3" t="s">
        <v>87</v>
      </c>
      <c r="BQ89" s="3" t="s">
        <v>87</v>
      </c>
      <c r="BR89" s="3" t="s">
        <v>87</v>
      </c>
      <c r="BS89" s="3" t="s">
        <v>87</v>
      </c>
      <c r="BT89" s="3" t="s">
        <v>87</v>
      </c>
      <c r="BU89" s="3" t="s">
        <v>81</v>
      </c>
      <c r="BV89" s="3" t="s">
        <v>84</v>
      </c>
      <c r="BW89" s="3" t="s">
        <v>83</v>
      </c>
      <c r="BX89" s="3" t="s">
        <v>82</v>
      </c>
      <c r="BY89" s="3" t="s">
        <v>247</v>
      </c>
      <c r="BZ89" s="3" t="s">
        <v>86</v>
      </c>
      <c r="CD89" s="9">
        <v>21</v>
      </c>
    </row>
    <row r="90" spans="1:87" ht="13" hidden="1" x14ac:dyDescent="0.15">
      <c r="A90" s="3">
        <v>2643313476</v>
      </c>
      <c r="B90" s="3" t="s">
        <v>246</v>
      </c>
      <c r="C90" s="3" t="s">
        <v>246</v>
      </c>
      <c r="D90" s="3" t="s">
        <v>81</v>
      </c>
      <c r="E90" s="3">
        <v>10</v>
      </c>
      <c r="F90" s="3">
        <v>18.876000000000001</v>
      </c>
      <c r="G90" s="3">
        <v>0</v>
      </c>
      <c r="H90" s="3" t="s">
        <v>81</v>
      </c>
      <c r="I90" s="3" t="s">
        <v>81</v>
      </c>
      <c r="J90" s="3" t="s">
        <v>81</v>
      </c>
      <c r="K90" s="3" t="s">
        <v>81</v>
      </c>
      <c r="L90" s="3" t="s">
        <v>81</v>
      </c>
      <c r="M90" s="3" t="s">
        <v>81</v>
      </c>
      <c r="N90" s="3" t="s">
        <v>81</v>
      </c>
      <c r="O90" s="3" t="s">
        <v>81</v>
      </c>
      <c r="P90" s="3" t="s">
        <v>81</v>
      </c>
      <c r="Q90" s="3">
        <v>19.683</v>
      </c>
      <c r="R90" s="3">
        <v>0</v>
      </c>
      <c r="S90" s="3" t="s">
        <v>81</v>
      </c>
      <c r="T90" s="3" t="s">
        <v>81</v>
      </c>
      <c r="U90" s="3" t="s">
        <v>81</v>
      </c>
      <c r="V90" s="3" t="s">
        <v>81</v>
      </c>
      <c r="W90" s="3" t="s">
        <v>81</v>
      </c>
      <c r="X90" s="3" t="s">
        <v>81</v>
      </c>
      <c r="Y90" s="3" t="s">
        <v>81</v>
      </c>
      <c r="Z90" s="3" t="s">
        <v>81</v>
      </c>
      <c r="AA90" s="3" t="s">
        <v>81</v>
      </c>
      <c r="AB90" s="3">
        <v>22.225999999999999</v>
      </c>
      <c r="AC90" s="3">
        <v>0</v>
      </c>
      <c r="AD90" s="3" t="s">
        <v>81</v>
      </c>
      <c r="AE90" s="3" t="s">
        <v>81</v>
      </c>
      <c r="AF90" s="3" t="s">
        <v>81</v>
      </c>
      <c r="AG90" s="3" t="s">
        <v>81</v>
      </c>
      <c r="AH90" s="3" t="s">
        <v>81</v>
      </c>
      <c r="AI90" s="3" t="s">
        <v>81</v>
      </c>
      <c r="AJ90" s="3" t="s">
        <v>81</v>
      </c>
      <c r="AK90" s="3" t="s">
        <v>81</v>
      </c>
      <c r="AL90" s="3" t="s">
        <v>81</v>
      </c>
      <c r="AM90" s="3">
        <v>18.486999999999998</v>
      </c>
      <c r="AN90" s="3">
        <v>0</v>
      </c>
      <c r="AO90" s="3" t="s">
        <v>81</v>
      </c>
      <c r="AP90" s="3" t="s">
        <v>81</v>
      </c>
      <c r="AQ90" s="3" t="s">
        <v>81</v>
      </c>
      <c r="AR90" s="3" t="s">
        <v>81</v>
      </c>
      <c r="AS90" s="3" t="s">
        <v>81</v>
      </c>
      <c r="AT90" s="3" t="s">
        <v>81</v>
      </c>
      <c r="AU90" s="3" t="s">
        <v>81</v>
      </c>
      <c r="AV90" s="3" t="s">
        <v>81</v>
      </c>
      <c r="AW90" s="3" t="s">
        <v>81</v>
      </c>
      <c r="AX90" s="3">
        <v>21.029</v>
      </c>
      <c r="AY90" s="3">
        <v>0</v>
      </c>
      <c r="AZ90" s="3" t="s">
        <v>81</v>
      </c>
      <c r="BA90" s="3" t="s">
        <v>81</v>
      </c>
      <c r="BB90" s="3" t="s">
        <v>81</v>
      </c>
      <c r="BC90" s="3" t="s">
        <v>81</v>
      </c>
      <c r="BD90" s="3" t="s">
        <v>81</v>
      </c>
      <c r="BE90" s="3" t="s">
        <v>81</v>
      </c>
      <c r="BF90" s="3" t="s">
        <v>81</v>
      </c>
      <c r="BG90" s="3" t="s">
        <v>81</v>
      </c>
      <c r="BH90" s="3" t="s">
        <v>81</v>
      </c>
      <c r="BI90" s="3" t="s">
        <v>84</v>
      </c>
      <c r="BJ90" s="3" t="s">
        <v>82</v>
      </c>
      <c r="BK90" s="3" t="s">
        <v>83</v>
      </c>
      <c r="BL90" s="3" t="s">
        <v>84</v>
      </c>
      <c r="BM90" s="3" t="s">
        <v>84</v>
      </c>
      <c r="BN90" s="3" t="s">
        <v>84</v>
      </c>
      <c r="BO90" s="3" t="s">
        <v>82</v>
      </c>
      <c r="BP90" s="3" t="s">
        <v>248</v>
      </c>
      <c r="BQ90" s="3" t="s">
        <v>249</v>
      </c>
      <c r="BR90" s="3" t="s">
        <v>249</v>
      </c>
      <c r="BS90" s="3" t="s">
        <v>249</v>
      </c>
      <c r="BT90" s="3" t="s">
        <v>98</v>
      </c>
      <c r="BU90" s="3" t="s">
        <v>81</v>
      </c>
      <c r="BV90" s="3" t="s">
        <v>84</v>
      </c>
      <c r="BW90" s="3" t="s">
        <v>83</v>
      </c>
      <c r="BX90" s="3" t="s">
        <v>82</v>
      </c>
      <c r="BY90" s="3" t="s">
        <v>247</v>
      </c>
      <c r="BZ90" s="3" t="s">
        <v>86</v>
      </c>
      <c r="CD90" s="9">
        <v>10</v>
      </c>
    </row>
    <row r="91" spans="1:87" ht="13" x14ac:dyDescent="0.15">
      <c r="A91" s="3">
        <v>1847944639</v>
      </c>
      <c r="B91" s="3" t="s">
        <v>186</v>
      </c>
      <c r="C91" s="3" t="s">
        <v>186</v>
      </c>
      <c r="D91" s="3" t="s">
        <v>81</v>
      </c>
      <c r="E91" s="3">
        <v>2</v>
      </c>
      <c r="F91" s="3">
        <v>46.459000000000003</v>
      </c>
      <c r="G91" s="3">
        <v>0</v>
      </c>
      <c r="H91" s="3" t="s">
        <v>81</v>
      </c>
      <c r="I91" s="3" t="s">
        <v>81</v>
      </c>
      <c r="J91" s="3" t="s">
        <v>81</v>
      </c>
      <c r="K91" s="3" t="s">
        <v>81</v>
      </c>
      <c r="L91" s="3" t="s">
        <v>81</v>
      </c>
      <c r="M91" s="3" t="s">
        <v>81</v>
      </c>
      <c r="N91" s="3" t="s">
        <v>81</v>
      </c>
      <c r="O91" s="3" t="s">
        <v>81</v>
      </c>
      <c r="P91" s="3" t="s">
        <v>81</v>
      </c>
      <c r="Q91" s="3">
        <v>42.127000000000002</v>
      </c>
      <c r="R91" s="3">
        <v>0</v>
      </c>
      <c r="S91" s="3" t="s">
        <v>81</v>
      </c>
      <c r="T91" s="3" t="s">
        <v>81</v>
      </c>
      <c r="U91" s="3" t="s">
        <v>81</v>
      </c>
      <c r="V91" s="3" t="s">
        <v>81</v>
      </c>
      <c r="W91" s="3" t="s">
        <v>81</v>
      </c>
      <c r="X91" s="3" t="s">
        <v>81</v>
      </c>
      <c r="Y91" s="3" t="s">
        <v>81</v>
      </c>
      <c r="Z91" s="3" t="s">
        <v>81</v>
      </c>
      <c r="AA91" s="3" t="s">
        <v>81</v>
      </c>
      <c r="AB91" s="3" t="s">
        <v>81</v>
      </c>
      <c r="AC91" s="3" t="s">
        <v>81</v>
      </c>
      <c r="AD91" s="3" t="s">
        <v>81</v>
      </c>
      <c r="AE91" s="3" t="s">
        <v>81</v>
      </c>
      <c r="AF91" s="3" t="s">
        <v>81</v>
      </c>
      <c r="AG91" s="3" t="s">
        <v>81</v>
      </c>
      <c r="AH91" s="3" t="s">
        <v>81</v>
      </c>
      <c r="AI91" s="3" t="s">
        <v>81</v>
      </c>
      <c r="AJ91" s="3" t="s">
        <v>81</v>
      </c>
      <c r="AK91" s="3" t="s">
        <v>81</v>
      </c>
      <c r="AL91" s="3" t="s">
        <v>81</v>
      </c>
      <c r="AM91" s="3" t="s">
        <v>81</v>
      </c>
      <c r="AN91" s="3" t="s">
        <v>81</v>
      </c>
      <c r="AO91" s="3" t="s">
        <v>81</v>
      </c>
      <c r="AP91" s="3" t="s">
        <v>81</v>
      </c>
      <c r="AQ91" s="3" t="s">
        <v>81</v>
      </c>
      <c r="AR91" s="3" t="s">
        <v>81</v>
      </c>
      <c r="AS91" s="3" t="s">
        <v>81</v>
      </c>
      <c r="AT91" s="3" t="s">
        <v>81</v>
      </c>
      <c r="AU91" s="3" t="s">
        <v>81</v>
      </c>
      <c r="AV91" s="3" t="s">
        <v>81</v>
      </c>
      <c r="AW91" s="3" t="s">
        <v>81</v>
      </c>
      <c r="AX91" s="3" t="s">
        <v>81</v>
      </c>
      <c r="AY91" s="3" t="s">
        <v>81</v>
      </c>
      <c r="AZ91" s="3" t="s">
        <v>81</v>
      </c>
      <c r="BA91" s="3" t="s">
        <v>81</v>
      </c>
      <c r="BB91" s="3" t="s">
        <v>81</v>
      </c>
      <c r="BC91" s="3" t="s">
        <v>81</v>
      </c>
      <c r="BD91" s="3" t="s">
        <v>81</v>
      </c>
      <c r="BE91" s="3" t="s">
        <v>81</v>
      </c>
      <c r="BF91" s="3" t="s">
        <v>81</v>
      </c>
      <c r="BG91" s="3" t="s">
        <v>81</v>
      </c>
      <c r="BH91" s="3" t="s">
        <v>81</v>
      </c>
      <c r="BI91" s="3" t="s">
        <v>82</v>
      </c>
      <c r="BJ91" s="3" t="s">
        <v>82</v>
      </c>
      <c r="BK91" s="3" t="s">
        <v>83</v>
      </c>
      <c r="BL91" s="3" t="s">
        <v>84</v>
      </c>
      <c r="BM91" s="3" t="s">
        <v>84</v>
      </c>
      <c r="BN91" s="3" t="s">
        <v>84</v>
      </c>
      <c r="BO91" s="3" t="s">
        <v>84</v>
      </c>
      <c r="BP91" s="3" t="s">
        <v>188</v>
      </c>
      <c r="BQ91" s="3" t="s">
        <v>188</v>
      </c>
      <c r="BR91" s="3" t="s">
        <v>189</v>
      </c>
      <c r="BS91" s="3" t="s">
        <v>189</v>
      </c>
      <c r="BT91" s="3" t="s">
        <v>85</v>
      </c>
      <c r="BU91" s="3" t="s">
        <v>81</v>
      </c>
      <c r="BV91" s="3" t="s">
        <v>84</v>
      </c>
      <c r="BW91" s="3" t="s">
        <v>83</v>
      </c>
      <c r="BX91" s="3" t="s">
        <v>82</v>
      </c>
      <c r="BY91" s="3" t="s">
        <v>190</v>
      </c>
      <c r="BZ91" s="3" t="s">
        <v>93</v>
      </c>
      <c r="CB91" s="3" t="s">
        <v>84</v>
      </c>
      <c r="CD91" s="9">
        <v>3</v>
      </c>
      <c r="CE91" s="9">
        <v>2</v>
      </c>
    </row>
    <row r="92" spans="1:87" ht="13" x14ac:dyDescent="0.15">
      <c r="A92" s="3">
        <v>2625857413</v>
      </c>
      <c r="B92" s="3" t="s">
        <v>186</v>
      </c>
      <c r="C92" s="3" t="s">
        <v>186</v>
      </c>
      <c r="D92" s="3">
        <v>3</v>
      </c>
      <c r="E92" s="3">
        <v>3</v>
      </c>
      <c r="F92" s="3">
        <v>35.340000000000003</v>
      </c>
      <c r="G92" s="3">
        <v>0</v>
      </c>
      <c r="H92" s="3" t="s">
        <v>81</v>
      </c>
      <c r="I92" s="3" t="s">
        <v>81</v>
      </c>
      <c r="J92" s="3" t="s">
        <v>81</v>
      </c>
      <c r="K92" s="3" t="s">
        <v>81</v>
      </c>
      <c r="L92" s="3" t="s">
        <v>81</v>
      </c>
      <c r="M92" s="3" t="s">
        <v>81</v>
      </c>
      <c r="N92" s="3" t="s">
        <v>81</v>
      </c>
      <c r="O92" s="3" t="s">
        <v>81</v>
      </c>
      <c r="P92" s="3" t="s">
        <v>81</v>
      </c>
      <c r="Q92" s="3">
        <v>38.886000000000003</v>
      </c>
      <c r="R92" s="3">
        <v>0</v>
      </c>
      <c r="S92" s="3" t="s">
        <v>81</v>
      </c>
      <c r="T92" s="3" t="s">
        <v>81</v>
      </c>
      <c r="U92" s="3" t="s">
        <v>81</v>
      </c>
      <c r="V92" s="3" t="s">
        <v>81</v>
      </c>
      <c r="W92" s="3" t="s">
        <v>81</v>
      </c>
      <c r="X92" s="3" t="s">
        <v>81</v>
      </c>
      <c r="Y92" s="3" t="s">
        <v>81</v>
      </c>
      <c r="Z92" s="3" t="s">
        <v>81</v>
      </c>
      <c r="AA92" s="3" t="s">
        <v>81</v>
      </c>
      <c r="AB92" s="3">
        <v>34.564999999999998</v>
      </c>
      <c r="AC92" s="3">
        <v>0</v>
      </c>
      <c r="AD92" s="3" t="s">
        <v>81</v>
      </c>
      <c r="AE92" s="3" t="s">
        <v>81</v>
      </c>
      <c r="AF92" s="3" t="s">
        <v>81</v>
      </c>
      <c r="AG92" s="3" t="s">
        <v>81</v>
      </c>
      <c r="AH92" s="3" t="s">
        <v>81</v>
      </c>
      <c r="AI92" s="3" t="s">
        <v>81</v>
      </c>
      <c r="AJ92" s="3" t="s">
        <v>81</v>
      </c>
      <c r="AK92" s="3" t="s">
        <v>81</v>
      </c>
      <c r="AL92" s="3" t="s">
        <v>81</v>
      </c>
      <c r="AM92" s="3" t="s">
        <v>81</v>
      </c>
      <c r="AN92" s="3" t="s">
        <v>81</v>
      </c>
      <c r="AO92" s="3" t="s">
        <v>81</v>
      </c>
      <c r="AP92" s="3" t="s">
        <v>81</v>
      </c>
      <c r="AQ92" s="3" t="s">
        <v>81</v>
      </c>
      <c r="AR92" s="3" t="s">
        <v>81</v>
      </c>
      <c r="AS92" s="3" t="s">
        <v>81</v>
      </c>
      <c r="AT92" s="3" t="s">
        <v>81</v>
      </c>
      <c r="AU92" s="3" t="s">
        <v>81</v>
      </c>
      <c r="AV92" s="3" t="s">
        <v>81</v>
      </c>
      <c r="AW92" s="3" t="s">
        <v>81</v>
      </c>
      <c r="AX92" s="3" t="s">
        <v>81</v>
      </c>
      <c r="AY92" s="3" t="s">
        <v>81</v>
      </c>
      <c r="AZ92" s="3" t="s">
        <v>81</v>
      </c>
      <c r="BA92" s="3" t="s">
        <v>81</v>
      </c>
      <c r="BB92" s="3" t="s">
        <v>81</v>
      </c>
      <c r="BC92" s="3" t="s">
        <v>81</v>
      </c>
      <c r="BD92" s="3" t="s">
        <v>81</v>
      </c>
      <c r="BE92" s="3" t="s">
        <v>81</v>
      </c>
      <c r="BF92" s="3" t="s">
        <v>81</v>
      </c>
      <c r="BG92" s="3" t="s">
        <v>81</v>
      </c>
      <c r="BH92" s="3" t="s">
        <v>81</v>
      </c>
      <c r="BI92" s="3" t="s">
        <v>82</v>
      </c>
      <c r="BJ92" s="3" t="s">
        <v>82</v>
      </c>
      <c r="BK92" s="3" t="s">
        <v>83</v>
      </c>
      <c r="BL92" s="3" t="s">
        <v>84</v>
      </c>
      <c r="BM92" s="3" t="s">
        <v>84</v>
      </c>
      <c r="BN92" s="3" t="s">
        <v>84</v>
      </c>
      <c r="BO92" s="3" t="s">
        <v>82</v>
      </c>
      <c r="BP92" s="3" t="s">
        <v>87</v>
      </c>
      <c r="BQ92" s="3" t="s">
        <v>87</v>
      </c>
      <c r="BR92" s="3" t="s">
        <v>87</v>
      </c>
      <c r="BS92" s="3" t="s">
        <v>87</v>
      </c>
      <c r="BT92" s="3" t="s">
        <v>87</v>
      </c>
      <c r="BU92" s="3" t="s">
        <v>81</v>
      </c>
      <c r="BV92" s="3" t="s">
        <v>82</v>
      </c>
      <c r="BW92" s="3" t="s">
        <v>111</v>
      </c>
      <c r="BX92" s="3" t="s">
        <v>82</v>
      </c>
      <c r="BZ92" s="3" t="s">
        <v>86</v>
      </c>
      <c r="CB92" s="3" t="s">
        <v>84</v>
      </c>
      <c r="CD92" s="9">
        <v>3</v>
      </c>
      <c r="CE92" s="9"/>
    </row>
    <row r="93" spans="1:87" ht="13" x14ac:dyDescent="0.15">
      <c r="A93" s="3">
        <v>2643329730</v>
      </c>
      <c r="B93" s="3" t="s">
        <v>186</v>
      </c>
      <c r="C93" s="3" t="s">
        <v>186</v>
      </c>
      <c r="D93" s="3">
        <v>3</v>
      </c>
      <c r="E93" s="3">
        <v>3</v>
      </c>
      <c r="F93" s="3">
        <v>41.98</v>
      </c>
      <c r="G93" s="3">
        <v>0</v>
      </c>
      <c r="H93" s="3" t="s">
        <v>81</v>
      </c>
      <c r="I93" s="3" t="s">
        <v>81</v>
      </c>
      <c r="J93" s="3" t="s">
        <v>81</v>
      </c>
      <c r="K93" s="3" t="s">
        <v>81</v>
      </c>
      <c r="L93" s="3" t="s">
        <v>81</v>
      </c>
      <c r="M93" s="3" t="s">
        <v>81</v>
      </c>
      <c r="N93" s="3" t="s">
        <v>81</v>
      </c>
      <c r="O93" s="3" t="s">
        <v>81</v>
      </c>
      <c r="P93" s="3" t="s">
        <v>81</v>
      </c>
      <c r="Q93" s="3">
        <v>43.591999999999999</v>
      </c>
      <c r="R93" s="3">
        <v>0</v>
      </c>
      <c r="S93" s="3" t="s">
        <v>81</v>
      </c>
      <c r="T93" s="3" t="s">
        <v>81</v>
      </c>
      <c r="U93" s="3" t="s">
        <v>81</v>
      </c>
      <c r="V93" s="3" t="s">
        <v>81</v>
      </c>
      <c r="W93" s="3" t="s">
        <v>81</v>
      </c>
      <c r="X93" s="3" t="s">
        <v>81</v>
      </c>
      <c r="Y93" s="3" t="s">
        <v>81</v>
      </c>
      <c r="Z93" s="3" t="s">
        <v>81</v>
      </c>
      <c r="AA93" s="3" t="s">
        <v>81</v>
      </c>
      <c r="AB93" s="3">
        <v>42.345999999999997</v>
      </c>
      <c r="AC93" s="3">
        <v>0</v>
      </c>
      <c r="AD93" s="3" t="s">
        <v>81</v>
      </c>
      <c r="AE93" s="3" t="s">
        <v>81</v>
      </c>
      <c r="AF93" s="3" t="s">
        <v>81</v>
      </c>
      <c r="AG93" s="3" t="s">
        <v>81</v>
      </c>
      <c r="AH93" s="3" t="s">
        <v>81</v>
      </c>
      <c r="AI93" s="3" t="s">
        <v>81</v>
      </c>
      <c r="AJ93" s="3" t="s">
        <v>81</v>
      </c>
      <c r="AK93" s="3" t="s">
        <v>81</v>
      </c>
      <c r="AL93" s="3" t="s">
        <v>81</v>
      </c>
      <c r="AM93" s="3" t="s">
        <v>81</v>
      </c>
      <c r="AN93" s="3" t="s">
        <v>81</v>
      </c>
      <c r="AO93" s="3" t="s">
        <v>81</v>
      </c>
      <c r="AP93" s="3" t="s">
        <v>81</v>
      </c>
      <c r="AQ93" s="3" t="s">
        <v>81</v>
      </c>
      <c r="AR93" s="3" t="s">
        <v>81</v>
      </c>
      <c r="AS93" s="3" t="s">
        <v>81</v>
      </c>
      <c r="AT93" s="3" t="s">
        <v>81</v>
      </c>
      <c r="AU93" s="3" t="s">
        <v>81</v>
      </c>
      <c r="AV93" s="3" t="s">
        <v>81</v>
      </c>
      <c r="AW93" s="3" t="s">
        <v>81</v>
      </c>
      <c r="AX93" s="3" t="s">
        <v>81</v>
      </c>
      <c r="AY93" s="3" t="s">
        <v>81</v>
      </c>
      <c r="AZ93" s="3" t="s">
        <v>81</v>
      </c>
      <c r="BA93" s="3" t="s">
        <v>81</v>
      </c>
      <c r="BB93" s="3" t="s">
        <v>81</v>
      </c>
      <c r="BC93" s="3" t="s">
        <v>81</v>
      </c>
      <c r="BD93" s="3" t="s">
        <v>81</v>
      </c>
      <c r="BE93" s="3" t="s">
        <v>81</v>
      </c>
      <c r="BF93" s="3" t="s">
        <v>81</v>
      </c>
      <c r="BG93" s="3" t="s">
        <v>81</v>
      </c>
      <c r="BH93" s="3" t="s">
        <v>81</v>
      </c>
      <c r="BI93" s="3" t="s">
        <v>82</v>
      </c>
      <c r="BJ93" s="3" t="s">
        <v>82</v>
      </c>
      <c r="BK93" s="3" t="s">
        <v>83</v>
      </c>
      <c r="BL93" s="3" t="s">
        <v>84</v>
      </c>
      <c r="BM93" s="3" t="s">
        <v>84</v>
      </c>
      <c r="BN93" s="3" t="s">
        <v>84</v>
      </c>
      <c r="BO93" s="3" t="s">
        <v>82</v>
      </c>
      <c r="BP93" s="3" t="s">
        <v>191</v>
      </c>
      <c r="BQ93" s="3" t="s">
        <v>191</v>
      </c>
      <c r="BR93" s="3" t="s">
        <v>191</v>
      </c>
      <c r="BS93" s="3" t="s">
        <v>191</v>
      </c>
      <c r="BT93" s="3" t="s">
        <v>87</v>
      </c>
      <c r="BU93" s="3" t="s">
        <v>81</v>
      </c>
      <c r="BV93" s="3" t="s">
        <v>82</v>
      </c>
      <c r="BW93" s="3" t="s">
        <v>111</v>
      </c>
      <c r="BX93" s="3" t="s">
        <v>82</v>
      </c>
      <c r="BZ93" s="3" t="s">
        <v>86</v>
      </c>
      <c r="CB93" s="3" t="s">
        <v>84</v>
      </c>
      <c r="CD93" s="9">
        <v>3</v>
      </c>
      <c r="CE93" s="9">
        <v>3</v>
      </c>
      <c r="CI93" s="5"/>
    </row>
    <row r="94" spans="1:87" ht="13" x14ac:dyDescent="0.15">
      <c r="A94" s="3">
        <v>1228244323</v>
      </c>
      <c r="B94" s="3" t="s">
        <v>192</v>
      </c>
      <c r="C94" s="3" t="s">
        <v>192</v>
      </c>
      <c r="D94" s="3">
        <v>7</v>
      </c>
      <c r="E94" s="3">
        <v>6</v>
      </c>
      <c r="F94" s="3">
        <v>96.95</v>
      </c>
      <c r="G94" s="3">
        <v>1</v>
      </c>
      <c r="H94" s="3" t="s">
        <v>81</v>
      </c>
      <c r="I94" s="3" t="s">
        <v>81</v>
      </c>
      <c r="J94" s="3" t="s">
        <v>81</v>
      </c>
      <c r="K94" s="3" t="s">
        <v>81</v>
      </c>
      <c r="L94" s="3" t="s">
        <v>81</v>
      </c>
      <c r="M94" s="3" t="s">
        <v>81</v>
      </c>
      <c r="N94" s="3" t="s">
        <v>81</v>
      </c>
      <c r="O94" s="3" t="s">
        <v>81</v>
      </c>
      <c r="P94" s="3" t="s">
        <v>81</v>
      </c>
      <c r="Q94" s="3">
        <v>86.350999999999999</v>
      </c>
      <c r="R94" s="3">
        <v>1</v>
      </c>
      <c r="S94" s="3" t="s">
        <v>81</v>
      </c>
      <c r="T94" s="3" t="s">
        <v>81</v>
      </c>
      <c r="U94" s="3" t="s">
        <v>81</v>
      </c>
      <c r="V94" s="3" t="s">
        <v>81</v>
      </c>
      <c r="W94" s="3" t="s">
        <v>81</v>
      </c>
      <c r="X94" s="3" t="s">
        <v>81</v>
      </c>
      <c r="Y94" s="3" t="s">
        <v>81</v>
      </c>
      <c r="Z94" s="3" t="s">
        <v>81</v>
      </c>
      <c r="AA94" s="3" t="s">
        <v>81</v>
      </c>
      <c r="AB94" s="3">
        <v>98.149000000000001</v>
      </c>
      <c r="AC94" s="3">
        <v>1</v>
      </c>
      <c r="AD94" s="3" t="s">
        <v>81</v>
      </c>
      <c r="AE94" s="3" t="s">
        <v>81</v>
      </c>
      <c r="AF94" s="3" t="s">
        <v>81</v>
      </c>
      <c r="AG94" s="3" t="s">
        <v>81</v>
      </c>
      <c r="AH94" s="3" t="s">
        <v>81</v>
      </c>
      <c r="AI94" s="3" t="s">
        <v>81</v>
      </c>
      <c r="AJ94" s="3" t="s">
        <v>81</v>
      </c>
      <c r="AK94" s="3" t="s">
        <v>81</v>
      </c>
      <c r="AL94" s="3" t="s">
        <v>81</v>
      </c>
      <c r="AM94" s="3" t="s">
        <v>81</v>
      </c>
      <c r="AN94" s="3" t="s">
        <v>81</v>
      </c>
      <c r="AO94" s="3" t="s">
        <v>81</v>
      </c>
      <c r="AP94" s="3" t="s">
        <v>81</v>
      </c>
      <c r="AQ94" s="3" t="s">
        <v>81</v>
      </c>
      <c r="AR94" s="3" t="s">
        <v>81</v>
      </c>
      <c r="AS94" s="3" t="s">
        <v>81</v>
      </c>
      <c r="AT94" s="3" t="s">
        <v>81</v>
      </c>
      <c r="AU94" s="3" t="s">
        <v>81</v>
      </c>
      <c r="AV94" s="3" t="s">
        <v>81</v>
      </c>
      <c r="AW94" s="3" t="s">
        <v>81</v>
      </c>
      <c r="AX94" s="3" t="s">
        <v>81</v>
      </c>
      <c r="AY94" s="3" t="s">
        <v>81</v>
      </c>
      <c r="AZ94" s="3" t="s">
        <v>81</v>
      </c>
      <c r="BA94" s="3" t="s">
        <v>81</v>
      </c>
      <c r="BB94" s="3" t="s">
        <v>81</v>
      </c>
      <c r="BC94" s="3" t="s">
        <v>81</v>
      </c>
      <c r="BD94" s="3" t="s">
        <v>81</v>
      </c>
      <c r="BE94" s="3" t="s">
        <v>81</v>
      </c>
      <c r="BF94" s="3" t="s">
        <v>81</v>
      </c>
      <c r="BG94" s="3" t="s">
        <v>81</v>
      </c>
      <c r="BH94" s="3" t="s">
        <v>81</v>
      </c>
      <c r="BI94" s="3" t="s">
        <v>84</v>
      </c>
      <c r="BJ94" s="3" t="s">
        <v>82</v>
      </c>
      <c r="BK94" s="3" t="s">
        <v>83</v>
      </c>
      <c r="BL94" s="3" t="s">
        <v>84</v>
      </c>
      <c r="BM94" s="3" t="s">
        <v>82</v>
      </c>
      <c r="BN94" s="3" t="s">
        <v>84</v>
      </c>
      <c r="BO94" s="3" t="s">
        <v>84</v>
      </c>
      <c r="BP94" s="3" t="s">
        <v>87</v>
      </c>
      <c r="BQ94" s="3" t="s">
        <v>197</v>
      </c>
      <c r="BR94" s="3" t="s">
        <v>198</v>
      </c>
      <c r="BS94" s="3" t="s">
        <v>199</v>
      </c>
      <c r="BT94" s="3" t="s">
        <v>98</v>
      </c>
      <c r="BU94" s="3" t="s">
        <v>129</v>
      </c>
      <c r="BV94" s="3" t="s">
        <v>84</v>
      </c>
      <c r="BW94" s="3" t="s">
        <v>83</v>
      </c>
      <c r="BX94" s="3" t="s">
        <v>82</v>
      </c>
      <c r="BY94" s="3" t="s">
        <v>200</v>
      </c>
      <c r="BZ94" s="3" t="s">
        <v>93</v>
      </c>
      <c r="CB94" s="3" t="s">
        <v>84</v>
      </c>
      <c r="CD94" s="9">
        <v>6</v>
      </c>
    </row>
    <row r="95" spans="1:87" ht="13" x14ac:dyDescent="0.15">
      <c r="A95" s="3">
        <v>1322471582</v>
      </c>
      <c r="B95" s="3" t="s">
        <v>192</v>
      </c>
      <c r="C95" s="3" t="s">
        <v>192</v>
      </c>
      <c r="D95" s="3">
        <v>5</v>
      </c>
      <c r="E95" s="3">
        <v>5</v>
      </c>
      <c r="F95" s="3">
        <v>135.54400000000001</v>
      </c>
      <c r="G95" s="3">
        <v>2</v>
      </c>
      <c r="H95" s="3">
        <v>92.724999999999994</v>
      </c>
      <c r="I95" s="3" t="s">
        <v>81</v>
      </c>
      <c r="J95" s="3">
        <v>41.35</v>
      </c>
      <c r="K95" s="3">
        <v>7.6150000000000002</v>
      </c>
      <c r="L95" s="3">
        <v>1.121</v>
      </c>
      <c r="M95" s="3" t="s">
        <v>81</v>
      </c>
      <c r="N95" s="3" t="s">
        <v>81</v>
      </c>
      <c r="O95" s="3" t="s">
        <v>81</v>
      </c>
      <c r="P95" s="3" t="s">
        <v>81</v>
      </c>
      <c r="Q95" s="3">
        <v>120.24</v>
      </c>
      <c r="R95" s="3">
        <v>2</v>
      </c>
      <c r="S95" s="3">
        <v>89.350999999999999</v>
      </c>
      <c r="T95" s="3">
        <v>21.882000000000001</v>
      </c>
      <c r="U95" s="3">
        <v>27.742999999999999</v>
      </c>
      <c r="V95" s="3">
        <v>2.113</v>
      </c>
      <c r="W95" s="3">
        <v>1.002</v>
      </c>
      <c r="X95" s="3" t="s">
        <v>81</v>
      </c>
      <c r="Y95" s="3" t="s">
        <v>81</v>
      </c>
      <c r="Z95" s="3" t="s">
        <v>81</v>
      </c>
      <c r="AA95" s="3" t="s">
        <v>81</v>
      </c>
      <c r="AB95" s="3">
        <v>116.548</v>
      </c>
      <c r="AC95" s="3">
        <v>2</v>
      </c>
      <c r="AD95" s="3">
        <v>92.064999999999998</v>
      </c>
      <c r="AE95" s="3">
        <v>26.128</v>
      </c>
      <c r="AF95" s="3">
        <v>24.096</v>
      </c>
      <c r="AG95" s="3" t="s">
        <v>81</v>
      </c>
      <c r="AH95" s="3">
        <v>0.77200000000000002</v>
      </c>
      <c r="AI95" s="3" t="s">
        <v>81</v>
      </c>
      <c r="AJ95" s="3" t="s">
        <v>81</v>
      </c>
      <c r="AK95" s="3" t="s">
        <v>81</v>
      </c>
      <c r="AL95" s="3" t="s">
        <v>81</v>
      </c>
      <c r="AM95" s="3">
        <v>132.136</v>
      </c>
      <c r="AN95" s="3">
        <v>2</v>
      </c>
      <c r="AO95" s="3">
        <v>82.738</v>
      </c>
      <c r="AP95" s="3">
        <v>21.786000000000001</v>
      </c>
      <c r="AQ95" s="3">
        <v>46.322000000000003</v>
      </c>
      <c r="AR95" s="3" t="s">
        <v>81</v>
      </c>
      <c r="AS95" s="3">
        <v>1.22</v>
      </c>
      <c r="AT95" s="3" t="s">
        <v>81</v>
      </c>
      <c r="AU95" s="3" t="s">
        <v>81</v>
      </c>
      <c r="AV95" s="3" t="s">
        <v>81</v>
      </c>
      <c r="AW95" s="3" t="s">
        <v>81</v>
      </c>
      <c r="AX95" s="3">
        <v>127.884</v>
      </c>
      <c r="AY95" s="3">
        <v>1</v>
      </c>
      <c r="AZ95" s="3">
        <v>82.617999999999995</v>
      </c>
      <c r="BA95" s="3">
        <v>17.038</v>
      </c>
      <c r="BB95" s="3">
        <v>47.201000000000001</v>
      </c>
      <c r="BC95" s="3" t="s">
        <v>81</v>
      </c>
      <c r="BD95" s="3" t="s">
        <v>81</v>
      </c>
      <c r="BE95" s="3" t="s">
        <v>81</v>
      </c>
      <c r="BF95" s="3" t="s">
        <v>81</v>
      </c>
      <c r="BG95" s="3" t="s">
        <v>81</v>
      </c>
      <c r="BH95" s="3" t="s">
        <v>81</v>
      </c>
      <c r="BI95" s="3" t="s">
        <v>84</v>
      </c>
      <c r="BJ95" s="3" t="s">
        <v>84</v>
      </c>
      <c r="BK95" s="3" t="s">
        <v>84</v>
      </c>
      <c r="BL95" s="3" t="s">
        <v>84</v>
      </c>
      <c r="BM95" s="3" t="s">
        <v>84</v>
      </c>
      <c r="BN95" s="3" t="s">
        <v>82</v>
      </c>
      <c r="BO95" s="3" t="s">
        <v>82</v>
      </c>
      <c r="BP95" s="3" t="s">
        <v>87</v>
      </c>
      <c r="BQ95" s="3" t="s">
        <v>87</v>
      </c>
      <c r="BR95" s="3" t="s">
        <v>98</v>
      </c>
      <c r="BS95" s="3" t="s">
        <v>98</v>
      </c>
      <c r="BT95" s="3" t="s">
        <v>87</v>
      </c>
      <c r="BU95" s="3" t="s">
        <v>98</v>
      </c>
      <c r="BV95" s="3" t="s">
        <v>84</v>
      </c>
      <c r="BW95" s="3" t="s">
        <v>83</v>
      </c>
      <c r="BX95" s="3" t="s">
        <v>82</v>
      </c>
      <c r="BY95" s="3" t="s">
        <v>201</v>
      </c>
      <c r="BZ95" s="3" t="s">
        <v>86</v>
      </c>
      <c r="CB95" s="3" t="s">
        <v>84</v>
      </c>
      <c r="CD95" s="9">
        <v>10</v>
      </c>
      <c r="CI95" s="6"/>
    </row>
    <row r="96" spans="1:87" ht="13" x14ac:dyDescent="0.15">
      <c r="A96" s="11">
        <v>1228336591</v>
      </c>
      <c r="B96" s="11" t="s">
        <v>213</v>
      </c>
      <c r="C96" s="11" t="s">
        <v>213</v>
      </c>
      <c r="D96" s="11">
        <v>3</v>
      </c>
      <c r="E96" s="11">
        <v>12</v>
      </c>
      <c r="F96" s="11">
        <v>41.365000000000002</v>
      </c>
      <c r="G96" s="11">
        <v>0</v>
      </c>
      <c r="H96" s="11" t="s">
        <v>81</v>
      </c>
      <c r="I96" s="11" t="s">
        <v>81</v>
      </c>
      <c r="J96" s="11" t="s">
        <v>81</v>
      </c>
      <c r="K96" s="11" t="s">
        <v>81</v>
      </c>
      <c r="L96" s="11" t="s">
        <v>81</v>
      </c>
      <c r="M96" s="11" t="s">
        <v>81</v>
      </c>
      <c r="N96" s="11" t="s">
        <v>81</v>
      </c>
      <c r="O96" s="11" t="s">
        <v>81</v>
      </c>
      <c r="P96" s="11" t="s">
        <v>81</v>
      </c>
      <c r="Q96" s="11">
        <v>37.438000000000002</v>
      </c>
      <c r="R96" s="11">
        <v>0</v>
      </c>
      <c r="S96" s="11" t="s">
        <v>81</v>
      </c>
      <c r="T96" s="11" t="s">
        <v>81</v>
      </c>
      <c r="U96" s="11" t="s">
        <v>81</v>
      </c>
      <c r="V96" s="11" t="s">
        <v>81</v>
      </c>
      <c r="W96" s="11" t="s">
        <v>81</v>
      </c>
      <c r="X96" s="11" t="s">
        <v>81</v>
      </c>
      <c r="Y96" s="11" t="s">
        <v>81</v>
      </c>
      <c r="Z96" s="11" t="s">
        <v>81</v>
      </c>
      <c r="AA96" s="11" t="s">
        <v>81</v>
      </c>
      <c r="AB96" s="11">
        <v>40.049999999999997</v>
      </c>
      <c r="AC96" s="11">
        <v>0</v>
      </c>
      <c r="AD96" s="11" t="s">
        <v>81</v>
      </c>
      <c r="AE96" s="11" t="s">
        <v>81</v>
      </c>
      <c r="AF96" s="11" t="s">
        <v>81</v>
      </c>
      <c r="AG96" s="11" t="s">
        <v>81</v>
      </c>
      <c r="AH96" s="11" t="s">
        <v>81</v>
      </c>
      <c r="AI96" s="11" t="s">
        <v>81</v>
      </c>
      <c r="AJ96" s="11" t="s">
        <v>81</v>
      </c>
      <c r="AK96" s="11" t="s">
        <v>81</v>
      </c>
      <c r="AL96" s="11" t="s">
        <v>81</v>
      </c>
      <c r="AM96" s="11">
        <v>39.36</v>
      </c>
      <c r="AN96" s="11">
        <v>0</v>
      </c>
      <c r="AO96" s="11" t="s">
        <v>81</v>
      </c>
      <c r="AP96" s="11" t="s">
        <v>81</v>
      </c>
      <c r="AQ96" s="11" t="s">
        <v>81</v>
      </c>
      <c r="AR96" s="11" t="s">
        <v>81</v>
      </c>
      <c r="AS96" s="11" t="s">
        <v>81</v>
      </c>
      <c r="AT96" s="11" t="s">
        <v>81</v>
      </c>
      <c r="AU96" s="11" t="s">
        <v>81</v>
      </c>
      <c r="AV96" s="11" t="s">
        <v>81</v>
      </c>
      <c r="AW96" s="11" t="s">
        <v>81</v>
      </c>
      <c r="AX96" s="11">
        <v>40.034999999999997</v>
      </c>
      <c r="AY96" s="11">
        <v>0</v>
      </c>
      <c r="AZ96" s="11" t="s">
        <v>81</v>
      </c>
      <c r="BA96" s="11" t="s">
        <v>81</v>
      </c>
      <c r="BB96" s="11" t="s">
        <v>81</v>
      </c>
      <c r="BC96" s="11" t="s">
        <v>81</v>
      </c>
      <c r="BD96" s="11" t="s">
        <v>81</v>
      </c>
      <c r="BE96" s="11" t="s">
        <v>81</v>
      </c>
      <c r="BF96" s="11" t="s">
        <v>81</v>
      </c>
      <c r="BG96" s="11" t="s">
        <v>81</v>
      </c>
      <c r="BH96" s="11" t="s">
        <v>81</v>
      </c>
      <c r="BI96" s="11" t="s">
        <v>84</v>
      </c>
      <c r="BJ96" s="11" t="s">
        <v>82</v>
      </c>
      <c r="BK96" s="11" t="s">
        <v>83</v>
      </c>
      <c r="BL96" s="11" t="s">
        <v>84</v>
      </c>
      <c r="BM96" s="11" t="s">
        <v>84</v>
      </c>
      <c r="BN96" s="11" t="s">
        <v>84</v>
      </c>
      <c r="BO96" s="11" t="s">
        <v>84</v>
      </c>
      <c r="BP96" s="11" t="s">
        <v>81</v>
      </c>
      <c r="BQ96" s="11" t="s">
        <v>81</v>
      </c>
      <c r="BR96" s="11" t="s">
        <v>81</v>
      </c>
      <c r="BS96" s="11" t="s">
        <v>81</v>
      </c>
      <c r="BT96" s="11" t="s">
        <v>81</v>
      </c>
      <c r="BU96" s="11" t="s">
        <v>81</v>
      </c>
      <c r="BV96" s="11" t="s">
        <v>84</v>
      </c>
      <c r="BW96" s="11" t="s">
        <v>83</v>
      </c>
      <c r="BX96" s="11" t="s">
        <v>82</v>
      </c>
      <c r="BY96" s="11" t="s">
        <v>214</v>
      </c>
      <c r="BZ96" s="11" t="s">
        <v>93</v>
      </c>
      <c r="CA96" s="11" t="s">
        <v>103</v>
      </c>
      <c r="CB96" s="11" t="s">
        <v>84</v>
      </c>
      <c r="CC96" s="11"/>
      <c r="CD96" s="12">
        <v>12</v>
      </c>
      <c r="CE96" s="12"/>
      <c r="CF96" s="13"/>
      <c r="CG96" s="13"/>
      <c r="CH96" s="13"/>
    </row>
    <row r="97" spans="1:87" ht="13" x14ac:dyDescent="0.15">
      <c r="A97" s="3">
        <v>1228314680</v>
      </c>
      <c r="B97" s="3" t="s">
        <v>215</v>
      </c>
      <c r="C97" s="3" t="s">
        <v>215</v>
      </c>
      <c r="D97" s="3">
        <v>7</v>
      </c>
      <c r="E97" s="3">
        <v>15</v>
      </c>
      <c r="F97" s="3">
        <v>34.283999999999999</v>
      </c>
      <c r="G97" s="3">
        <v>0</v>
      </c>
      <c r="H97" s="3" t="s">
        <v>81</v>
      </c>
      <c r="I97" s="3" t="s">
        <v>81</v>
      </c>
      <c r="J97" s="3" t="s">
        <v>81</v>
      </c>
      <c r="K97" s="3" t="s">
        <v>81</v>
      </c>
      <c r="L97" s="3" t="s">
        <v>81</v>
      </c>
      <c r="M97" s="3" t="s">
        <v>81</v>
      </c>
      <c r="N97" s="3" t="s">
        <v>81</v>
      </c>
      <c r="O97" s="3" t="s">
        <v>81</v>
      </c>
      <c r="P97" s="3" t="s">
        <v>81</v>
      </c>
      <c r="Q97" s="3">
        <v>35.366</v>
      </c>
      <c r="R97" s="3">
        <v>0</v>
      </c>
      <c r="S97" s="3" t="s">
        <v>81</v>
      </c>
      <c r="T97" s="3" t="s">
        <v>81</v>
      </c>
      <c r="U97" s="3" t="s">
        <v>81</v>
      </c>
      <c r="V97" s="3" t="s">
        <v>81</v>
      </c>
      <c r="W97" s="3" t="s">
        <v>81</v>
      </c>
      <c r="X97" s="3" t="s">
        <v>81</v>
      </c>
      <c r="Y97" s="3" t="s">
        <v>81</v>
      </c>
      <c r="Z97" s="3" t="s">
        <v>81</v>
      </c>
      <c r="AA97" s="3" t="s">
        <v>81</v>
      </c>
      <c r="AB97" s="3">
        <v>33.901000000000003</v>
      </c>
      <c r="AC97" s="3">
        <v>0</v>
      </c>
      <c r="AD97" s="3" t="s">
        <v>81</v>
      </c>
      <c r="AE97" s="3" t="s">
        <v>81</v>
      </c>
      <c r="AF97" s="3" t="s">
        <v>81</v>
      </c>
      <c r="AG97" s="3" t="s">
        <v>81</v>
      </c>
      <c r="AH97" s="3" t="s">
        <v>81</v>
      </c>
      <c r="AI97" s="3" t="s">
        <v>81</v>
      </c>
      <c r="AJ97" s="3" t="s">
        <v>81</v>
      </c>
      <c r="AK97" s="3" t="s">
        <v>81</v>
      </c>
      <c r="AL97" s="3" t="s">
        <v>81</v>
      </c>
      <c r="AM97" s="3">
        <v>37.633000000000003</v>
      </c>
      <c r="AN97" s="3">
        <v>0</v>
      </c>
      <c r="AO97" s="3" t="s">
        <v>81</v>
      </c>
      <c r="AP97" s="3" t="s">
        <v>81</v>
      </c>
      <c r="AQ97" s="3" t="s">
        <v>81</v>
      </c>
      <c r="AR97" s="3" t="s">
        <v>81</v>
      </c>
      <c r="AS97" s="3" t="s">
        <v>81</v>
      </c>
      <c r="AT97" s="3" t="s">
        <v>81</v>
      </c>
      <c r="AU97" s="3" t="s">
        <v>81</v>
      </c>
      <c r="AV97" s="3" t="s">
        <v>81</v>
      </c>
      <c r="AW97" s="3" t="s">
        <v>81</v>
      </c>
      <c r="AX97" s="3">
        <v>35.621000000000002</v>
      </c>
      <c r="AY97" s="3">
        <v>0</v>
      </c>
      <c r="AZ97" s="3" t="s">
        <v>81</v>
      </c>
      <c r="BA97" s="3" t="s">
        <v>81</v>
      </c>
      <c r="BB97" s="3" t="s">
        <v>81</v>
      </c>
      <c r="BC97" s="3" t="s">
        <v>81</v>
      </c>
      <c r="BD97" s="3" t="s">
        <v>81</v>
      </c>
      <c r="BE97" s="3" t="s">
        <v>81</v>
      </c>
      <c r="BF97" s="3" t="s">
        <v>81</v>
      </c>
      <c r="BG97" s="3" t="s">
        <v>81</v>
      </c>
      <c r="BH97" s="3" t="s">
        <v>81</v>
      </c>
      <c r="BI97" s="3" t="s">
        <v>84</v>
      </c>
      <c r="BJ97" s="3" t="s">
        <v>82</v>
      </c>
      <c r="BK97" s="3" t="s">
        <v>83</v>
      </c>
      <c r="BL97" s="3" t="s">
        <v>84</v>
      </c>
      <c r="BM97" s="3" t="s">
        <v>84</v>
      </c>
      <c r="BN97" s="3" t="s">
        <v>84</v>
      </c>
      <c r="BO97" s="3" t="s">
        <v>84</v>
      </c>
      <c r="BP97" s="3" t="s">
        <v>188</v>
      </c>
      <c r="BQ97" s="3" t="s">
        <v>188</v>
      </c>
      <c r="BR97" s="3" t="s">
        <v>188</v>
      </c>
      <c r="BS97" s="3" t="s">
        <v>216</v>
      </c>
      <c r="BT97" s="3" t="s">
        <v>85</v>
      </c>
      <c r="BU97" s="3" t="s">
        <v>81</v>
      </c>
      <c r="BV97" s="3" t="s">
        <v>82</v>
      </c>
      <c r="BW97" s="3" t="s">
        <v>91</v>
      </c>
      <c r="BX97" s="3" t="s">
        <v>82</v>
      </c>
      <c r="BZ97" s="3" t="s">
        <v>93</v>
      </c>
      <c r="CB97" s="3" t="s">
        <v>84</v>
      </c>
      <c r="CD97" s="9">
        <v>10</v>
      </c>
      <c r="CE97" s="9">
        <v>16</v>
      </c>
    </row>
    <row r="98" spans="1:87" ht="13" x14ac:dyDescent="0.15">
      <c r="A98" s="3">
        <v>1847938480</v>
      </c>
      <c r="B98" s="3" t="s">
        <v>215</v>
      </c>
      <c r="C98" s="3" t="s">
        <v>215</v>
      </c>
      <c r="D98" s="3">
        <v>5</v>
      </c>
      <c r="E98" s="3">
        <v>5</v>
      </c>
      <c r="F98" s="3">
        <v>37.984000000000002</v>
      </c>
      <c r="G98" s="3">
        <v>0</v>
      </c>
      <c r="H98" s="3" t="s">
        <v>81</v>
      </c>
      <c r="I98" s="3" t="s">
        <v>81</v>
      </c>
      <c r="J98" s="3" t="s">
        <v>81</v>
      </c>
      <c r="K98" s="3" t="s">
        <v>81</v>
      </c>
      <c r="L98" s="3" t="s">
        <v>81</v>
      </c>
      <c r="M98" s="3" t="s">
        <v>81</v>
      </c>
      <c r="N98" s="3" t="s">
        <v>81</v>
      </c>
      <c r="O98" s="3" t="s">
        <v>81</v>
      </c>
      <c r="P98" s="3" t="s">
        <v>81</v>
      </c>
      <c r="Q98" s="3">
        <v>37.585000000000001</v>
      </c>
      <c r="R98" s="3">
        <v>0</v>
      </c>
      <c r="S98" s="3" t="s">
        <v>81</v>
      </c>
      <c r="T98" s="3" t="s">
        <v>81</v>
      </c>
      <c r="U98" s="3" t="s">
        <v>81</v>
      </c>
      <c r="V98" s="3" t="s">
        <v>81</v>
      </c>
      <c r="W98" s="3" t="s">
        <v>81</v>
      </c>
      <c r="X98" s="3" t="s">
        <v>81</v>
      </c>
      <c r="Y98" s="3" t="s">
        <v>81</v>
      </c>
      <c r="Z98" s="3" t="s">
        <v>81</v>
      </c>
      <c r="AA98" s="3" t="s">
        <v>81</v>
      </c>
      <c r="AB98" s="3">
        <v>34.369</v>
      </c>
      <c r="AC98" s="3">
        <v>0</v>
      </c>
      <c r="AD98" s="3" t="s">
        <v>81</v>
      </c>
      <c r="AE98" s="3" t="s">
        <v>81</v>
      </c>
      <c r="AF98" s="3" t="s">
        <v>81</v>
      </c>
      <c r="AG98" s="3" t="s">
        <v>81</v>
      </c>
      <c r="AH98" s="3" t="s">
        <v>81</v>
      </c>
      <c r="AI98" s="3" t="s">
        <v>81</v>
      </c>
      <c r="AJ98" s="3" t="s">
        <v>81</v>
      </c>
      <c r="AK98" s="3" t="s">
        <v>81</v>
      </c>
      <c r="AL98" s="3" t="s">
        <v>81</v>
      </c>
      <c r="AM98" s="3">
        <v>42.189</v>
      </c>
      <c r="AN98" s="3">
        <v>0</v>
      </c>
      <c r="AO98" s="3" t="s">
        <v>81</v>
      </c>
      <c r="AP98" s="3" t="s">
        <v>81</v>
      </c>
      <c r="AQ98" s="3" t="s">
        <v>81</v>
      </c>
      <c r="AR98" s="3" t="s">
        <v>81</v>
      </c>
      <c r="AS98" s="3" t="s">
        <v>81</v>
      </c>
      <c r="AT98" s="3" t="s">
        <v>81</v>
      </c>
      <c r="AU98" s="3" t="s">
        <v>81</v>
      </c>
      <c r="AV98" s="3" t="s">
        <v>81</v>
      </c>
      <c r="AW98" s="3" t="s">
        <v>81</v>
      </c>
      <c r="AX98" s="3">
        <v>38.04</v>
      </c>
      <c r="AY98" s="3">
        <v>0</v>
      </c>
      <c r="AZ98" s="3" t="s">
        <v>81</v>
      </c>
      <c r="BA98" s="3" t="s">
        <v>81</v>
      </c>
      <c r="BB98" s="3" t="s">
        <v>81</v>
      </c>
      <c r="BC98" s="3" t="s">
        <v>81</v>
      </c>
      <c r="BD98" s="3" t="s">
        <v>81</v>
      </c>
      <c r="BE98" s="3" t="s">
        <v>81</v>
      </c>
      <c r="BF98" s="3" t="s">
        <v>81</v>
      </c>
      <c r="BG98" s="3" t="s">
        <v>81</v>
      </c>
      <c r="BH98" s="3" t="s">
        <v>81</v>
      </c>
      <c r="BI98" s="3" t="s">
        <v>84</v>
      </c>
      <c r="BJ98" s="3" t="s">
        <v>84</v>
      </c>
      <c r="BK98" s="3" t="s">
        <v>82</v>
      </c>
      <c r="BL98" s="3" t="s">
        <v>84</v>
      </c>
      <c r="BM98" s="3" t="s">
        <v>84</v>
      </c>
      <c r="BN98" s="3" t="s">
        <v>82</v>
      </c>
      <c r="BO98" s="3" t="s">
        <v>82</v>
      </c>
      <c r="BP98" s="3" t="s">
        <v>87</v>
      </c>
      <c r="BQ98" s="3" t="s">
        <v>87</v>
      </c>
      <c r="BR98" s="3" t="s">
        <v>87</v>
      </c>
      <c r="BS98" s="3" t="s">
        <v>87</v>
      </c>
      <c r="BT98" s="3" t="s">
        <v>87</v>
      </c>
      <c r="BU98" s="3" t="s">
        <v>81</v>
      </c>
      <c r="BV98" s="3" t="s">
        <v>83</v>
      </c>
      <c r="BW98" s="3" t="s">
        <v>83</v>
      </c>
      <c r="BX98" s="3" t="s">
        <v>82</v>
      </c>
      <c r="BY98" s="3" t="s">
        <v>217</v>
      </c>
      <c r="BZ98" s="3" t="s">
        <v>93</v>
      </c>
      <c r="CB98" s="3" t="s">
        <v>84</v>
      </c>
      <c r="CD98" s="9">
        <v>6</v>
      </c>
    </row>
    <row r="99" spans="1:87" ht="13" x14ac:dyDescent="0.15">
      <c r="A99" s="3">
        <v>1318640458</v>
      </c>
      <c r="B99" s="3" t="s">
        <v>215</v>
      </c>
      <c r="C99" s="3" t="s">
        <v>215</v>
      </c>
      <c r="D99" s="3">
        <v>9</v>
      </c>
      <c r="E99" s="3">
        <v>14</v>
      </c>
      <c r="F99" s="3">
        <v>134.17400000000001</v>
      </c>
      <c r="G99" s="3">
        <v>0</v>
      </c>
      <c r="H99" s="3" t="s">
        <v>81</v>
      </c>
      <c r="I99" s="3" t="s">
        <v>81</v>
      </c>
      <c r="J99" s="3" t="s">
        <v>81</v>
      </c>
      <c r="K99" s="3" t="s">
        <v>81</v>
      </c>
      <c r="L99" s="3" t="s">
        <v>81</v>
      </c>
      <c r="M99" s="3" t="s">
        <v>81</v>
      </c>
      <c r="N99" s="3" t="s">
        <v>81</v>
      </c>
      <c r="O99" s="3" t="s">
        <v>81</v>
      </c>
      <c r="P99" s="3" t="s">
        <v>81</v>
      </c>
      <c r="Q99" s="3">
        <v>129.274</v>
      </c>
      <c r="R99" s="3">
        <v>0</v>
      </c>
      <c r="S99" s="3" t="s">
        <v>81</v>
      </c>
      <c r="T99" s="3" t="s">
        <v>81</v>
      </c>
      <c r="U99" s="3" t="s">
        <v>81</v>
      </c>
      <c r="V99" s="3" t="s">
        <v>81</v>
      </c>
      <c r="W99" s="3" t="s">
        <v>81</v>
      </c>
      <c r="X99" s="3" t="s">
        <v>81</v>
      </c>
      <c r="Y99" s="3" t="s">
        <v>81</v>
      </c>
      <c r="Z99" s="3" t="s">
        <v>81</v>
      </c>
      <c r="AA99" s="3" t="s">
        <v>81</v>
      </c>
      <c r="AB99" s="3">
        <v>125.366</v>
      </c>
      <c r="AC99" s="3">
        <v>0</v>
      </c>
      <c r="AD99" s="3" t="s">
        <v>81</v>
      </c>
      <c r="AE99" s="3" t="s">
        <v>81</v>
      </c>
      <c r="AF99" s="3" t="s">
        <v>81</v>
      </c>
      <c r="AG99" s="3" t="s">
        <v>81</v>
      </c>
      <c r="AH99" s="3" t="s">
        <v>81</v>
      </c>
      <c r="AI99" s="3" t="s">
        <v>81</v>
      </c>
      <c r="AJ99" s="3" t="s">
        <v>81</v>
      </c>
      <c r="AK99" s="3" t="s">
        <v>81</v>
      </c>
      <c r="AL99" s="3" t="s">
        <v>81</v>
      </c>
      <c r="AM99" s="3">
        <v>122.149</v>
      </c>
      <c r="AN99" s="3">
        <v>0</v>
      </c>
      <c r="AO99" s="3" t="s">
        <v>81</v>
      </c>
      <c r="AP99" s="3" t="s">
        <v>81</v>
      </c>
      <c r="AQ99" s="3" t="s">
        <v>81</v>
      </c>
      <c r="AR99" s="3" t="s">
        <v>81</v>
      </c>
      <c r="AS99" s="3" t="s">
        <v>81</v>
      </c>
      <c r="AT99" s="3" t="s">
        <v>81</v>
      </c>
      <c r="AU99" s="3" t="s">
        <v>81</v>
      </c>
      <c r="AV99" s="3" t="s">
        <v>81</v>
      </c>
      <c r="AW99" s="3" t="s">
        <v>81</v>
      </c>
      <c r="AX99" s="3">
        <v>127.10599999999999</v>
      </c>
      <c r="AY99" s="3">
        <v>0</v>
      </c>
      <c r="AZ99" s="3" t="s">
        <v>81</v>
      </c>
      <c r="BA99" s="3" t="s">
        <v>81</v>
      </c>
      <c r="BB99" s="3" t="s">
        <v>81</v>
      </c>
      <c r="BC99" s="3" t="s">
        <v>81</v>
      </c>
      <c r="BD99" s="3" t="s">
        <v>81</v>
      </c>
      <c r="BE99" s="3" t="s">
        <v>81</v>
      </c>
      <c r="BF99" s="3" t="s">
        <v>81</v>
      </c>
      <c r="BG99" s="3" t="s">
        <v>81</v>
      </c>
      <c r="BH99" s="3" t="s">
        <v>81</v>
      </c>
      <c r="BI99" s="3" t="s">
        <v>84</v>
      </c>
      <c r="BJ99" s="3" t="s">
        <v>82</v>
      </c>
      <c r="BK99" s="3" t="s">
        <v>83</v>
      </c>
      <c r="BL99" s="3" t="s">
        <v>84</v>
      </c>
      <c r="BM99" s="3" t="s">
        <v>84</v>
      </c>
      <c r="BN99" s="3" t="s">
        <v>84</v>
      </c>
      <c r="BO99" s="3" t="s">
        <v>84</v>
      </c>
      <c r="BP99" s="3" t="s">
        <v>87</v>
      </c>
      <c r="BQ99" s="3" t="s">
        <v>87</v>
      </c>
      <c r="BR99" s="3" t="s">
        <v>218</v>
      </c>
      <c r="BS99" s="3" t="s">
        <v>219</v>
      </c>
      <c r="BT99" s="3" t="s">
        <v>87</v>
      </c>
      <c r="BU99" s="3" t="s">
        <v>85</v>
      </c>
      <c r="BV99" s="3" t="s">
        <v>82</v>
      </c>
      <c r="BW99" s="3" t="s">
        <v>91</v>
      </c>
      <c r="BX99" s="3" t="s">
        <v>82</v>
      </c>
      <c r="BZ99" s="3" t="s">
        <v>86</v>
      </c>
      <c r="CB99" s="3" t="s">
        <v>84</v>
      </c>
      <c r="CD99" s="9">
        <v>14</v>
      </c>
      <c r="CE99" s="9">
        <v>7</v>
      </c>
    </row>
    <row r="100" spans="1:87" ht="13" x14ac:dyDescent="0.15">
      <c r="A100" s="3">
        <v>2625843363</v>
      </c>
      <c r="B100" s="3" t="s">
        <v>215</v>
      </c>
      <c r="C100" s="3" t="s">
        <v>215</v>
      </c>
      <c r="D100" s="3">
        <v>8</v>
      </c>
      <c r="E100" s="3">
        <v>13</v>
      </c>
      <c r="F100" s="3">
        <v>65.944000000000003</v>
      </c>
      <c r="G100" s="3">
        <v>0</v>
      </c>
      <c r="H100" s="3" t="s">
        <v>81</v>
      </c>
      <c r="I100" s="3" t="s">
        <v>81</v>
      </c>
      <c r="J100" s="3" t="s">
        <v>81</v>
      </c>
      <c r="K100" s="3" t="s">
        <v>81</v>
      </c>
      <c r="L100" s="3" t="s">
        <v>81</v>
      </c>
      <c r="M100" s="3" t="s">
        <v>81</v>
      </c>
      <c r="N100" s="3" t="s">
        <v>81</v>
      </c>
      <c r="O100" s="3" t="s">
        <v>81</v>
      </c>
      <c r="P100" s="3" t="s">
        <v>81</v>
      </c>
      <c r="Q100" s="3">
        <v>61.66</v>
      </c>
      <c r="R100" s="3">
        <v>0</v>
      </c>
      <c r="S100" s="3" t="s">
        <v>81</v>
      </c>
      <c r="T100" s="3" t="s">
        <v>81</v>
      </c>
      <c r="U100" s="3" t="s">
        <v>81</v>
      </c>
      <c r="V100" s="3" t="s">
        <v>81</v>
      </c>
      <c r="W100" s="3" t="s">
        <v>81</v>
      </c>
      <c r="X100" s="3" t="s">
        <v>81</v>
      </c>
      <c r="Y100" s="3" t="s">
        <v>81</v>
      </c>
      <c r="Z100" s="3" t="s">
        <v>81</v>
      </c>
      <c r="AA100" s="3" t="s">
        <v>81</v>
      </c>
      <c r="AB100" s="3">
        <v>66.813999999999993</v>
      </c>
      <c r="AC100" s="3">
        <v>0</v>
      </c>
      <c r="AD100" s="3" t="s">
        <v>81</v>
      </c>
      <c r="AE100" s="3" t="s">
        <v>81</v>
      </c>
      <c r="AF100" s="3" t="s">
        <v>81</v>
      </c>
      <c r="AG100" s="3" t="s">
        <v>81</v>
      </c>
      <c r="AH100" s="3" t="s">
        <v>81</v>
      </c>
      <c r="AI100" s="3" t="s">
        <v>81</v>
      </c>
      <c r="AJ100" s="3" t="s">
        <v>81</v>
      </c>
      <c r="AK100" s="3" t="s">
        <v>81</v>
      </c>
      <c r="AL100" s="3" t="s">
        <v>81</v>
      </c>
      <c r="AM100" s="3">
        <v>62.345999999999997</v>
      </c>
      <c r="AN100" s="3">
        <v>0</v>
      </c>
      <c r="AO100" s="3" t="s">
        <v>81</v>
      </c>
      <c r="AP100" s="3" t="s">
        <v>81</v>
      </c>
      <c r="AQ100" s="3" t="s">
        <v>81</v>
      </c>
      <c r="AR100" s="3" t="s">
        <v>81</v>
      </c>
      <c r="AS100" s="3" t="s">
        <v>81</v>
      </c>
      <c r="AT100" s="3" t="s">
        <v>81</v>
      </c>
      <c r="AU100" s="3" t="s">
        <v>81</v>
      </c>
      <c r="AV100" s="3" t="s">
        <v>81</v>
      </c>
      <c r="AW100" s="3" t="s">
        <v>81</v>
      </c>
      <c r="AX100" s="3">
        <v>61.32</v>
      </c>
      <c r="AY100" s="3">
        <v>0</v>
      </c>
      <c r="AZ100" s="3" t="s">
        <v>81</v>
      </c>
      <c r="BA100" s="3" t="s">
        <v>81</v>
      </c>
      <c r="BB100" s="3" t="s">
        <v>81</v>
      </c>
      <c r="BC100" s="3" t="s">
        <v>81</v>
      </c>
      <c r="BD100" s="3" t="s">
        <v>81</v>
      </c>
      <c r="BE100" s="3" t="s">
        <v>81</v>
      </c>
      <c r="BF100" s="3" t="s">
        <v>81</v>
      </c>
      <c r="BG100" s="3" t="s">
        <v>81</v>
      </c>
      <c r="BH100" s="3" t="s">
        <v>81</v>
      </c>
      <c r="BI100" s="3" t="s">
        <v>84</v>
      </c>
      <c r="BJ100" s="3" t="s">
        <v>84</v>
      </c>
      <c r="BK100" s="3" t="s">
        <v>84</v>
      </c>
      <c r="BL100" s="3" t="s">
        <v>84</v>
      </c>
      <c r="BM100" s="3" t="s">
        <v>84</v>
      </c>
      <c r="BN100" s="3" t="s">
        <v>82</v>
      </c>
      <c r="BO100" s="3" t="s">
        <v>82</v>
      </c>
      <c r="BP100" s="3" t="s">
        <v>87</v>
      </c>
      <c r="BQ100" s="3" t="s">
        <v>87</v>
      </c>
      <c r="BR100" s="3" t="s">
        <v>87</v>
      </c>
      <c r="BS100" s="3" t="s">
        <v>87</v>
      </c>
      <c r="BT100" s="3" t="s">
        <v>87</v>
      </c>
      <c r="BU100" s="3" t="s">
        <v>81</v>
      </c>
      <c r="BV100" s="3" t="s">
        <v>82</v>
      </c>
      <c r="BW100" s="3" t="s">
        <v>91</v>
      </c>
      <c r="BX100" s="3" t="s">
        <v>82</v>
      </c>
      <c r="BZ100" s="3" t="s">
        <v>86</v>
      </c>
      <c r="CB100" s="3" t="s">
        <v>84</v>
      </c>
      <c r="CD100" s="9">
        <v>12</v>
      </c>
      <c r="CE100" s="9">
        <v>13</v>
      </c>
    </row>
    <row r="101" spans="1:87" ht="13" x14ac:dyDescent="0.15">
      <c r="A101" s="3">
        <v>2625903537</v>
      </c>
      <c r="B101" s="3" t="s">
        <v>215</v>
      </c>
      <c r="C101" s="3" t="s">
        <v>215</v>
      </c>
      <c r="D101" s="3">
        <v>7</v>
      </c>
      <c r="E101" s="3">
        <v>11</v>
      </c>
      <c r="F101" s="3">
        <v>48.932000000000002</v>
      </c>
      <c r="G101" s="3">
        <v>0</v>
      </c>
      <c r="H101" s="3" t="s">
        <v>81</v>
      </c>
      <c r="I101" s="3" t="s">
        <v>81</v>
      </c>
      <c r="J101" s="3" t="s">
        <v>81</v>
      </c>
      <c r="K101" s="3" t="s">
        <v>81</v>
      </c>
      <c r="L101" s="3" t="s">
        <v>81</v>
      </c>
      <c r="M101" s="3" t="s">
        <v>81</v>
      </c>
      <c r="N101" s="3" t="s">
        <v>81</v>
      </c>
      <c r="O101" s="3" t="s">
        <v>81</v>
      </c>
      <c r="P101" s="3" t="s">
        <v>81</v>
      </c>
      <c r="Q101" s="3">
        <v>48.256999999999998</v>
      </c>
      <c r="R101" s="3">
        <v>0</v>
      </c>
      <c r="S101" s="3" t="s">
        <v>81</v>
      </c>
      <c r="T101" s="3" t="s">
        <v>81</v>
      </c>
      <c r="U101" s="3" t="s">
        <v>81</v>
      </c>
      <c r="V101" s="3" t="s">
        <v>81</v>
      </c>
      <c r="W101" s="3" t="s">
        <v>81</v>
      </c>
      <c r="X101" s="3" t="s">
        <v>81</v>
      </c>
      <c r="Y101" s="3" t="s">
        <v>81</v>
      </c>
      <c r="Z101" s="3" t="s">
        <v>81</v>
      </c>
      <c r="AA101" s="3" t="s">
        <v>81</v>
      </c>
      <c r="AB101" s="3">
        <v>46.4</v>
      </c>
      <c r="AC101" s="3">
        <v>0</v>
      </c>
      <c r="AD101" s="3" t="s">
        <v>81</v>
      </c>
      <c r="AE101" s="3" t="s">
        <v>81</v>
      </c>
      <c r="AF101" s="3" t="s">
        <v>81</v>
      </c>
      <c r="AG101" s="3" t="s">
        <v>81</v>
      </c>
      <c r="AH101" s="3" t="s">
        <v>81</v>
      </c>
      <c r="AI101" s="3" t="s">
        <v>81</v>
      </c>
      <c r="AJ101" s="3" t="s">
        <v>81</v>
      </c>
      <c r="AK101" s="3" t="s">
        <v>81</v>
      </c>
      <c r="AL101" s="3" t="s">
        <v>81</v>
      </c>
      <c r="AM101" s="3">
        <v>42.908000000000001</v>
      </c>
      <c r="AN101" s="3">
        <v>0</v>
      </c>
      <c r="AO101" s="3" t="s">
        <v>81</v>
      </c>
      <c r="AP101" s="3" t="s">
        <v>81</v>
      </c>
      <c r="AQ101" s="3" t="s">
        <v>81</v>
      </c>
      <c r="AR101" s="3" t="s">
        <v>81</v>
      </c>
      <c r="AS101" s="3" t="s">
        <v>81</v>
      </c>
      <c r="AT101" s="3" t="s">
        <v>81</v>
      </c>
      <c r="AU101" s="3" t="s">
        <v>81</v>
      </c>
      <c r="AV101" s="3" t="s">
        <v>81</v>
      </c>
      <c r="AW101" s="3" t="s">
        <v>81</v>
      </c>
      <c r="AX101" s="3">
        <v>49.326999999999998</v>
      </c>
      <c r="AY101" s="3">
        <v>0</v>
      </c>
      <c r="AZ101" s="3" t="s">
        <v>81</v>
      </c>
      <c r="BA101" s="3" t="s">
        <v>81</v>
      </c>
      <c r="BB101" s="3" t="s">
        <v>81</v>
      </c>
      <c r="BC101" s="3" t="s">
        <v>81</v>
      </c>
      <c r="BD101" s="3" t="s">
        <v>81</v>
      </c>
      <c r="BE101" s="3" t="s">
        <v>81</v>
      </c>
      <c r="BF101" s="3" t="s">
        <v>81</v>
      </c>
      <c r="BG101" s="3" t="s">
        <v>81</v>
      </c>
      <c r="BH101" s="3" t="s">
        <v>81</v>
      </c>
      <c r="BI101" s="3" t="s">
        <v>84</v>
      </c>
      <c r="BJ101" s="3" t="s">
        <v>84</v>
      </c>
      <c r="BK101" s="3" t="s">
        <v>84</v>
      </c>
      <c r="BL101" s="3" t="s">
        <v>82</v>
      </c>
      <c r="BM101" s="3" t="s">
        <v>83</v>
      </c>
      <c r="BN101" s="3" t="s">
        <v>82</v>
      </c>
      <c r="BO101" s="3" t="s">
        <v>84</v>
      </c>
      <c r="BP101" s="3" t="s">
        <v>220</v>
      </c>
      <c r="BQ101" s="3" t="s">
        <v>220</v>
      </c>
      <c r="BR101" s="3" t="s">
        <v>98</v>
      </c>
      <c r="BS101" s="3" t="s">
        <v>221</v>
      </c>
      <c r="BT101" s="3" t="s">
        <v>85</v>
      </c>
      <c r="BU101" s="3" t="s">
        <v>98</v>
      </c>
      <c r="BV101" s="3" t="s">
        <v>83</v>
      </c>
      <c r="BW101" s="3" t="s">
        <v>83</v>
      </c>
      <c r="BX101" s="3" t="s">
        <v>83</v>
      </c>
      <c r="BZ101" s="3" t="s">
        <v>86</v>
      </c>
      <c r="CB101" s="3" t="s">
        <v>84</v>
      </c>
      <c r="CD101" s="9">
        <v>12</v>
      </c>
      <c r="CE101" s="9">
        <v>5</v>
      </c>
    </row>
    <row r="102" spans="1:87" ht="13" hidden="1" x14ac:dyDescent="0.15">
      <c r="A102" s="3">
        <v>1228349065</v>
      </c>
      <c r="B102" s="3" t="s">
        <v>266</v>
      </c>
      <c r="C102" s="3" t="s">
        <v>266</v>
      </c>
      <c r="D102" s="3" t="s">
        <v>81</v>
      </c>
      <c r="E102" s="3">
        <v>17</v>
      </c>
      <c r="F102" s="3">
        <v>21.045000000000002</v>
      </c>
      <c r="G102" s="3">
        <v>0</v>
      </c>
      <c r="H102" s="3" t="s">
        <v>81</v>
      </c>
      <c r="I102" s="3" t="s">
        <v>81</v>
      </c>
      <c r="J102" s="3" t="s">
        <v>81</v>
      </c>
      <c r="K102" s="3" t="s">
        <v>81</v>
      </c>
      <c r="L102" s="3" t="s">
        <v>81</v>
      </c>
      <c r="M102" s="3" t="s">
        <v>81</v>
      </c>
      <c r="N102" s="3" t="s">
        <v>81</v>
      </c>
      <c r="O102" s="3" t="s">
        <v>81</v>
      </c>
      <c r="P102" s="3" t="s">
        <v>81</v>
      </c>
      <c r="Q102" s="3">
        <v>19.46</v>
      </c>
      <c r="R102" s="3">
        <v>0</v>
      </c>
      <c r="S102" s="3" t="s">
        <v>81</v>
      </c>
      <c r="T102" s="3" t="s">
        <v>81</v>
      </c>
      <c r="U102" s="3" t="s">
        <v>81</v>
      </c>
      <c r="V102" s="3" t="s">
        <v>81</v>
      </c>
      <c r="W102" s="3" t="s">
        <v>81</v>
      </c>
      <c r="X102" s="3" t="s">
        <v>81</v>
      </c>
      <c r="Y102" s="3" t="s">
        <v>81</v>
      </c>
      <c r="Z102" s="3" t="s">
        <v>81</v>
      </c>
      <c r="AA102" s="3" t="s">
        <v>81</v>
      </c>
      <c r="AB102" s="3">
        <v>18.512</v>
      </c>
      <c r="AC102" s="3">
        <v>0</v>
      </c>
      <c r="AD102" s="3" t="s">
        <v>81</v>
      </c>
      <c r="AE102" s="3" t="s">
        <v>81</v>
      </c>
      <c r="AF102" s="3" t="s">
        <v>81</v>
      </c>
      <c r="AG102" s="3" t="s">
        <v>81</v>
      </c>
      <c r="AH102" s="3" t="s">
        <v>81</v>
      </c>
      <c r="AI102" s="3" t="s">
        <v>81</v>
      </c>
      <c r="AJ102" s="3" t="s">
        <v>81</v>
      </c>
      <c r="AK102" s="3" t="s">
        <v>81</v>
      </c>
      <c r="AL102" s="3" t="s">
        <v>81</v>
      </c>
      <c r="AM102" s="3">
        <v>21.32</v>
      </c>
      <c r="AN102" s="3">
        <v>0</v>
      </c>
      <c r="AO102" s="3" t="s">
        <v>81</v>
      </c>
      <c r="AP102" s="3" t="s">
        <v>81</v>
      </c>
      <c r="AQ102" s="3" t="s">
        <v>81</v>
      </c>
      <c r="AR102" s="3" t="s">
        <v>81</v>
      </c>
      <c r="AS102" s="3" t="s">
        <v>81</v>
      </c>
      <c r="AT102" s="3" t="s">
        <v>81</v>
      </c>
      <c r="AU102" s="3" t="s">
        <v>81</v>
      </c>
      <c r="AV102" s="3" t="s">
        <v>81</v>
      </c>
      <c r="AW102" s="3" t="s">
        <v>81</v>
      </c>
      <c r="AX102" s="3">
        <v>26.029</v>
      </c>
      <c r="AY102" s="3">
        <v>0</v>
      </c>
      <c r="AZ102" s="3" t="s">
        <v>81</v>
      </c>
      <c r="BA102" s="3" t="s">
        <v>81</v>
      </c>
      <c r="BB102" s="3" t="s">
        <v>81</v>
      </c>
      <c r="BC102" s="3" t="s">
        <v>81</v>
      </c>
      <c r="BD102" s="3" t="s">
        <v>81</v>
      </c>
      <c r="BE102" s="3" t="s">
        <v>81</v>
      </c>
      <c r="BF102" s="3" t="s">
        <v>81</v>
      </c>
      <c r="BG102" s="3" t="s">
        <v>81</v>
      </c>
      <c r="BH102" s="3" t="s">
        <v>81</v>
      </c>
      <c r="BI102" s="3" t="s">
        <v>84</v>
      </c>
      <c r="BJ102" s="3" t="s">
        <v>82</v>
      </c>
      <c r="BK102" s="3" t="s">
        <v>83</v>
      </c>
      <c r="BL102" s="3" t="s">
        <v>84</v>
      </c>
      <c r="BM102" s="3" t="s">
        <v>84</v>
      </c>
      <c r="BN102" s="3" t="s">
        <v>84</v>
      </c>
      <c r="BO102" s="3" t="s">
        <v>82</v>
      </c>
      <c r="BP102" s="3" t="s">
        <v>210</v>
      </c>
      <c r="BQ102" s="3" t="s">
        <v>210</v>
      </c>
      <c r="BR102" s="3" t="s">
        <v>210</v>
      </c>
      <c r="BS102" s="3" t="s">
        <v>210</v>
      </c>
      <c r="BT102" s="3" t="s">
        <v>87</v>
      </c>
      <c r="BU102" s="3" t="s">
        <v>81</v>
      </c>
      <c r="BV102" s="3" t="s">
        <v>84</v>
      </c>
      <c r="BW102" s="3" t="s">
        <v>83</v>
      </c>
      <c r="BX102" s="3" t="s">
        <v>84</v>
      </c>
      <c r="BY102" s="3" t="s">
        <v>160</v>
      </c>
      <c r="BZ102" s="3" t="s">
        <v>93</v>
      </c>
      <c r="CA102" s="3"/>
      <c r="CB102" s="3"/>
      <c r="CC102" s="3"/>
      <c r="CD102" s="9">
        <v>13</v>
      </c>
      <c r="CE102" s="9">
        <v>17</v>
      </c>
      <c r="CF102" s="6"/>
      <c r="CG102" s="6"/>
      <c r="CH102" s="6"/>
    </row>
    <row r="103" spans="1:87" ht="13" hidden="1" x14ac:dyDescent="0.15">
      <c r="A103" s="3">
        <v>2625844474</v>
      </c>
      <c r="B103" s="3" t="s">
        <v>266</v>
      </c>
      <c r="C103" s="3" t="s">
        <v>266</v>
      </c>
      <c r="D103" s="3">
        <v>6</v>
      </c>
      <c r="E103" s="3">
        <v>7</v>
      </c>
      <c r="F103" s="3">
        <v>31.532</v>
      </c>
      <c r="G103" s="3">
        <v>0</v>
      </c>
      <c r="H103" s="3" t="s">
        <v>81</v>
      </c>
      <c r="I103" s="3" t="s">
        <v>81</v>
      </c>
      <c r="J103" s="3" t="s">
        <v>81</v>
      </c>
      <c r="K103" s="3" t="s">
        <v>81</v>
      </c>
      <c r="L103" s="3" t="s">
        <v>81</v>
      </c>
      <c r="M103" s="3" t="s">
        <v>81</v>
      </c>
      <c r="N103" s="3" t="s">
        <v>81</v>
      </c>
      <c r="O103" s="3" t="s">
        <v>81</v>
      </c>
      <c r="P103" s="3" t="s">
        <v>81</v>
      </c>
      <c r="Q103" s="3">
        <v>31.231999999999999</v>
      </c>
      <c r="R103" s="3">
        <v>0</v>
      </c>
      <c r="S103" s="3" t="s">
        <v>81</v>
      </c>
      <c r="T103" s="3" t="s">
        <v>81</v>
      </c>
      <c r="U103" s="3" t="s">
        <v>81</v>
      </c>
      <c r="V103" s="3" t="s">
        <v>81</v>
      </c>
      <c r="W103" s="3" t="s">
        <v>81</v>
      </c>
      <c r="X103" s="3" t="s">
        <v>81</v>
      </c>
      <c r="Y103" s="3" t="s">
        <v>81</v>
      </c>
      <c r="Z103" s="3" t="s">
        <v>81</v>
      </c>
      <c r="AA103" s="3" t="s">
        <v>81</v>
      </c>
      <c r="AB103" s="3">
        <v>32.466999999999999</v>
      </c>
      <c r="AC103" s="3">
        <v>0</v>
      </c>
      <c r="AD103" s="3" t="s">
        <v>81</v>
      </c>
      <c r="AE103" s="3" t="s">
        <v>81</v>
      </c>
      <c r="AF103" s="3" t="s">
        <v>81</v>
      </c>
      <c r="AG103" s="3" t="s">
        <v>81</v>
      </c>
      <c r="AH103" s="3" t="s">
        <v>81</v>
      </c>
      <c r="AI103" s="3" t="s">
        <v>81</v>
      </c>
      <c r="AJ103" s="3" t="s">
        <v>81</v>
      </c>
      <c r="AK103" s="3" t="s">
        <v>81</v>
      </c>
      <c r="AL103" s="3" t="s">
        <v>81</v>
      </c>
      <c r="AM103" s="3">
        <v>32.313000000000002</v>
      </c>
      <c r="AN103" s="3">
        <v>0</v>
      </c>
      <c r="AO103" s="3" t="s">
        <v>81</v>
      </c>
      <c r="AP103" s="3" t="s">
        <v>81</v>
      </c>
      <c r="AQ103" s="3" t="s">
        <v>81</v>
      </c>
      <c r="AR103" s="3" t="s">
        <v>81</v>
      </c>
      <c r="AS103" s="3" t="s">
        <v>81</v>
      </c>
      <c r="AT103" s="3" t="s">
        <v>81</v>
      </c>
      <c r="AU103" s="3" t="s">
        <v>81</v>
      </c>
      <c r="AV103" s="3" t="s">
        <v>81</v>
      </c>
      <c r="AW103" s="3" t="s">
        <v>81</v>
      </c>
      <c r="AX103" s="3">
        <v>24.858000000000001</v>
      </c>
      <c r="AY103" s="3">
        <v>0</v>
      </c>
      <c r="AZ103" s="3" t="s">
        <v>81</v>
      </c>
      <c r="BA103" s="3" t="s">
        <v>81</v>
      </c>
      <c r="BB103" s="3" t="s">
        <v>81</v>
      </c>
      <c r="BC103" s="3" t="s">
        <v>81</v>
      </c>
      <c r="BD103" s="3" t="s">
        <v>81</v>
      </c>
      <c r="BE103" s="3" t="s">
        <v>81</v>
      </c>
      <c r="BF103" s="3" t="s">
        <v>81</v>
      </c>
      <c r="BG103" s="3" t="s">
        <v>81</v>
      </c>
      <c r="BH103" s="3" t="s">
        <v>81</v>
      </c>
      <c r="BI103" s="3" t="s">
        <v>84</v>
      </c>
      <c r="BJ103" s="3" t="s">
        <v>84</v>
      </c>
      <c r="BK103" s="3" t="s">
        <v>84</v>
      </c>
      <c r="BL103" s="3" t="s">
        <v>82</v>
      </c>
      <c r="BM103" s="3" t="s">
        <v>83</v>
      </c>
      <c r="BN103" s="3" t="s">
        <v>84</v>
      </c>
      <c r="BO103" s="3" t="s">
        <v>83</v>
      </c>
      <c r="BP103" s="3" t="s">
        <v>81</v>
      </c>
      <c r="BQ103" s="3" t="s">
        <v>81</v>
      </c>
      <c r="BR103" s="3" t="s">
        <v>81</v>
      </c>
      <c r="BS103" s="3" t="s">
        <v>81</v>
      </c>
      <c r="BT103" s="3" t="s">
        <v>81</v>
      </c>
      <c r="BU103" s="3" t="s">
        <v>81</v>
      </c>
      <c r="BV103" s="3" t="s">
        <v>83</v>
      </c>
      <c r="BW103" s="3" t="s">
        <v>83</v>
      </c>
      <c r="BX103" s="3" t="s">
        <v>83</v>
      </c>
      <c r="BY103" s="3" t="s">
        <v>267</v>
      </c>
      <c r="BZ103" s="3" t="s">
        <v>86</v>
      </c>
      <c r="CD103" s="9">
        <v>7</v>
      </c>
      <c r="CE103" s="9"/>
      <c r="CI103" s="6"/>
    </row>
    <row r="104" spans="1:87" ht="13" hidden="1" x14ac:dyDescent="0.15">
      <c r="A104" s="3">
        <v>2643318876</v>
      </c>
      <c r="B104" s="3" t="s">
        <v>266</v>
      </c>
      <c r="C104" s="3" t="s">
        <v>266</v>
      </c>
      <c r="D104" s="3">
        <v>6</v>
      </c>
      <c r="E104" s="3">
        <v>6</v>
      </c>
      <c r="F104" s="3">
        <v>36.225000000000001</v>
      </c>
      <c r="G104" s="3">
        <v>0</v>
      </c>
      <c r="H104" s="3" t="s">
        <v>81</v>
      </c>
      <c r="I104" s="3" t="s">
        <v>81</v>
      </c>
      <c r="J104" s="3" t="s">
        <v>81</v>
      </c>
      <c r="K104" s="3" t="s">
        <v>81</v>
      </c>
      <c r="L104" s="3" t="s">
        <v>81</v>
      </c>
      <c r="M104" s="3" t="s">
        <v>81</v>
      </c>
      <c r="N104" s="3" t="s">
        <v>81</v>
      </c>
      <c r="O104" s="3" t="s">
        <v>81</v>
      </c>
      <c r="P104" s="3" t="s">
        <v>81</v>
      </c>
      <c r="Q104" s="3">
        <v>33.148000000000003</v>
      </c>
      <c r="R104" s="3">
        <v>0</v>
      </c>
      <c r="S104" s="3" t="s">
        <v>81</v>
      </c>
      <c r="T104" s="3" t="s">
        <v>81</v>
      </c>
      <c r="U104" s="3" t="s">
        <v>81</v>
      </c>
      <c r="V104" s="3" t="s">
        <v>81</v>
      </c>
      <c r="W104" s="3" t="s">
        <v>81</v>
      </c>
      <c r="X104" s="3" t="s">
        <v>81</v>
      </c>
      <c r="Y104" s="3" t="s">
        <v>81</v>
      </c>
      <c r="Z104" s="3" t="s">
        <v>81</v>
      </c>
      <c r="AA104" s="3" t="s">
        <v>81</v>
      </c>
      <c r="AB104" s="3">
        <v>36.639000000000003</v>
      </c>
      <c r="AC104" s="3">
        <v>0</v>
      </c>
      <c r="AD104" s="3" t="s">
        <v>81</v>
      </c>
      <c r="AE104" s="3" t="s">
        <v>81</v>
      </c>
      <c r="AF104" s="3" t="s">
        <v>81</v>
      </c>
      <c r="AG104" s="3" t="s">
        <v>81</v>
      </c>
      <c r="AH104" s="3" t="s">
        <v>81</v>
      </c>
      <c r="AI104" s="3" t="s">
        <v>81</v>
      </c>
      <c r="AJ104" s="3" t="s">
        <v>81</v>
      </c>
      <c r="AK104" s="3" t="s">
        <v>81</v>
      </c>
      <c r="AL104" s="3" t="s">
        <v>81</v>
      </c>
      <c r="AM104" s="3">
        <v>34.186999999999998</v>
      </c>
      <c r="AN104" s="3">
        <v>0</v>
      </c>
      <c r="AO104" s="3" t="s">
        <v>81</v>
      </c>
      <c r="AP104" s="3" t="s">
        <v>81</v>
      </c>
      <c r="AQ104" s="3" t="s">
        <v>81</v>
      </c>
      <c r="AR104" s="3" t="s">
        <v>81</v>
      </c>
      <c r="AS104" s="3" t="s">
        <v>81</v>
      </c>
      <c r="AT104" s="3" t="s">
        <v>81</v>
      </c>
      <c r="AU104" s="3" t="s">
        <v>81</v>
      </c>
      <c r="AV104" s="3" t="s">
        <v>81</v>
      </c>
      <c r="AW104" s="3" t="s">
        <v>81</v>
      </c>
      <c r="AX104" s="3" t="s">
        <v>81</v>
      </c>
      <c r="AY104" s="3">
        <v>0</v>
      </c>
      <c r="AZ104" s="3" t="s">
        <v>81</v>
      </c>
      <c r="BA104" s="3" t="s">
        <v>81</v>
      </c>
      <c r="BB104" s="3" t="s">
        <v>81</v>
      </c>
      <c r="BC104" s="3" t="s">
        <v>81</v>
      </c>
      <c r="BD104" s="3" t="s">
        <v>81</v>
      </c>
      <c r="BE104" s="3" t="s">
        <v>81</v>
      </c>
      <c r="BF104" s="3" t="s">
        <v>81</v>
      </c>
      <c r="BG104" s="3" t="s">
        <v>81</v>
      </c>
      <c r="BH104" s="3" t="s">
        <v>81</v>
      </c>
      <c r="BI104" s="3" t="s">
        <v>84</v>
      </c>
      <c r="BJ104" s="3" t="s">
        <v>82</v>
      </c>
      <c r="BK104" s="3" t="s">
        <v>83</v>
      </c>
      <c r="BL104" s="3" t="s">
        <v>84</v>
      </c>
      <c r="BM104" s="3" t="s">
        <v>84</v>
      </c>
      <c r="BN104" s="3" t="s">
        <v>84</v>
      </c>
      <c r="BO104" s="3" t="s">
        <v>82</v>
      </c>
      <c r="BP104" s="3" t="s">
        <v>239</v>
      </c>
      <c r="BQ104" s="3" t="s">
        <v>239</v>
      </c>
      <c r="BR104" s="3" t="s">
        <v>239</v>
      </c>
      <c r="BS104" s="3" t="s">
        <v>239</v>
      </c>
      <c r="BT104" s="3" t="s">
        <v>87</v>
      </c>
      <c r="BU104" s="3" t="s">
        <v>81</v>
      </c>
      <c r="BV104" s="3" t="s">
        <v>84</v>
      </c>
      <c r="BW104" s="3" t="s">
        <v>83</v>
      </c>
      <c r="BX104" s="3" t="s">
        <v>82</v>
      </c>
      <c r="BY104" s="3" t="s">
        <v>201</v>
      </c>
      <c r="BZ104" s="3" t="s">
        <v>86</v>
      </c>
      <c r="CD104" s="9">
        <v>6</v>
      </c>
      <c r="CE104" s="9">
        <v>7</v>
      </c>
    </row>
    <row r="105" spans="1:87" ht="13" x14ac:dyDescent="0.15">
      <c r="A105" s="3">
        <v>1228526030</v>
      </c>
      <c r="B105" s="9" t="s">
        <v>222</v>
      </c>
      <c r="C105" s="9" t="s">
        <v>222</v>
      </c>
      <c r="D105" s="3" t="s">
        <v>81</v>
      </c>
      <c r="E105" s="3">
        <v>2</v>
      </c>
      <c r="F105" s="3">
        <v>20.605</v>
      </c>
      <c r="G105" s="3">
        <v>0</v>
      </c>
      <c r="H105" s="3" t="s">
        <v>81</v>
      </c>
      <c r="I105" s="3" t="s">
        <v>81</v>
      </c>
      <c r="J105" s="3" t="s">
        <v>81</v>
      </c>
      <c r="K105" s="3" t="s">
        <v>81</v>
      </c>
      <c r="L105" s="3" t="s">
        <v>81</v>
      </c>
      <c r="M105" s="3" t="s">
        <v>81</v>
      </c>
      <c r="N105" s="3" t="s">
        <v>81</v>
      </c>
      <c r="O105" s="3" t="s">
        <v>81</v>
      </c>
      <c r="P105" s="3" t="s">
        <v>81</v>
      </c>
      <c r="Q105" s="3">
        <v>22.748000000000001</v>
      </c>
      <c r="R105" s="3">
        <v>0</v>
      </c>
      <c r="S105" s="3" t="s">
        <v>81</v>
      </c>
      <c r="T105" s="3" t="s">
        <v>81</v>
      </c>
      <c r="U105" s="3" t="s">
        <v>81</v>
      </c>
      <c r="V105" s="3" t="s">
        <v>81</v>
      </c>
      <c r="W105" s="3" t="s">
        <v>81</v>
      </c>
      <c r="X105" s="3" t="s">
        <v>81</v>
      </c>
      <c r="Y105" s="3" t="s">
        <v>81</v>
      </c>
      <c r="Z105" s="3" t="s">
        <v>81</v>
      </c>
      <c r="AA105" s="3" t="s">
        <v>81</v>
      </c>
      <c r="AB105" s="3" t="s">
        <v>81</v>
      </c>
      <c r="AC105" s="3" t="s">
        <v>81</v>
      </c>
      <c r="AD105" s="3" t="s">
        <v>81</v>
      </c>
      <c r="AE105" s="3" t="s">
        <v>81</v>
      </c>
      <c r="AF105" s="3" t="s">
        <v>81</v>
      </c>
      <c r="AG105" s="3" t="s">
        <v>81</v>
      </c>
      <c r="AH105" s="3" t="s">
        <v>81</v>
      </c>
      <c r="AI105" s="3" t="s">
        <v>81</v>
      </c>
      <c r="AJ105" s="3" t="s">
        <v>81</v>
      </c>
      <c r="AK105" s="3" t="s">
        <v>81</v>
      </c>
      <c r="AL105" s="3" t="s">
        <v>81</v>
      </c>
      <c r="AM105" s="3" t="s">
        <v>81</v>
      </c>
      <c r="AN105" s="3" t="s">
        <v>81</v>
      </c>
      <c r="AO105" s="3" t="s">
        <v>81</v>
      </c>
      <c r="AP105" s="3" t="s">
        <v>81</v>
      </c>
      <c r="AQ105" s="3" t="s">
        <v>81</v>
      </c>
      <c r="AR105" s="3" t="s">
        <v>81</v>
      </c>
      <c r="AS105" s="3" t="s">
        <v>81</v>
      </c>
      <c r="AT105" s="3" t="s">
        <v>81</v>
      </c>
      <c r="AU105" s="3" t="s">
        <v>81</v>
      </c>
      <c r="AV105" s="3" t="s">
        <v>81</v>
      </c>
      <c r="AW105" s="3" t="s">
        <v>81</v>
      </c>
      <c r="AX105" s="3" t="s">
        <v>81</v>
      </c>
      <c r="AY105" s="3" t="s">
        <v>81</v>
      </c>
      <c r="AZ105" s="3" t="s">
        <v>81</v>
      </c>
      <c r="BA105" s="3" t="s">
        <v>81</v>
      </c>
      <c r="BB105" s="3" t="s">
        <v>81</v>
      </c>
      <c r="BC105" s="3" t="s">
        <v>81</v>
      </c>
      <c r="BD105" s="3" t="s">
        <v>81</v>
      </c>
      <c r="BE105" s="3" t="s">
        <v>81</v>
      </c>
      <c r="BF105" s="3" t="s">
        <v>81</v>
      </c>
      <c r="BG105" s="3" t="s">
        <v>81</v>
      </c>
      <c r="BH105" s="3" t="s">
        <v>81</v>
      </c>
      <c r="BI105" s="3" t="s">
        <v>82</v>
      </c>
      <c r="BJ105" s="3" t="s">
        <v>84</v>
      </c>
      <c r="BK105" s="3" t="s">
        <v>84</v>
      </c>
      <c r="BL105" s="3" t="s">
        <v>82</v>
      </c>
      <c r="BM105" s="3" t="s">
        <v>83</v>
      </c>
      <c r="BN105" s="3" t="s">
        <v>83</v>
      </c>
      <c r="BO105" s="3" t="s">
        <v>83</v>
      </c>
      <c r="BP105" s="3" t="s">
        <v>81</v>
      </c>
      <c r="BQ105" s="3" t="s">
        <v>81</v>
      </c>
      <c r="BR105" s="3" t="s">
        <v>81</v>
      </c>
      <c r="BS105" s="3" t="s">
        <v>81</v>
      </c>
      <c r="BT105" s="3" t="s">
        <v>81</v>
      </c>
      <c r="BU105" s="3" t="s">
        <v>81</v>
      </c>
      <c r="BV105" s="3" t="s">
        <v>83</v>
      </c>
      <c r="BW105" s="3" t="s">
        <v>83</v>
      </c>
      <c r="BX105" s="3" t="s">
        <v>83</v>
      </c>
      <c r="BY105" s="3" t="s">
        <v>223</v>
      </c>
      <c r="BZ105" s="3" t="s">
        <v>93</v>
      </c>
      <c r="CB105" s="3" t="s">
        <v>84</v>
      </c>
      <c r="CD105" s="9">
        <v>2</v>
      </c>
      <c r="CE105" s="9"/>
      <c r="CF105" s="9"/>
    </row>
    <row r="106" spans="1:87" ht="13" x14ac:dyDescent="0.15">
      <c r="A106" s="3">
        <v>2236117299</v>
      </c>
      <c r="B106" s="9" t="s">
        <v>222</v>
      </c>
      <c r="C106" s="9" t="s">
        <v>222</v>
      </c>
      <c r="D106" s="3">
        <v>5</v>
      </c>
      <c r="E106" s="3">
        <v>5</v>
      </c>
      <c r="F106" s="3">
        <v>16.300999999999998</v>
      </c>
      <c r="G106" s="3">
        <v>0</v>
      </c>
      <c r="H106" s="3" t="s">
        <v>81</v>
      </c>
      <c r="I106" s="3" t="s">
        <v>81</v>
      </c>
      <c r="J106" s="3" t="s">
        <v>81</v>
      </c>
      <c r="K106" s="3" t="s">
        <v>81</v>
      </c>
      <c r="L106" s="3" t="s">
        <v>81</v>
      </c>
      <c r="M106" s="3" t="s">
        <v>81</v>
      </c>
      <c r="N106" s="3" t="s">
        <v>81</v>
      </c>
      <c r="O106" s="3" t="s">
        <v>81</v>
      </c>
      <c r="P106" s="3" t="s">
        <v>81</v>
      </c>
      <c r="Q106" s="3">
        <v>14.269</v>
      </c>
      <c r="R106" s="3">
        <v>0</v>
      </c>
      <c r="S106" s="3" t="s">
        <v>81</v>
      </c>
      <c r="T106" s="3" t="s">
        <v>81</v>
      </c>
      <c r="U106" s="3" t="s">
        <v>81</v>
      </c>
      <c r="V106" s="3" t="s">
        <v>81</v>
      </c>
      <c r="W106" s="3" t="s">
        <v>81</v>
      </c>
      <c r="X106" s="3" t="s">
        <v>81</v>
      </c>
      <c r="Y106" s="3" t="s">
        <v>81</v>
      </c>
      <c r="Z106" s="3" t="s">
        <v>81</v>
      </c>
      <c r="AA106" s="3" t="s">
        <v>81</v>
      </c>
      <c r="AB106" s="3">
        <v>16.757999999999999</v>
      </c>
      <c r="AC106" s="3">
        <v>0</v>
      </c>
      <c r="AD106" s="3" t="s">
        <v>81</v>
      </c>
      <c r="AE106" s="3" t="s">
        <v>81</v>
      </c>
      <c r="AF106" s="3" t="s">
        <v>81</v>
      </c>
      <c r="AG106" s="3" t="s">
        <v>81</v>
      </c>
      <c r="AH106" s="3" t="s">
        <v>81</v>
      </c>
      <c r="AI106" s="3" t="s">
        <v>81</v>
      </c>
      <c r="AJ106" s="3" t="s">
        <v>81</v>
      </c>
      <c r="AK106" s="3" t="s">
        <v>81</v>
      </c>
      <c r="AL106" s="3" t="s">
        <v>81</v>
      </c>
      <c r="AM106" s="3">
        <v>15.083</v>
      </c>
      <c r="AN106" s="3">
        <v>0</v>
      </c>
      <c r="AO106" s="3" t="s">
        <v>81</v>
      </c>
      <c r="AP106" s="3" t="s">
        <v>81</v>
      </c>
      <c r="AQ106" s="3" t="s">
        <v>81</v>
      </c>
      <c r="AR106" s="3" t="s">
        <v>81</v>
      </c>
      <c r="AS106" s="3" t="s">
        <v>81</v>
      </c>
      <c r="AT106" s="3" t="s">
        <v>81</v>
      </c>
      <c r="AU106" s="3" t="s">
        <v>81</v>
      </c>
      <c r="AV106" s="3" t="s">
        <v>81</v>
      </c>
      <c r="AW106" s="3" t="s">
        <v>81</v>
      </c>
      <c r="AX106" s="3">
        <v>15.827</v>
      </c>
      <c r="AY106" s="3">
        <v>0</v>
      </c>
      <c r="AZ106" s="3" t="s">
        <v>81</v>
      </c>
      <c r="BA106" s="3" t="s">
        <v>81</v>
      </c>
      <c r="BB106" s="3" t="s">
        <v>81</v>
      </c>
      <c r="BC106" s="3" t="s">
        <v>81</v>
      </c>
      <c r="BD106" s="3" t="s">
        <v>81</v>
      </c>
      <c r="BE106" s="3" t="s">
        <v>81</v>
      </c>
      <c r="BF106" s="3" t="s">
        <v>81</v>
      </c>
      <c r="BG106" s="3" t="s">
        <v>81</v>
      </c>
      <c r="BH106" s="3" t="s">
        <v>81</v>
      </c>
      <c r="BI106" s="3" t="s">
        <v>84</v>
      </c>
      <c r="BJ106" s="3" t="s">
        <v>82</v>
      </c>
      <c r="BK106" s="3" t="s">
        <v>83</v>
      </c>
      <c r="BL106" s="3" t="s">
        <v>84</v>
      </c>
      <c r="BM106" s="3" t="s">
        <v>84</v>
      </c>
      <c r="BN106" s="3" t="s">
        <v>84</v>
      </c>
      <c r="BO106" s="3" t="s">
        <v>83</v>
      </c>
      <c r="BP106" s="3" t="s">
        <v>85</v>
      </c>
      <c r="BQ106" s="3" t="s">
        <v>85</v>
      </c>
      <c r="BR106" s="3" t="s">
        <v>85</v>
      </c>
      <c r="BS106" s="3" t="s">
        <v>85</v>
      </c>
      <c r="BT106" s="3" t="s">
        <v>85</v>
      </c>
      <c r="BU106" s="3" t="s">
        <v>81</v>
      </c>
      <c r="BV106" s="3" t="s">
        <v>84</v>
      </c>
      <c r="BW106" s="3" t="s">
        <v>83</v>
      </c>
      <c r="BX106" s="3" t="s">
        <v>82</v>
      </c>
      <c r="BY106" s="3" t="s">
        <v>228</v>
      </c>
      <c r="BZ106" s="3" t="s">
        <v>86</v>
      </c>
      <c r="CB106" s="3" t="s">
        <v>84</v>
      </c>
      <c r="CD106" s="9">
        <v>4</v>
      </c>
      <c r="CE106" s="9">
        <v>3</v>
      </c>
      <c r="CF106" s="9">
        <v>4</v>
      </c>
    </row>
    <row r="107" spans="1:87" ht="13" x14ac:dyDescent="0.15">
      <c r="A107" s="3">
        <v>2625856795</v>
      </c>
      <c r="B107" s="9" t="s">
        <v>222</v>
      </c>
      <c r="C107" s="9" t="s">
        <v>222</v>
      </c>
      <c r="D107" s="3" t="s">
        <v>81</v>
      </c>
      <c r="E107" s="3">
        <v>7</v>
      </c>
      <c r="F107" s="3">
        <v>24.914999999999999</v>
      </c>
      <c r="G107" s="3">
        <v>0</v>
      </c>
      <c r="H107" s="3" t="s">
        <v>81</v>
      </c>
      <c r="I107" s="3" t="s">
        <v>81</v>
      </c>
      <c r="J107" s="3" t="s">
        <v>81</v>
      </c>
      <c r="K107" s="3" t="s">
        <v>81</v>
      </c>
      <c r="L107" s="3" t="s">
        <v>81</v>
      </c>
      <c r="M107" s="3" t="s">
        <v>81</v>
      </c>
      <c r="N107" s="3" t="s">
        <v>81</v>
      </c>
      <c r="O107" s="3" t="s">
        <v>81</v>
      </c>
      <c r="P107" s="3" t="s">
        <v>81</v>
      </c>
      <c r="Q107" s="3">
        <v>25.132000000000001</v>
      </c>
      <c r="R107" s="3">
        <v>0</v>
      </c>
      <c r="S107" s="3" t="s">
        <v>81</v>
      </c>
      <c r="T107" s="3" t="s">
        <v>81</v>
      </c>
      <c r="U107" s="3" t="s">
        <v>81</v>
      </c>
      <c r="V107" s="3" t="s">
        <v>81</v>
      </c>
      <c r="W107" s="3" t="s">
        <v>81</v>
      </c>
      <c r="X107" s="3" t="s">
        <v>81</v>
      </c>
      <c r="Y107" s="3" t="s">
        <v>81</v>
      </c>
      <c r="Z107" s="3" t="s">
        <v>81</v>
      </c>
      <c r="AA107" s="3" t="s">
        <v>81</v>
      </c>
      <c r="AB107" s="3">
        <v>25.152999999999999</v>
      </c>
      <c r="AC107" s="3">
        <v>0</v>
      </c>
      <c r="AD107" s="3" t="s">
        <v>81</v>
      </c>
      <c r="AE107" s="3" t="s">
        <v>81</v>
      </c>
      <c r="AF107" s="3" t="s">
        <v>81</v>
      </c>
      <c r="AG107" s="3" t="s">
        <v>81</v>
      </c>
      <c r="AH107" s="3" t="s">
        <v>81</v>
      </c>
      <c r="AI107" s="3" t="s">
        <v>81</v>
      </c>
      <c r="AJ107" s="3" t="s">
        <v>81</v>
      </c>
      <c r="AK107" s="3" t="s">
        <v>81</v>
      </c>
      <c r="AL107" s="3" t="s">
        <v>81</v>
      </c>
      <c r="AM107" s="3">
        <v>25.408999999999999</v>
      </c>
      <c r="AN107" s="3">
        <v>0</v>
      </c>
      <c r="AO107" s="3" t="s">
        <v>81</v>
      </c>
      <c r="AP107" s="3" t="s">
        <v>81</v>
      </c>
      <c r="AQ107" s="3" t="s">
        <v>81</v>
      </c>
      <c r="AR107" s="3" t="s">
        <v>81</v>
      </c>
      <c r="AS107" s="3" t="s">
        <v>81</v>
      </c>
      <c r="AT107" s="3" t="s">
        <v>81</v>
      </c>
      <c r="AU107" s="3" t="s">
        <v>81</v>
      </c>
      <c r="AV107" s="3" t="s">
        <v>81</v>
      </c>
      <c r="AW107" s="3" t="s">
        <v>81</v>
      </c>
      <c r="AX107" s="3">
        <v>23.277999999999999</v>
      </c>
      <c r="AY107" s="3">
        <v>0</v>
      </c>
      <c r="AZ107" s="3" t="s">
        <v>81</v>
      </c>
      <c r="BA107" s="3" t="s">
        <v>81</v>
      </c>
      <c r="BB107" s="3" t="s">
        <v>81</v>
      </c>
      <c r="BC107" s="3" t="s">
        <v>81</v>
      </c>
      <c r="BD107" s="3" t="s">
        <v>81</v>
      </c>
      <c r="BE107" s="3" t="s">
        <v>81</v>
      </c>
      <c r="BF107" s="3" t="s">
        <v>81</v>
      </c>
      <c r="BG107" s="3" t="s">
        <v>81</v>
      </c>
      <c r="BH107" s="3" t="s">
        <v>81</v>
      </c>
      <c r="BI107" s="3" t="s">
        <v>84</v>
      </c>
      <c r="BJ107" s="3" t="s">
        <v>82</v>
      </c>
      <c r="BK107" s="3" t="s">
        <v>83</v>
      </c>
      <c r="BL107" s="3" t="s">
        <v>84</v>
      </c>
      <c r="BM107" s="3" t="s">
        <v>84</v>
      </c>
      <c r="BN107" s="3" t="s">
        <v>84</v>
      </c>
      <c r="BO107" s="3" t="s">
        <v>84</v>
      </c>
      <c r="BP107" s="3" t="s">
        <v>81</v>
      </c>
      <c r="BQ107" s="3" t="s">
        <v>81</v>
      </c>
      <c r="BR107" s="3" t="s">
        <v>81</v>
      </c>
      <c r="BS107" s="3" t="s">
        <v>81</v>
      </c>
      <c r="BT107" s="3" t="s">
        <v>81</v>
      </c>
      <c r="BU107" s="3" t="s">
        <v>81</v>
      </c>
      <c r="BV107" s="3" t="s">
        <v>82</v>
      </c>
      <c r="BW107" s="3" t="s">
        <v>91</v>
      </c>
      <c r="BX107" s="3" t="s">
        <v>82</v>
      </c>
      <c r="BY107" s="3" t="s">
        <v>190</v>
      </c>
      <c r="BZ107" s="3" t="s">
        <v>86</v>
      </c>
      <c r="CB107" s="3" t="s">
        <v>84</v>
      </c>
      <c r="CD107" s="9">
        <v>7</v>
      </c>
      <c r="CE107" s="9"/>
      <c r="CF107" s="9"/>
    </row>
    <row r="108" spans="1:87" ht="13" x14ac:dyDescent="0.15">
      <c r="A108" s="3">
        <v>1847924803</v>
      </c>
      <c r="B108" s="3" t="s">
        <v>222</v>
      </c>
      <c r="C108" s="3" t="s">
        <v>222</v>
      </c>
      <c r="D108" s="3">
        <v>2</v>
      </c>
      <c r="E108" s="3">
        <v>2</v>
      </c>
      <c r="F108" s="3">
        <v>45.389000000000003</v>
      </c>
      <c r="G108" s="3">
        <v>0</v>
      </c>
      <c r="H108" s="3" t="s">
        <v>81</v>
      </c>
      <c r="I108" s="3" t="s">
        <v>81</v>
      </c>
      <c r="J108" s="3" t="s">
        <v>81</v>
      </c>
      <c r="K108" s="3" t="s">
        <v>81</v>
      </c>
      <c r="L108" s="3" t="s">
        <v>81</v>
      </c>
      <c r="M108" s="3" t="s">
        <v>81</v>
      </c>
      <c r="N108" s="3" t="s">
        <v>81</v>
      </c>
      <c r="O108" s="3" t="s">
        <v>81</v>
      </c>
      <c r="P108" s="3" t="s">
        <v>81</v>
      </c>
      <c r="Q108" s="3">
        <v>51.430999999999997</v>
      </c>
      <c r="R108" s="3">
        <v>0</v>
      </c>
      <c r="S108" s="3" t="s">
        <v>81</v>
      </c>
      <c r="T108" s="3" t="s">
        <v>81</v>
      </c>
      <c r="U108" s="3" t="s">
        <v>81</v>
      </c>
      <c r="V108" s="3" t="s">
        <v>81</v>
      </c>
      <c r="W108" s="3" t="s">
        <v>81</v>
      </c>
      <c r="X108" s="3" t="s">
        <v>81</v>
      </c>
      <c r="Y108" s="3" t="s">
        <v>81</v>
      </c>
      <c r="Z108" s="3" t="s">
        <v>81</v>
      </c>
      <c r="AA108" s="3" t="s">
        <v>81</v>
      </c>
      <c r="AB108" s="3" t="s">
        <v>81</v>
      </c>
      <c r="AC108" s="3" t="s">
        <v>81</v>
      </c>
      <c r="AD108" s="3" t="s">
        <v>81</v>
      </c>
      <c r="AE108" s="3" t="s">
        <v>81</v>
      </c>
      <c r="AF108" s="3" t="s">
        <v>81</v>
      </c>
      <c r="AG108" s="3" t="s">
        <v>81</v>
      </c>
      <c r="AH108" s="3" t="s">
        <v>81</v>
      </c>
      <c r="AI108" s="3" t="s">
        <v>81</v>
      </c>
      <c r="AJ108" s="3" t="s">
        <v>81</v>
      </c>
      <c r="AK108" s="3" t="s">
        <v>81</v>
      </c>
      <c r="AL108" s="3" t="s">
        <v>81</v>
      </c>
      <c r="AM108" s="3" t="s">
        <v>81</v>
      </c>
      <c r="AN108" s="3" t="s">
        <v>81</v>
      </c>
      <c r="AO108" s="3" t="s">
        <v>81</v>
      </c>
      <c r="AP108" s="3" t="s">
        <v>81</v>
      </c>
      <c r="AQ108" s="3" t="s">
        <v>81</v>
      </c>
      <c r="AR108" s="3" t="s">
        <v>81</v>
      </c>
      <c r="AS108" s="3" t="s">
        <v>81</v>
      </c>
      <c r="AT108" s="3" t="s">
        <v>81</v>
      </c>
      <c r="AU108" s="3" t="s">
        <v>81</v>
      </c>
      <c r="AV108" s="3" t="s">
        <v>81</v>
      </c>
      <c r="AW108" s="3" t="s">
        <v>81</v>
      </c>
      <c r="AX108" s="3" t="s">
        <v>81</v>
      </c>
      <c r="AY108" s="3" t="s">
        <v>81</v>
      </c>
      <c r="AZ108" s="3" t="s">
        <v>81</v>
      </c>
      <c r="BA108" s="3" t="s">
        <v>81</v>
      </c>
      <c r="BB108" s="3" t="s">
        <v>81</v>
      </c>
      <c r="BC108" s="3" t="s">
        <v>81</v>
      </c>
      <c r="BD108" s="3" t="s">
        <v>81</v>
      </c>
      <c r="BE108" s="3" t="s">
        <v>81</v>
      </c>
      <c r="BF108" s="3" t="s">
        <v>81</v>
      </c>
      <c r="BG108" s="3" t="s">
        <v>81</v>
      </c>
      <c r="BH108" s="3" t="s">
        <v>81</v>
      </c>
      <c r="BI108" s="3" t="s">
        <v>82</v>
      </c>
      <c r="BJ108" s="3" t="s">
        <v>84</v>
      </c>
      <c r="BK108" s="3" t="s">
        <v>83</v>
      </c>
      <c r="BL108" s="3" t="s">
        <v>84</v>
      </c>
      <c r="BM108" s="3" t="s">
        <v>84</v>
      </c>
      <c r="BN108" s="3" t="s">
        <v>84</v>
      </c>
      <c r="BO108" s="3" t="s">
        <v>84</v>
      </c>
      <c r="BP108" s="3" t="s">
        <v>224</v>
      </c>
      <c r="BQ108" s="3" t="s">
        <v>224</v>
      </c>
      <c r="BR108" s="3" t="s">
        <v>225</v>
      </c>
      <c r="BS108" s="3" t="s">
        <v>226</v>
      </c>
      <c r="BT108" s="3" t="s">
        <v>85</v>
      </c>
      <c r="BU108" s="3" t="s">
        <v>98</v>
      </c>
      <c r="BV108" s="3" t="s">
        <v>84</v>
      </c>
      <c r="BW108" s="3" t="s">
        <v>83</v>
      </c>
      <c r="BX108" s="3" t="s">
        <v>82</v>
      </c>
      <c r="BY108" s="3" t="s">
        <v>227</v>
      </c>
      <c r="BZ108" s="3" t="s">
        <v>93</v>
      </c>
      <c r="CB108" s="3" t="s">
        <v>84</v>
      </c>
      <c r="CD108" s="9">
        <v>2</v>
      </c>
      <c r="CE108" s="9">
        <v>2</v>
      </c>
      <c r="CF108" s="9"/>
    </row>
    <row r="109" spans="1:87" ht="13" x14ac:dyDescent="0.15">
      <c r="A109" s="3">
        <v>1847938312</v>
      </c>
      <c r="B109" s="3" t="s">
        <v>235</v>
      </c>
      <c r="C109" s="3" t="s">
        <v>235</v>
      </c>
      <c r="D109" s="3" t="s">
        <v>81</v>
      </c>
      <c r="E109" s="3">
        <v>7</v>
      </c>
      <c r="F109" s="3" t="s">
        <v>81</v>
      </c>
      <c r="G109" s="3">
        <v>3</v>
      </c>
      <c r="H109" s="3">
        <v>182.535</v>
      </c>
      <c r="I109" s="3">
        <v>59.835999999999999</v>
      </c>
      <c r="J109" s="3">
        <v>87.554000000000002</v>
      </c>
      <c r="K109" s="3">
        <v>46.447000000000003</v>
      </c>
      <c r="L109" s="3">
        <v>39.197000000000003</v>
      </c>
      <c r="M109" s="3">
        <v>31.788</v>
      </c>
      <c r="N109" s="3" t="s">
        <v>81</v>
      </c>
      <c r="O109" s="3" t="s">
        <v>81</v>
      </c>
      <c r="P109" s="3" t="s">
        <v>81</v>
      </c>
      <c r="Q109" s="3">
        <v>268.20699999999999</v>
      </c>
      <c r="R109" s="3">
        <v>2</v>
      </c>
      <c r="S109" s="3">
        <v>178.05600000000001</v>
      </c>
      <c r="T109" s="3">
        <v>59.067</v>
      </c>
      <c r="U109" s="3">
        <v>85.135999999999996</v>
      </c>
      <c r="V109" s="3">
        <v>52.247</v>
      </c>
      <c r="W109" s="3">
        <v>2.1419999999999999</v>
      </c>
      <c r="X109" s="3" t="s">
        <v>81</v>
      </c>
      <c r="Y109" s="3" t="s">
        <v>81</v>
      </c>
      <c r="Z109" s="3" t="s">
        <v>81</v>
      </c>
      <c r="AA109" s="3" t="s">
        <v>81</v>
      </c>
      <c r="AB109" s="3">
        <v>314.45800000000003</v>
      </c>
      <c r="AC109" s="3">
        <v>3</v>
      </c>
      <c r="AD109" s="3">
        <v>181.06399999999999</v>
      </c>
      <c r="AE109" s="3" t="s">
        <v>81</v>
      </c>
      <c r="AF109" s="3">
        <v>86.688000000000002</v>
      </c>
      <c r="AG109" s="3">
        <v>62.91</v>
      </c>
      <c r="AH109" s="3">
        <v>44.975999999999999</v>
      </c>
      <c r="AI109" s="3">
        <v>29.766999999999999</v>
      </c>
      <c r="AJ109" s="3">
        <v>5.4850000000000003</v>
      </c>
      <c r="AK109" s="3" t="s">
        <v>81</v>
      </c>
      <c r="AL109" s="3" t="s">
        <v>81</v>
      </c>
      <c r="AM109" s="3">
        <v>352.48399999999998</v>
      </c>
      <c r="AN109" s="3">
        <v>3</v>
      </c>
      <c r="AO109" s="3">
        <v>190.57300000000001</v>
      </c>
      <c r="AP109" s="3" t="s">
        <v>81</v>
      </c>
      <c r="AQ109" s="3">
        <v>88.938999999999993</v>
      </c>
      <c r="AR109" s="3" t="s">
        <v>81</v>
      </c>
      <c r="AS109" s="3">
        <v>46.761000000000003</v>
      </c>
      <c r="AT109" s="3">
        <v>41.697000000000003</v>
      </c>
      <c r="AU109" s="3">
        <v>21.122</v>
      </c>
      <c r="AV109" s="3" t="s">
        <v>81</v>
      </c>
      <c r="AW109" s="3" t="s">
        <v>81</v>
      </c>
      <c r="AX109" s="3" t="s">
        <v>81</v>
      </c>
      <c r="AY109" s="3" t="s">
        <v>81</v>
      </c>
      <c r="AZ109" s="3" t="s">
        <v>81</v>
      </c>
      <c r="BA109" s="3" t="s">
        <v>81</v>
      </c>
      <c r="BB109" s="3" t="s">
        <v>81</v>
      </c>
      <c r="BC109" s="3" t="s">
        <v>81</v>
      </c>
      <c r="BD109" s="3" t="s">
        <v>81</v>
      </c>
      <c r="BE109" s="3" t="s">
        <v>81</v>
      </c>
      <c r="BF109" s="3" t="s">
        <v>81</v>
      </c>
      <c r="BG109" s="3" t="s">
        <v>81</v>
      </c>
      <c r="BH109" s="3" t="s">
        <v>81</v>
      </c>
      <c r="BI109" s="3" t="s">
        <v>84</v>
      </c>
      <c r="BJ109" s="3" t="s">
        <v>84</v>
      </c>
      <c r="BK109" s="3" t="s">
        <v>82</v>
      </c>
      <c r="BL109" s="3" t="s">
        <v>84</v>
      </c>
      <c r="BM109" s="3" t="s">
        <v>84</v>
      </c>
      <c r="BN109" s="3" t="s">
        <v>82</v>
      </c>
      <c r="BO109" s="3" t="s">
        <v>84</v>
      </c>
      <c r="BP109" s="3" t="s">
        <v>133</v>
      </c>
      <c r="BQ109" s="3" t="s">
        <v>133</v>
      </c>
      <c r="BR109" s="3" t="s">
        <v>133</v>
      </c>
      <c r="BS109" s="3" t="s">
        <v>236</v>
      </c>
      <c r="BT109" s="3" t="s">
        <v>87</v>
      </c>
      <c r="BU109" s="3" t="s">
        <v>129</v>
      </c>
      <c r="BV109" s="3" t="s">
        <v>82</v>
      </c>
      <c r="BW109" s="3" t="s">
        <v>111</v>
      </c>
      <c r="BX109" s="3" t="s">
        <v>82</v>
      </c>
      <c r="BY109" s="3" t="s">
        <v>237</v>
      </c>
      <c r="BZ109" s="3" t="s">
        <v>93</v>
      </c>
      <c r="CA109" s="3"/>
      <c r="CB109" s="3" t="s">
        <v>84</v>
      </c>
      <c r="CC109" s="3"/>
      <c r="CD109" s="9">
        <v>3</v>
      </c>
      <c r="CE109" s="9">
        <v>3</v>
      </c>
      <c r="CF109" s="9">
        <v>3</v>
      </c>
      <c r="CG109" s="6"/>
      <c r="CH109" s="6"/>
    </row>
    <row r="110" spans="1:87" ht="13" x14ac:dyDescent="0.15">
      <c r="A110" s="3">
        <v>2625839930</v>
      </c>
      <c r="B110" s="3" t="s">
        <v>235</v>
      </c>
      <c r="C110" s="3" t="s">
        <v>235</v>
      </c>
      <c r="D110" s="3">
        <v>7</v>
      </c>
      <c r="E110" s="3">
        <v>12</v>
      </c>
      <c r="F110" s="3">
        <v>68.935000000000002</v>
      </c>
      <c r="G110" s="3">
        <v>2</v>
      </c>
      <c r="H110" s="3">
        <v>59.875999999999998</v>
      </c>
      <c r="I110" s="3">
        <v>31.952000000000002</v>
      </c>
      <c r="J110" s="3">
        <v>7.891</v>
      </c>
      <c r="K110" s="3">
        <v>12.821999999999999</v>
      </c>
      <c r="L110" s="3">
        <v>0.17699999999999999</v>
      </c>
      <c r="M110" s="3" t="s">
        <v>81</v>
      </c>
      <c r="N110" s="3" t="s">
        <v>81</v>
      </c>
      <c r="O110" s="3" t="s">
        <v>81</v>
      </c>
      <c r="P110" s="3" t="s">
        <v>81</v>
      </c>
      <c r="Q110" s="3">
        <v>65.468000000000004</v>
      </c>
      <c r="R110" s="3">
        <v>2</v>
      </c>
      <c r="S110" s="3">
        <v>51.585000000000001</v>
      </c>
      <c r="T110" s="3">
        <v>40.512</v>
      </c>
      <c r="U110" s="3">
        <v>13.124000000000001</v>
      </c>
      <c r="V110" s="3">
        <v>17.462</v>
      </c>
      <c r="W110" s="3">
        <v>0.314</v>
      </c>
      <c r="X110" s="3" t="s">
        <v>81</v>
      </c>
      <c r="Y110" s="3" t="s">
        <v>81</v>
      </c>
      <c r="Z110" s="3" t="s">
        <v>81</v>
      </c>
      <c r="AA110" s="3" t="s">
        <v>81</v>
      </c>
      <c r="AB110" s="3">
        <v>61.447000000000003</v>
      </c>
      <c r="AC110" s="3">
        <v>2</v>
      </c>
      <c r="AD110" s="3">
        <v>48.073</v>
      </c>
      <c r="AE110" s="3">
        <v>35.609000000000002</v>
      </c>
      <c r="AF110" s="3">
        <v>9.5549999999999997</v>
      </c>
      <c r="AG110" s="3">
        <v>15.38</v>
      </c>
      <c r="AH110" s="3">
        <v>0.81299999999999994</v>
      </c>
      <c r="AI110" s="3" t="s">
        <v>81</v>
      </c>
      <c r="AJ110" s="3" t="s">
        <v>81</v>
      </c>
      <c r="AK110" s="3" t="s">
        <v>81</v>
      </c>
      <c r="AL110" s="3" t="s">
        <v>81</v>
      </c>
      <c r="AM110" s="3">
        <v>63.39</v>
      </c>
      <c r="AN110" s="3">
        <v>2</v>
      </c>
      <c r="AO110" s="3">
        <v>54.01</v>
      </c>
      <c r="AP110" s="3">
        <v>34.911000000000001</v>
      </c>
      <c r="AQ110" s="3">
        <v>8.09</v>
      </c>
      <c r="AR110" s="3">
        <v>17.215</v>
      </c>
      <c r="AS110" s="3">
        <v>0.246</v>
      </c>
      <c r="AT110" s="3" t="s">
        <v>81</v>
      </c>
      <c r="AU110" s="3" t="s">
        <v>81</v>
      </c>
      <c r="AV110" s="3" t="s">
        <v>81</v>
      </c>
      <c r="AW110" s="3" t="s">
        <v>81</v>
      </c>
      <c r="AX110" s="3">
        <v>58.787999999999997</v>
      </c>
      <c r="AY110" s="3">
        <v>2</v>
      </c>
      <c r="AZ110" s="3">
        <v>49.255000000000003</v>
      </c>
      <c r="BA110" s="3">
        <v>32.470999999999997</v>
      </c>
      <c r="BB110" s="3">
        <v>7.9089999999999998</v>
      </c>
      <c r="BC110" s="3">
        <v>11.076000000000001</v>
      </c>
      <c r="BD110" s="3">
        <v>0.19700000000000001</v>
      </c>
      <c r="BE110" s="3" t="s">
        <v>81</v>
      </c>
      <c r="BF110" s="3" t="s">
        <v>81</v>
      </c>
      <c r="BG110" s="3" t="s">
        <v>81</v>
      </c>
      <c r="BH110" s="3" t="s">
        <v>81</v>
      </c>
      <c r="BI110" s="3" t="s">
        <v>84</v>
      </c>
      <c r="BJ110" s="3" t="s">
        <v>82</v>
      </c>
      <c r="BK110" s="3" t="s">
        <v>83</v>
      </c>
      <c r="BL110" s="3" t="s">
        <v>84</v>
      </c>
      <c r="BM110" s="3" t="s">
        <v>82</v>
      </c>
      <c r="BN110" s="3" t="s">
        <v>82</v>
      </c>
      <c r="BO110" s="3" t="s">
        <v>83</v>
      </c>
      <c r="BP110" s="3" t="s">
        <v>238</v>
      </c>
      <c r="BQ110" s="3" t="s">
        <v>238</v>
      </c>
      <c r="BR110" s="3" t="s">
        <v>238</v>
      </c>
      <c r="BS110" s="3" t="s">
        <v>238</v>
      </c>
      <c r="BT110" s="3" t="s">
        <v>87</v>
      </c>
      <c r="BU110" s="3" t="s">
        <v>129</v>
      </c>
      <c r="BV110" s="3" t="s">
        <v>83</v>
      </c>
      <c r="BW110" s="3" t="s">
        <v>83</v>
      </c>
      <c r="BX110" s="3" t="s">
        <v>83</v>
      </c>
      <c r="BZ110" s="3" t="s">
        <v>86</v>
      </c>
      <c r="CB110" s="3" t="s">
        <v>84</v>
      </c>
      <c r="CD110" s="9">
        <v>24</v>
      </c>
      <c r="CE110" s="9">
        <v>14</v>
      </c>
      <c r="CF110" s="9"/>
    </row>
    <row r="111" spans="1:87" ht="13" x14ac:dyDescent="0.15">
      <c r="A111" s="3">
        <v>2643333808</v>
      </c>
      <c r="B111" s="3" t="s">
        <v>235</v>
      </c>
      <c r="C111" s="3" t="s">
        <v>235</v>
      </c>
      <c r="D111" s="3">
        <v>7</v>
      </c>
      <c r="E111" s="3">
        <v>10</v>
      </c>
      <c r="F111" s="3">
        <v>89.534000000000006</v>
      </c>
      <c r="G111" s="3">
        <v>2</v>
      </c>
      <c r="H111" s="3">
        <v>48.908000000000001</v>
      </c>
      <c r="I111" s="3">
        <v>19.497</v>
      </c>
      <c r="J111" s="3">
        <v>30.303000000000001</v>
      </c>
      <c r="K111" s="3">
        <v>10.632</v>
      </c>
      <c r="L111" s="3">
        <v>8.9160000000000004</v>
      </c>
      <c r="M111" s="3" t="s">
        <v>81</v>
      </c>
      <c r="N111" s="3" t="s">
        <v>81</v>
      </c>
      <c r="O111" s="3" t="s">
        <v>81</v>
      </c>
      <c r="P111" s="3" t="s">
        <v>81</v>
      </c>
      <c r="Q111" s="3">
        <v>97.421000000000006</v>
      </c>
      <c r="R111" s="3">
        <v>3</v>
      </c>
      <c r="S111" s="3">
        <v>49.704000000000001</v>
      </c>
      <c r="T111" s="3">
        <v>21.184000000000001</v>
      </c>
      <c r="U111" s="3">
        <v>40.606999999999999</v>
      </c>
      <c r="V111" s="3">
        <v>13.035</v>
      </c>
      <c r="W111" s="3">
        <v>5.5629999999999997</v>
      </c>
      <c r="X111" s="3">
        <v>5.32</v>
      </c>
      <c r="Y111" s="3">
        <v>0.309</v>
      </c>
      <c r="Z111" s="3" t="s">
        <v>81</v>
      </c>
      <c r="AA111" s="3" t="s">
        <v>81</v>
      </c>
      <c r="AB111" s="3">
        <v>96.688000000000002</v>
      </c>
      <c r="AC111" s="3">
        <v>2</v>
      </c>
      <c r="AD111" s="3">
        <v>47.305</v>
      </c>
      <c r="AE111" s="3">
        <v>22.04</v>
      </c>
      <c r="AF111" s="3">
        <v>36.226999999999997</v>
      </c>
      <c r="AG111" s="3">
        <v>11.602</v>
      </c>
      <c r="AH111" s="3">
        <v>11.635</v>
      </c>
      <c r="AI111" s="3" t="s">
        <v>81</v>
      </c>
      <c r="AJ111" s="3" t="s">
        <v>81</v>
      </c>
      <c r="AK111" s="3" t="s">
        <v>81</v>
      </c>
      <c r="AL111" s="3" t="s">
        <v>81</v>
      </c>
      <c r="AM111" s="3">
        <v>91.984999999999999</v>
      </c>
      <c r="AN111" s="3">
        <v>2</v>
      </c>
      <c r="AO111" s="3">
        <v>47.552999999999997</v>
      </c>
      <c r="AP111" s="3">
        <v>18.437000000000001</v>
      </c>
      <c r="AQ111" s="3">
        <v>34.249000000000002</v>
      </c>
      <c r="AR111" s="3">
        <v>15.215</v>
      </c>
      <c r="AS111" s="3">
        <v>8.3620000000000001</v>
      </c>
      <c r="AT111" s="3" t="s">
        <v>81</v>
      </c>
      <c r="AU111" s="3" t="s">
        <v>81</v>
      </c>
      <c r="AV111" s="3" t="s">
        <v>81</v>
      </c>
      <c r="AW111" s="3" t="s">
        <v>81</v>
      </c>
      <c r="AX111" s="3">
        <v>97.033000000000001</v>
      </c>
      <c r="AY111" s="3">
        <v>2</v>
      </c>
      <c r="AZ111" s="3">
        <v>49.036000000000001</v>
      </c>
      <c r="BA111" s="3">
        <v>21.582999999999998</v>
      </c>
      <c r="BB111" s="3">
        <v>35.994999999999997</v>
      </c>
      <c r="BC111" s="3">
        <v>14.699</v>
      </c>
      <c r="BD111" s="3">
        <v>10.039</v>
      </c>
      <c r="BE111" s="3" t="s">
        <v>81</v>
      </c>
      <c r="BF111" s="3" t="s">
        <v>81</v>
      </c>
      <c r="BG111" s="3" t="s">
        <v>81</v>
      </c>
      <c r="BH111" s="3" t="s">
        <v>81</v>
      </c>
      <c r="BI111" s="3" t="s">
        <v>84</v>
      </c>
      <c r="BJ111" s="3" t="s">
        <v>84</v>
      </c>
      <c r="BK111" s="3" t="s">
        <v>82</v>
      </c>
      <c r="BL111" s="3" t="s">
        <v>84</v>
      </c>
      <c r="BM111" s="3" t="s">
        <v>84</v>
      </c>
      <c r="BN111" s="3" t="s">
        <v>82</v>
      </c>
      <c r="BO111" s="3" t="s">
        <v>82</v>
      </c>
      <c r="BP111" s="3" t="s">
        <v>239</v>
      </c>
      <c r="BQ111" s="3" t="s">
        <v>239</v>
      </c>
      <c r="BR111" s="3" t="s">
        <v>239</v>
      </c>
      <c r="BS111" s="3" t="s">
        <v>240</v>
      </c>
      <c r="BT111" s="3" t="s">
        <v>87</v>
      </c>
      <c r="BU111" s="3" t="s">
        <v>81</v>
      </c>
      <c r="BV111" s="3" t="s">
        <v>82</v>
      </c>
      <c r="BW111" s="3" t="s">
        <v>111</v>
      </c>
      <c r="BX111" s="3" t="s">
        <v>82</v>
      </c>
      <c r="BZ111" s="3" t="s">
        <v>86</v>
      </c>
      <c r="CB111" s="3" t="s">
        <v>84</v>
      </c>
      <c r="CD111" s="9">
        <v>30</v>
      </c>
      <c r="CE111" s="9"/>
      <c r="CF111" s="9"/>
    </row>
    <row r="112" spans="1:87" ht="13" x14ac:dyDescent="0.15">
      <c r="A112" s="3">
        <v>1228474463</v>
      </c>
      <c r="B112" s="3" t="s">
        <v>250</v>
      </c>
      <c r="C112" s="3" t="s">
        <v>250</v>
      </c>
      <c r="D112" s="3" t="s">
        <v>81</v>
      </c>
      <c r="E112" s="3">
        <v>33</v>
      </c>
      <c r="F112" s="3">
        <v>28.876000000000001</v>
      </c>
      <c r="G112" s="3">
        <v>0</v>
      </c>
      <c r="H112" s="3" t="s">
        <v>81</v>
      </c>
      <c r="I112" s="3" t="s">
        <v>81</v>
      </c>
      <c r="J112" s="3" t="s">
        <v>81</v>
      </c>
      <c r="K112" s="3" t="s">
        <v>81</v>
      </c>
      <c r="L112" s="3" t="s">
        <v>81</v>
      </c>
      <c r="M112" s="3" t="s">
        <v>81</v>
      </c>
      <c r="N112" s="3" t="s">
        <v>81</v>
      </c>
      <c r="O112" s="3" t="s">
        <v>81</v>
      </c>
      <c r="P112" s="3" t="s">
        <v>81</v>
      </c>
      <c r="Q112" s="3">
        <v>26.556999999999999</v>
      </c>
      <c r="R112" s="3">
        <v>0</v>
      </c>
      <c r="S112" s="3" t="s">
        <v>81</v>
      </c>
      <c r="T112" s="3" t="s">
        <v>81</v>
      </c>
      <c r="U112" s="3" t="s">
        <v>81</v>
      </c>
      <c r="V112" s="3" t="s">
        <v>81</v>
      </c>
      <c r="W112" s="3" t="s">
        <v>81</v>
      </c>
      <c r="X112" s="3" t="s">
        <v>81</v>
      </c>
      <c r="Y112" s="3" t="s">
        <v>81</v>
      </c>
      <c r="Z112" s="3" t="s">
        <v>81</v>
      </c>
      <c r="AA112" s="3" t="s">
        <v>81</v>
      </c>
      <c r="AB112" s="3">
        <v>33.177999999999997</v>
      </c>
      <c r="AC112" s="3">
        <v>0</v>
      </c>
      <c r="AD112" s="3" t="s">
        <v>81</v>
      </c>
      <c r="AE112" s="3" t="s">
        <v>81</v>
      </c>
      <c r="AF112" s="3" t="s">
        <v>81</v>
      </c>
      <c r="AG112" s="3" t="s">
        <v>81</v>
      </c>
      <c r="AH112" s="3" t="s">
        <v>81</v>
      </c>
      <c r="AI112" s="3" t="s">
        <v>81</v>
      </c>
      <c r="AJ112" s="3" t="s">
        <v>81</v>
      </c>
      <c r="AK112" s="3" t="s">
        <v>81</v>
      </c>
      <c r="AL112" s="3" t="s">
        <v>81</v>
      </c>
      <c r="AM112" s="3">
        <v>28.754999999999999</v>
      </c>
      <c r="AN112" s="3">
        <v>0</v>
      </c>
      <c r="AO112" s="3" t="s">
        <v>81</v>
      </c>
      <c r="AP112" s="3" t="s">
        <v>81</v>
      </c>
      <c r="AQ112" s="3" t="s">
        <v>81</v>
      </c>
      <c r="AR112" s="3" t="s">
        <v>81</v>
      </c>
      <c r="AS112" s="3" t="s">
        <v>81</v>
      </c>
      <c r="AT112" s="3" t="s">
        <v>81</v>
      </c>
      <c r="AU112" s="3" t="s">
        <v>81</v>
      </c>
      <c r="AV112" s="3" t="s">
        <v>81</v>
      </c>
      <c r="AW112" s="3" t="s">
        <v>81</v>
      </c>
      <c r="AX112" s="3">
        <v>26.931000000000001</v>
      </c>
      <c r="AY112" s="3">
        <v>0</v>
      </c>
      <c r="AZ112" s="3" t="s">
        <v>81</v>
      </c>
      <c r="BA112" s="3" t="s">
        <v>81</v>
      </c>
      <c r="BB112" s="3" t="s">
        <v>81</v>
      </c>
      <c r="BC112" s="3" t="s">
        <v>81</v>
      </c>
      <c r="BD112" s="3" t="s">
        <v>81</v>
      </c>
      <c r="BE112" s="3" t="s">
        <v>81</v>
      </c>
      <c r="BF112" s="3" t="s">
        <v>81</v>
      </c>
      <c r="BG112" s="3" t="s">
        <v>81</v>
      </c>
      <c r="BH112" s="3" t="s">
        <v>81</v>
      </c>
      <c r="BI112" s="3" t="s">
        <v>84</v>
      </c>
      <c r="BJ112" s="3" t="s">
        <v>82</v>
      </c>
      <c r="BK112" s="3" t="s">
        <v>83</v>
      </c>
      <c r="BL112" s="3" t="s">
        <v>84</v>
      </c>
      <c r="BM112" s="3" t="s">
        <v>84</v>
      </c>
      <c r="BN112" s="3" t="s">
        <v>84</v>
      </c>
      <c r="BO112" s="3" t="s">
        <v>82</v>
      </c>
      <c r="BP112" s="3" t="s">
        <v>87</v>
      </c>
      <c r="BQ112" s="3" t="s">
        <v>87</v>
      </c>
      <c r="BR112" s="3" t="s">
        <v>87</v>
      </c>
      <c r="BS112" s="3" t="s">
        <v>87</v>
      </c>
      <c r="BT112" s="3" t="s">
        <v>87</v>
      </c>
      <c r="BU112" s="3" t="s">
        <v>81</v>
      </c>
      <c r="BV112" s="3" t="s">
        <v>84</v>
      </c>
      <c r="BW112" s="3" t="s">
        <v>83</v>
      </c>
      <c r="BX112" s="3" t="s">
        <v>82</v>
      </c>
      <c r="BY112" s="3" t="s">
        <v>159</v>
      </c>
      <c r="BZ112" s="3" t="s">
        <v>93</v>
      </c>
      <c r="CB112" s="3" t="s">
        <v>84</v>
      </c>
      <c r="CD112" s="9"/>
      <c r="CE112" s="9"/>
      <c r="CF112" s="9"/>
    </row>
    <row r="113" spans="1:87" ht="13" x14ac:dyDescent="0.15">
      <c r="A113" s="3">
        <v>2625849416</v>
      </c>
      <c r="B113" s="3" t="s">
        <v>250</v>
      </c>
      <c r="C113" s="3" t="s">
        <v>250</v>
      </c>
      <c r="D113" s="3" t="s">
        <v>81</v>
      </c>
      <c r="E113" s="3">
        <v>62</v>
      </c>
      <c r="F113" s="3">
        <v>30.358000000000001</v>
      </c>
      <c r="G113" s="3">
        <v>0</v>
      </c>
      <c r="H113" s="3" t="s">
        <v>81</v>
      </c>
      <c r="I113" s="3" t="s">
        <v>81</v>
      </c>
      <c r="J113" s="3" t="s">
        <v>81</v>
      </c>
      <c r="K113" s="3" t="s">
        <v>81</v>
      </c>
      <c r="L113" s="3" t="s">
        <v>81</v>
      </c>
      <c r="M113" s="3" t="s">
        <v>81</v>
      </c>
      <c r="N113" s="3" t="s">
        <v>81</v>
      </c>
      <c r="O113" s="3" t="s">
        <v>81</v>
      </c>
      <c r="P113" s="3" t="s">
        <v>81</v>
      </c>
      <c r="Q113" s="3">
        <v>31.202999999999999</v>
      </c>
      <c r="R113" s="3">
        <v>0</v>
      </c>
      <c r="S113" s="3" t="s">
        <v>81</v>
      </c>
      <c r="T113" s="3" t="s">
        <v>81</v>
      </c>
      <c r="U113" s="3" t="s">
        <v>81</v>
      </c>
      <c r="V113" s="3" t="s">
        <v>81</v>
      </c>
      <c r="W113" s="3" t="s">
        <v>81</v>
      </c>
      <c r="X113" s="3" t="s">
        <v>81</v>
      </c>
      <c r="Y113" s="3" t="s">
        <v>81</v>
      </c>
      <c r="Z113" s="3" t="s">
        <v>81</v>
      </c>
      <c r="AA113" s="3" t="s">
        <v>81</v>
      </c>
      <c r="AB113" s="3">
        <v>30.797000000000001</v>
      </c>
      <c r="AC113" s="3">
        <v>0</v>
      </c>
      <c r="AD113" s="3" t="s">
        <v>81</v>
      </c>
      <c r="AE113" s="3" t="s">
        <v>81</v>
      </c>
      <c r="AF113" s="3" t="s">
        <v>81</v>
      </c>
      <c r="AG113" s="3" t="s">
        <v>81</v>
      </c>
      <c r="AH113" s="3" t="s">
        <v>81</v>
      </c>
      <c r="AI113" s="3" t="s">
        <v>81</v>
      </c>
      <c r="AJ113" s="3" t="s">
        <v>81</v>
      </c>
      <c r="AK113" s="3" t="s">
        <v>81</v>
      </c>
      <c r="AL113" s="3" t="s">
        <v>81</v>
      </c>
      <c r="AM113" s="3">
        <v>27.039000000000001</v>
      </c>
      <c r="AN113" s="3">
        <v>0</v>
      </c>
      <c r="AO113" s="3" t="s">
        <v>81</v>
      </c>
      <c r="AP113" s="3" t="s">
        <v>81</v>
      </c>
      <c r="AQ113" s="3" t="s">
        <v>81</v>
      </c>
      <c r="AR113" s="3" t="s">
        <v>81</v>
      </c>
      <c r="AS113" s="3" t="s">
        <v>81</v>
      </c>
      <c r="AT113" s="3" t="s">
        <v>81</v>
      </c>
      <c r="AU113" s="3" t="s">
        <v>81</v>
      </c>
      <c r="AV113" s="3" t="s">
        <v>81</v>
      </c>
      <c r="AW113" s="3" t="s">
        <v>81</v>
      </c>
      <c r="AX113" s="3">
        <v>37.518000000000001</v>
      </c>
      <c r="AY113" s="3">
        <v>0</v>
      </c>
      <c r="AZ113" s="3" t="s">
        <v>81</v>
      </c>
      <c r="BA113" s="3" t="s">
        <v>81</v>
      </c>
      <c r="BB113" s="3" t="s">
        <v>81</v>
      </c>
      <c r="BC113" s="3" t="s">
        <v>81</v>
      </c>
      <c r="BD113" s="3" t="s">
        <v>81</v>
      </c>
      <c r="BE113" s="3" t="s">
        <v>81</v>
      </c>
      <c r="BF113" s="3" t="s">
        <v>81</v>
      </c>
      <c r="BG113" s="3" t="s">
        <v>81</v>
      </c>
      <c r="BH113" s="3" t="s">
        <v>81</v>
      </c>
      <c r="BI113" s="3" t="s">
        <v>84</v>
      </c>
      <c r="BJ113" s="3" t="s">
        <v>82</v>
      </c>
      <c r="BK113" s="3" t="s">
        <v>83</v>
      </c>
      <c r="BL113" s="3" t="s">
        <v>84</v>
      </c>
      <c r="BM113" s="3" t="s">
        <v>84</v>
      </c>
      <c r="BN113" s="3" t="s">
        <v>82</v>
      </c>
      <c r="BO113" s="3" t="s">
        <v>84</v>
      </c>
      <c r="BP113" s="3" t="s">
        <v>87</v>
      </c>
      <c r="BQ113" s="3" t="s">
        <v>87</v>
      </c>
      <c r="BR113" s="3" t="s">
        <v>87</v>
      </c>
      <c r="BS113" s="3" t="s">
        <v>87</v>
      </c>
      <c r="BT113" s="3" t="s">
        <v>87</v>
      </c>
      <c r="BU113" s="3" t="s">
        <v>81</v>
      </c>
      <c r="BV113" s="3" t="s">
        <v>84</v>
      </c>
      <c r="BW113" s="3" t="s">
        <v>83</v>
      </c>
      <c r="BX113" s="3" t="s">
        <v>82</v>
      </c>
      <c r="BY113" s="3" t="s">
        <v>252</v>
      </c>
      <c r="BZ113" s="3" t="s">
        <v>86</v>
      </c>
      <c r="CB113" s="3" t="s">
        <v>84</v>
      </c>
      <c r="CD113" s="9">
        <v>19</v>
      </c>
      <c r="CE113" s="9">
        <v>62</v>
      </c>
      <c r="CF113" s="9">
        <v>17</v>
      </c>
      <c r="CG113" s="9">
        <v>48</v>
      </c>
    </row>
    <row r="114" spans="1:87" ht="13" x14ac:dyDescent="0.15">
      <c r="A114" s="3">
        <v>2625910617</v>
      </c>
      <c r="B114" s="3" t="s">
        <v>250</v>
      </c>
      <c r="C114" s="3" t="s">
        <v>250</v>
      </c>
      <c r="D114" s="3">
        <v>6</v>
      </c>
      <c r="E114" s="3">
        <v>16</v>
      </c>
      <c r="F114" s="3">
        <v>20.175000000000001</v>
      </c>
      <c r="G114" s="3">
        <v>0</v>
      </c>
      <c r="H114" s="3" t="s">
        <v>81</v>
      </c>
      <c r="I114" s="3" t="s">
        <v>81</v>
      </c>
      <c r="J114" s="3" t="s">
        <v>81</v>
      </c>
      <c r="K114" s="3" t="s">
        <v>81</v>
      </c>
      <c r="L114" s="3" t="s">
        <v>81</v>
      </c>
      <c r="M114" s="3" t="s">
        <v>81</v>
      </c>
      <c r="N114" s="3" t="s">
        <v>81</v>
      </c>
      <c r="O114" s="3" t="s">
        <v>81</v>
      </c>
      <c r="P114" s="3" t="s">
        <v>81</v>
      </c>
      <c r="Q114" s="3">
        <v>17.369</v>
      </c>
      <c r="R114" s="3">
        <v>0</v>
      </c>
      <c r="S114" s="3" t="s">
        <v>81</v>
      </c>
      <c r="T114" s="3" t="s">
        <v>81</v>
      </c>
      <c r="U114" s="3" t="s">
        <v>81</v>
      </c>
      <c r="V114" s="3" t="s">
        <v>81</v>
      </c>
      <c r="W114" s="3" t="s">
        <v>81</v>
      </c>
      <c r="X114" s="3" t="s">
        <v>81</v>
      </c>
      <c r="Y114" s="3" t="s">
        <v>81</v>
      </c>
      <c r="Z114" s="3" t="s">
        <v>81</v>
      </c>
      <c r="AA114" s="3" t="s">
        <v>81</v>
      </c>
      <c r="AB114" s="3">
        <v>17.638999999999999</v>
      </c>
      <c r="AC114" s="3">
        <v>0</v>
      </c>
      <c r="AD114" s="3" t="s">
        <v>81</v>
      </c>
      <c r="AE114" s="3" t="s">
        <v>81</v>
      </c>
      <c r="AF114" s="3" t="s">
        <v>81</v>
      </c>
      <c r="AG114" s="3" t="s">
        <v>81</v>
      </c>
      <c r="AH114" s="3" t="s">
        <v>81</v>
      </c>
      <c r="AI114" s="3" t="s">
        <v>81</v>
      </c>
      <c r="AJ114" s="3" t="s">
        <v>81</v>
      </c>
      <c r="AK114" s="3" t="s">
        <v>81</v>
      </c>
      <c r="AL114" s="3" t="s">
        <v>81</v>
      </c>
      <c r="AM114" s="3">
        <v>21.327999999999999</v>
      </c>
      <c r="AN114" s="3">
        <v>0</v>
      </c>
      <c r="AO114" s="3" t="s">
        <v>81</v>
      </c>
      <c r="AP114" s="3" t="s">
        <v>81</v>
      </c>
      <c r="AQ114" s="3" t="s">
        <v>81</v>
      </c>
      <c r="AR114" s="3" t="s">
        <v>81</v>
      </c>
      <c r="AS114" s="3" t="s">
        <v>81</v>
      </c>
      <c r="AT114" s="3" t="s">
        <v>81</v>
      </c>
      <c r="AU114" s="3" t="s">
        <v>81</v>
      </c>
      <c r="AV114" s="3" t="s">
        <v>81</v>
      </c>
      <c r="AW114" s="3" t="s">
        <v>81</v>
      </c>
      <c r="AX114" s="3">
        <v>18.163</v>
      </c>
      <c r="AY114" s="3">
        <v>0</v>
      </c>
      <c r="AZ114" s="3" t="s">
        <v>81</v>
      </c>
      <c r="BA114" s="3" t="s">
        <v>81</v>
      </c>
      <c r="BB114" s="3" t="s">
        <v>81</v>
      </c>
      <c r="BC114" s="3" t="s">
        <v>81</v>
      </c>
      <c r="BD114" s="3" t="s">
        <v>81</v>
      </c>
      <c r="BE114" s="3" t="s">
        <v>81</v>
      </c>
      <c r="BF114" s="3" t="s">
        <v>81</v>
      </c>
      <c r="BG114" s="3" t="s">
        <v>81</v>
      </c>
      <c r="BH114" s="3" t="s">
        <v>81</v>
      </c>
      <c r="BI114" s="3" t="s">
        <v>84</v>
      </c>
      <c r="BJ114" s="3" t="s">
        <v>82</v>
      </c>
      <c r="BK114" s="3" t="s">
        <v>83</v>
      </c>
      <c r="BL114" s="3" t="s">
        <v>84</v>
      </c>
      <c r="BM114" s="3" t="s">
        <v>84</v>
      </c>
      <c r="BN114" s="3" t="s">
        <v>84</v>
      </c>
      <c r="BO114" s="3" t="s">
        <v>82</v>
      </c>
      <c r="BP114" s="3" t="s">
        <v>87</v>
      </c>
      <c r="BQ114" s="3" t="s">
        <v>87</v>
      </c>
      <c r="BR114" s="3" t="s">
        <v>87</v>
      </c>
      <c r="BS114" s="3" t="s">
        <v>87</v>
      </c>
      <c r="BT114" s="3" t="s">
        <v>87</v>
      </c>
      <c r="BU114" s="3" t="s">
        <v>81</v>
      </c>
      <c r="BV114" s="3" t="s">
        <v>84</v>
      </c>
      <c r="BW114" s="3" t="s">
        <v>83</v>
      </c>
      <c r="BX114" s="3" t="s">
        <v>82</v>
      </c>
      <c r="BZ114" s="3" t="s">
        <v>86</v>
      </c>
      <c r="CB114" s="3" t="s">
        <v>84</v>
      </c>
      <c r="CD114" s="9">
        <v>17</v>
      </c>
      <c r="CE114" s="9"/>
      <c r="CF114" s="9"/>
    </row>
    <row r="115" spans="1:87" ht="13" x14ac:dyDescent="0.15">
      <c r="A115" s="3">
        <v>2625861943</v>
      </c>
      <c r="B115" s="3" t="s">
        <v>250</v>
      </c>
      <c r="C115" s="3" t="s">
        <v>250</v>
      </c>
      <c r="D115" s="3" t="s">
        <v>81</v>
      </c>
      <c r="E115" s="3">
        <v>14</v>
      </c>
      <c r="F115" s="3">
        <v>19.661999999999999</v>
      </c>
      <c r="G115" s="3">
        <v>0</v>
      </c>
      <c r="H115" s="3" t="s">
        <v>81</v>
      </c>
      <c r="I115" s="3" t="s">
        <v>81</v>
      </c>
      <c r="J115" s="3" t="s">
        <v>81</v>
      </c>
      <c r="K115" s="3" t="s">
        <v>81</v>
      </c>
      <c r="L115" s="3" t="s">
        <v>81</v>
      </c>
      <c r="M115" s="3" t="s">
        <v>81</v>
      </c>
      <c r="N115" s="3" t="s">
        <v>81</v>
      </c>
      <c r="O115" s="3" t="s">
        <v>81</v>
      </c>
      <c r="P115" s="3" t="s">
        <v>81</v>
      </c>
      <c r="Q115" s="3">
        <v>17.756</v>
      </c>
      <c r="R115" s="3">
        <v>0</v>
      </c>
      <c r="S115" s="3" t="s">
        <v>81</v>
      </c>
      <c r="T115" s="3" t="s">
        <v>81</v>
      </c>
      <c r="U115" s="3" t="s">
        <v>81</v>
      </c>
      <c r="V115" s="3" t="s">
        <v>81</v>
      </c>
      <c r="W115" s="3" t="s">
        <v>81</v>
      </c>
      <c r="X115" s="3" t="s">
        <v>81</v>
      </c>
      <c r="Y115" s="3" t="s">
        <v>81</v>
      </c>
      <c r="Z115" s="3" t="s">
        <v>81</v>
      </c>
      <c r="AA115" s="3" t="s">
        <v>81</v>
      </c>
      <c r="AB115" s="3">
        <v>19.474</v>
      </c>
      <c r="AC115" s="3">
        <v>0</v>
      </c>
      <c r="AD115" s="3" t="s">
        <v>81</v>
      </c>
      <c r="AE115" s="3" t="s">
        <v>81</v>
      </c>
      <c r="AF115" s="3" t="s">
        <v>81</v>
      </c>
      <c r="AG115" s="3" t="s">
        <v>81</v>
      </c>
      <c r="AH115" s="3" t="s">
        <v>81</v>
      </c>
      <c r="AI115" s="3" t="s">
        <v>81</v>
      </c>
      <c r="AJ115" s="3" t="s">
        <v>81</v>
      </c>
      <c r="AK115" s="3" t="s">
        <v>81</v>
      </c>
      <c r="AL115" s="3" t="s">
        <v>81</v>
      </c>
      <c r="AM115" s="3">
        <v>16.968</v>
      </c>
      <c r="AN115" s="3">
        <v>0</v>
      </c>
      <c r="AO115" s="3" t="s">
        <v>81</v>
      </c>
      <c r="AP115" s="3" t="s">
        <v>81</v>
      </c>
      <c r="AQ115" s="3" t="s">
        <v>81</v>
      </c>
      <c r="AR115" s="3" t="s">
        <v>81</v>
      </c>
      <c r="AS115" s="3" t="s">
        <v>81</v>
      </c>
      <c r="AT115" s="3" t="s">
        <v>81</v>
      </c>
      <c r="AU115" s="3" t="s">
        <v>81</v>
      </c>
      <c r="AV115" s="3" t="s">
        <v>81</v>
      </c>
      <c r="AW115" s="3" t="s">
        <v>81</v>
      </c>
      <c r="AX115" s="3">
        <v>17.286999999999999</v>
      </c>
      <c r="AY115" s="3">
        <v>0</v>
      </c>
      <c r="AZ115" s="3" t="s">
        <v>81</v>
      </c>
      <c r="BA115" s="3" t="s">
        <v>81</v>
      </c>
      <c r="BB115" s="3" t="s">
        <v>81</v>
      </c>
      <c r="BC115" s="3" t="s">
        <v>81</v>
      </c>
      <c r="BD115" s="3" t="s">
        <v>81</v>
      </c>
      <c r="BE115" s="3" t="s">
        <v>81</v>
      </c>
      <c r="BF115" s="3" t="s">
        <v>81</v>
      </c>
      <c r="BG115" s="3" t="s">
        <v>81</v>
      </c>
      <c r="BH115" s="3" t="s">
        <v>81</v>
      </c>
      <c r="BI115" s="3" t="s">
        <v>84</v>
      </c>
      <c r="BJ115" s="3" t="s">
        <v>82</v>
      </c>
      <c r="BK115" s="3" t="s">
        <v>83</v>
      </c>
      <c r="BL115" s="3" t="s">
        <v>84</v>
      </c>
      <c r="BM115" s="3" t="s">
        <v>84</v>
      </c>
      <c r="BN115" s="3" t="s">
        <v>84</v>
      </c>
      <c r="BO115" s="3" t="s">
        <v>82</v>
      </c>
      <c r="BP115" s="3" t="s">
        <v>87</v>
      </c>
      <c r="BQ115" s="3" t="s">
        <v>87</v>
      </c>
      <c r="BR115" s="3" t="s">
        <v>87</v>
      </c>
      <c r="BS115" s="3" t="s">
        <v>87</v>
      </c>
      <c r="BT115" s="3" t="s">
        <v>87</v>
      </c>
      <c r="BU115" s="3" t="s">
        <v>81</v>
      </c>
      <c r="BV115" s="3" t="s">
        <v>84</v>
      </c>
      <c r="BW115" s="3" t="s">
        <v>83</v>
      </c>
      <c r="BX115" s="3" t="s">
        <v>82</v>
      </c>
      <c r="BZ115" s="3" t="s">
        <v>86</v>
      </c>
      <c r="CB115" s="3" t="s">
        <v>84</v>
      </c>
      <c r="CD115" s="9">
        <v>10</v>
      </c>
      <c r="CE115" s="9">
        <v>14</v>
      </c>
      <c r="CF115" s="9"/>
    </row>
    <row r="116" spans="1:87" ht="13" hidden="1" x14ac:dyDescent="0.15">
      <c r="A116" s="3">
        <v>1228199232</v>
      </c>
      <c r="B116" s="3" t="s">
        <v>275</v>
      </c>
      <c r="C116" s="3" t="s">
        <v>275</v>
      </c>
      <c r="D116" s="3">
        <v>3</v>
      </c>
      <c r="E116" s="3">
        <v>3</v>
      </c>
      <c r="F116" s="3" t="s">
        <v>81</v>
      </c>
      <c r="G116" s="3">
        <v>1</v>
      </c>
      <c r="H116" s="3">
        <v>9.8930000000000007</v>
      </c>
      <c r="I116" s="3">
        <v>10.657999999999999</v>
      </c>
      <c r="J116" s="3" t="s">
        <v>81</v>
      </c>
      <c r="K116" s="3" t="s">
        <v>81</v>
      </c>
      <c r="L116" s="3" t="s">
        <v>81</v>
      </c>
      <c r="M116" s="3" t="s">
        <v>81</v>
      </c>
      <c r="N116" s="3" t="s">
        <v>81</v>
      </c>
      <c r="O116" s="3" t="s">
        <v>81</v>
      </c>
      <c r="P116" s="3" t="s">
        <v>81</v>
      </c>
      <c r="Q116" s="3" t="s">
        <v>81</v>
      </c>
      <c r="R116" s="3">
        <v>1</v>
      </c>
      <c r="S116" s="3">
        <v>13.035</v>
      </c>
      <c r="T116" s="3">
        <v>9.5380000000000003</v>
      </c>
      <c r="U116" s="3" t="s">
        <v>81</v>
      </c>
      <c r="V116" s="3" t="s">
        <v>81</v>
      </c>
      <c r="W116" s="3" t="s">
        <v>81</v>
      </c>
      <c r="X116" s="3" t="s">
        <v>81</v>
      </c>
      <c r="Y116" s="3" t="s">
        <v>81</v>
      </c>
      <c r="Z116" s="3" t="s">
        <v>81</v>
      </c>
      <c r="AA116" s="3" t="s">
        <v>81</v>
      </c>
      <c r="AB116" s="3" t="s">
        <v>81</v>
      </c>
      <c r="AC116" s="3">
        <v>1</v>
      </c>
      <c r="AD116" s="3">
        <v>9.7799999999999994</v>
      </c>
      <c r="AE116" s="3">
        <v>9.9939999999999998</v>
      </c>
      <c r="AF116" s="3" t="s">
        <v>81</v>
      </c>
      <c r="AG116" s="3" t="s">
        <v>81</v>
      </c>
      <c r="AH116" s="3" t="s">
        <v>81</v>
      </c>
      <c r="AI116" s="3" t="s">
        <v>81</v>
      </c>
      <c r="AJ116" s="3" t="s">
        <v>81</v>
      </c>
      <c r="AK116" s="3" t="s">
        <v>81</v>
      </c>
      <c r="AL116" s="3" t="s">
        <v>81</v>
      </c>
      <c r="AM116" s="3" t="s">
        <v>81</v>
      </c>
      <c r="AN116" s="3" t="s">
        <v>81</v>
      </c>
      <c r="AO116" s="3" t="s">
        <v>81</v>
      </c>
      <c r="AP116" s="3" t="s">
        <v>81</v>
      </c>
      <c r="AQ116" s="3" t="s">
        <v>81</v>
      </c>
      <c r="AR116" s="3" t="s">
        <v>81</v>
      </c>
      <c r="AS116" s="3" t="s">
        <v>81</v>
      </c>
      <c r="AT116" s="3" t="s">
        <v>81</v>
      </c>
      <c r="AU116" s="3" t="s">
        <v>81</v>
      </c>
      <c r="AV116" s="3" t="s">
        <v>81</v>
      </c>
      <c r="AW116" s="3" t="s">
        <v>81</v>
      </c>
      <c r="AX116" s="3" t="s">
        <v>81</v>
      </c>
      <c r="AY116" s="3" t="s">
        <v>81</v>
      </c>
      <c r="AZ116" s="3" t="s">
        <v>81</v>
      </c>
      <c r="BA116" s="3" t="s">
        <v>81</v>
      </c>
      <c r="BB116" s="3" t="s">
        <v>81</v>
      </c>
      <c r="BC116" s="3" t="s">
        <v>81</v>
      </c>
      <c r="BD116" s="3" t="s">
        <v>81</v>
      </c>
      <c r="BE116" s="3" t="s">
        <v>81</v>
      </c>
      <c r="BF116" s="3" t="s">
        <v>81</v>
      </c>
      <c r="BG116" s="3" t="s">
        <v>81</v>
      </c>
      <c r="BH116" s="3" t="s">
        <v>81</v>
      </c>
      <c r="BI116" s="3" t="s">
        <v>84</v>
      </c>
      <c r="BJ116" s="3" t="s">
        <v>82</v>
      </c>
      <c r="BK116" s="3" t="s">
        <v>83</v>
      </c>
      <c r="BL116" s="3" t="s">
        <v>84</v>
      </c>
      <c r="BM116" s="3" t="s">
        <v>84</v>
      </c>
      <c r="BN116" s="3" t="s">
        <v>84</v>
      </c>
      <c r="BO116" s="3" t="s">
        <v>84</v>
      </c>
      <c r="BP116" s="3" t="s">
        <v>276</v>
      </c>
      <c r="BQ116" s="3" t="s">
        <v>276</v>
      </c>
      <c r="BR116" s="3" t="s">
        <v>277</v>
      </c>
      <c r="BS116" s="3" t="s">
        <v>278</v>
      </c>
      <c r="BT116" s="3" t="s">
        <v>106</v>
      </c>
      <c r="BU116" s="3" t="s">
        <v>129</v>
      </c>
      <c r="BV116" s="3" t="s">
        <v>82</v>
      </c>
      <c r="BW116" s="3" t="s">
        <v>91</v>
      </c>
      <c r="BX116" s="3" t="s">
        <v>82</v>
      </c>
      <c r="BY116" s="3" t="s">
        <v>279</v>
      </c>
      <c r="BZ116" s="3" t="s">
        <v>93</v>
      </c>
      <c r="CA116" s="3"/>
      <c r="CB116" s="3"/>
      <c r="CC116" s="3"/>
      <c r="CD116" s="9">
        <v>2</v>
      </c>
      <c r="CE116" s="9">
        <v>2</v>
      </c>
      <c r="CF116" s="9">
        <v>3</v>
      </c>
      <c r="CG116" s="6"/>
      <c r="CH116" s="6"/>
    </row>
    <row r="117" spans="1:87" ht="13" hidden="1" x14ac:dyDescent="0.15">
      <c r="A117" s="3">
        <v>1228614349</v>
      </c>
      <c r="B117" s="3" t="s">
        <v>275</v>
      </c>
      <c r="C117" s="3" t="s">
        <v>275</v>
      </c>
      <c r="D117" s="3">
        <v>9</v>
      </c>
      <c r="E117" s="3">
        <v>11</v>
      </c>
      <c r="F117" s="3">
        <v>27.343</v>
      </c>
      <c r="G117" s="3">
        <v>2</v>
      </c>
      <c r="H117" s="3">
        <v>19.818000000000001</v>
      </c>
      <c r="I117" s="3">
        <v>14.523999999999999</v>
      </c>
      <c r="J117" s="3">
        <v>6.9740000000000002</v>
      </c>
      <c r="K117" s="3">
        <v>12.875999999999999</v>
      </c>
      <c r="L117" s="3">
        <v>0.44500000000000001</v>
      </c>
      <c r="M117" s="3" t="s">
        <v>81</v>
      </c>
      <c r="N117" s="3" t="s">
        <v>81</v>
      </c>
      <c r="O117" s="3" t="s">
        <v>81</v>
      </c>
      <c r="P117" s="3" t="s">
        <v>81</v>
      </c>
      <c r="Q117" s="3">
        <v>36.768000000000001</v>
      </c>
      <c r="R117" s="3">
        <v>1</v>
      </c>
      <c r="S117" s="3">
        <v>23.63</v>
      </c>
      <c r="T117" s="3">
        <v>7.9649999999999999</v>
      </c>
      <c r="U117" s="3">
        <v>12.411</v>
      </c>
      <c r="V117" s="3" t="s">
        <v>81</v>
      </c>
      <c r="W117" s="3" t="s">
        <v>81</v>
      </c>
      <c r="X117" s="3" t="s">
        <v>81</v>
      </c>
      <c r="Y117" s="3" t="s">
        <v>81</v>
      </c>
      <c r="Z117" s="3" t="s">
        <v>81</v>
      </c>
      <c r="AA117" s="3" t="s">
        <v>81</v>
      </c>
      <c r="AB117" s="3">
        <v>43.091999999999999</v>
      </c>
      <c r="AC117" s="3">
        <v>2</v>
      </c>
      <c r="AD117" s="3">
        <v>14.069000000000001</v>
      </c>
      <c r="AE117" s="3">
        <v>17.641999999999999</v>
      </c>
      <c r="AF117" s="3">
        <v>9.1050000000000004</v>
      </c>
      <c r="AG117" s="3">
        <v>11.183999999999999</v>
      </c>
      <c r="AH117" s="3">
        <v>18.428000000000001</v>
      </c>
      <c r="AI117" s="3" t="s">
        <v>81</v>
      </c>
      <c r="AJ117" s="3" t="s">
        <v>81</v>
      </c>
      <c r="AK117" s="3" t="s">
        <v>81</v>
      </c>
      <c r="AL117" s="3" t="s">
        <v>81</v>
      </c>
      <c r="AM117" s="3">
        <v>23.773</v>
      </c>
      <c r="AN117" s="3">
        <v>2</v>
      </c>
      <c r="AO117" s="3">
        <v>15.462999999999999</v>
      </c>
      <c r="AP117" s="3">
        <v>16.600000000000001</v>
      </c>
      <c r="AQ117" s="3">
        <v>8.2989999999999995</v>
      </c>
      <c r="AR117" s="3">
        <v>5.242</v>
      </c>
      <c r="AS117" s="3">
        <v>0.624</v>
      </c>
      <c r="AT117" s="3" t="s">
        <v>81</v>
      </c>
      <c r="AU117" s="3" t="s">
        <v>81</v>
      </c>
      <c r="AV117" s="3" t="s">
        <v>81</v>
      </c>
      <c r="AW117" s="3" t="s">
        <v>81</v>
      </c>
      <c r="AX117" s="3">
        <v>25.675999999999998</v>
      </c>
      <c r="AY117" s="3">
        <v>2</v>
      </c>
      <c r="AZ117" s="3">
        <v>19.61</v>
      </c>
      <c r="BA117" s="3">
        <v>14.221</v>
      </c>
      <c r="BB117" s="3">
        <v>6.0739999999999998</v>
      </c>
      <c r="BC117" s="3">
        <v>4.4050000000000002</v>
      </c>
      <c r="BD117" s="3">
        <v>0.42499999999999999</v>
      </c>
      <c r="BE117" s="3" t="s">
        <v>81</v>
      </c>
      <c r="BF117" s="3" t="s">
        <v>81</v>
      </c>
      <c r="BG117" s="3" t="s">
        <v>81</v>
      </c>
      <c r="BH117" s="3" t="s">
        <v>81</v>
      </c>
      <c r="BI117" s="3" t="s">
        <v>84</v>
      </c>
      <c r="BJ117" s="3" t="s">
        <v>82</v>
      </c>
      <c r="BK117" s="3" t="s">
        <v>83</v>
      </c>
      <c r="BL117" s="3" t="s">
        <v>84</v>
      </c>
      <c r="BM117" s="3" t="s">
        <v>84</v>
      </c>
      <c r="BN117" s="3" t="s">
        <v>84</v>
      </c>
      <c r="BO117" s="3" t="s">
        <v>84</v>
      </c>
      <c r="BP117" s="3" t="s">
        <v>87</v>
      </c>
      <c r="BQ117" s="3" t="s">
        <v>87</v>
      </c>
      <c r="BR117" s="3" t="s">
        <v>87</v>
      </c>
      <c r="BS117" s="3" t="s">
        <v>87</v>
      </c>
      <c r="BT117" s="3" t="s">
        <v>87</v>
      </c>
      <c r="BU117" s="3" t="s">
        <v>81</v>
      </c>
      <c r="BV117" s="3" t="s">
        <v>82</v>
      </c>
      <c r="BW117" s="3" t="s">
        <v>91</v>
      </c>
      <c r="BX117" s="3" t="s">
        <v>82</v>
      </c>
      <c r="BY117" s="3" t="s">
        <v>280</v>
      </c>
      <c r="BZ117" s="3" t="s">
        <v>93</v>
      </c>
      <c r="CD117" s="9">
        <v>5</v>
      </c>
      <c r="CE117" s="9">
        <v>19</v>
      </c>
      <c r="CF117" s="9"/>
    </row>
    <row r="118" spans="1:87" ht="13" hidden="1" x14ac:dyDescent="0.15">
      <c r="A118" s="3">
        <v>1319207260</v>
      </c>
      <c r="B118" s="3" t="s">
        <v>275</v>
      </c>
      <c r="C118" s="3" t="s">
        <v>275</v>
      </c>
      <c r="D118" s="3">
        <v>4</v>
      </c>
      <c r="E118" s="3">
        <v>4</v>
      </c>
      <c r="F118" s="3">
        <v>10.176</v>
      </c>
      <c r="G118" s="3">
        <v>2</v>
      </c>
      <c r="H118" s="3">
        <v>5.1959999999999997</v>
      </c>
      <c r="I118" s="3">
        <v>9.2370000000000001</v>
      </c>
      <c r="J118" s="3">
        <v>1.889</v>
      </c>
      <c r="K118" s="3">
        <v>3.3180000000000001</v>
      </c>
      <c r="L118" s="3">
        <v>2.363</v>
      </c>
      <c r="M118" s="3" t="s">
        <v>81</v>
      </c>
      <c r="N118" s="3" t="s">
        <v>81</v>
      </c>
      <c r="O118" s="3" t="s">
        <v>81</v>
      </c>
      <c r="P118" s="3" t="s">
        <v>81</v>
      </c>
      <c r="Q118" s="3">
        <v>8.843</v>
      </c>
      <c r="R118" s="3">
        <v>2</v>
      </c>
      <c r="S118" s="3">
        <v>3.6240000000000001</v>
      </c>
      <c r="T118" s="3">
        <v>9.9220000000000006</v>
      </c>
      <c r="U118" s="3">
        <v>1.7969999999999999</v>
      </c>
      <c r="V118" s="3">
        <v>4.6349999999999998</v>
      </c>
      <c r="W118" s="3">
        <v>2.8420000000000001</v>
      </c>
      <c r="X118" s="3" t="s">
        <v>81</v>
      </c>
      <c r="Y118" s="3" t="s">
        <v>81</v>
      </c>
      <c r="Z118" s="3" t="s">
        <v>81</v>
      </c>
      <c r="AA118" s="3" t="s">
        <v>81</v>
      </c>
      <c r="AB118" s="3">
        <v>8.48</v>
      </c>
      <c r="AC118" s="3">
        <v>1</v>
      </c>
      <c r="AD118" s="3">
        <v>3.702</v>
      </c>
      <c r="AE118" s="3">
        <v>7.9880000000000004</v>
      </c>
      <c r="AF118" s="3">
        <v>4.1909999999999998</v>
      </c>
      <c r="AG118" s="3" t="s">
        <v>81</v>
      </c>
      <c r="AH118" s="3" t="s">
        <v>81</v>
      </c>
      <c r="AI118" s="3" t="s">
        <v>81</v>
      </c>
      <c r="AJ118" s="3" t="s">
        <v>81</v>
      </c>
      <c r="AK118" s="3" t="s">
        <v>81</v>
      </c>
      <c r="AL118" s="3" t="s">
        <v>81</v>
      </c>
      <c r="AM118" s="3">
        <v>9.1999999999999993</v>
      </c>
      <c r="AN118" s="3">
        <v>2</v>
      </c>
      <c r="AO118" s="3">
        <v>5.218</v>
      </c>
      <c r="AP118" s="3" t="s">
        <v>81</v>
      </c>
      <c r="AQ118" s="3">
        <v>1.583</v>
      </c>
      <c r="AR118" s="3">
        <v>4.2910000000000004</v>
      </c>
      <c r="AS118" s="3">
        <v>1.655</v>
      </c>
      <c r="AT118" s="3" t="s">
        <v>81</v>
      </c>
      <c r="AU118" s="3" t="s">
        <v>81</v>
      </c>
      <c r="AV118" s="3" t="s">
        <v>81</v>
      </c>
      <c r="AW118" s="3" t="s">
        <v>81</v>
      </c>
      <c r="AX118" s="3" t="s">
        <v>81</v>
      </c>
      <c r="AY118" s="3" t="s">
        <v>81</v>
      </c>
      <c r="AZ118" s="3" t="s">
        <v>81</v>
      </c>
      <c r="BA118" s="3" t="s">
        <v>81</v>
      </c>
      <c r="BB118" s="3" t="s">
        <v>81</v>
      </c>
      <c r="BC118" s="3" t="s">
        <v>81</v>
      </c>
      <c r="BD118" s="3" t="s">
        <v>81</v>
      </c>
      <c r="BE118" s="3" t="s">
        <v>81</v>
      </c>
      <c r="BF118" s="3" t="s">
        <v>81</v>
      </c>
      <c r="BG118" s="3" t="s">
        <v>81</v>
      </c>
      <c r="BH118" s="3" t="s">
        <v>81</v>
      </c>
      <c r="BI118" s="3" t="s">
        <v>84</v>
      </c>
      <c r="BJ118" s="3" t="s">
        <v>82</v>
      </c>
      <c r="BK118" s="3" t="s">
        <v>83</v>
      </c>
      <c r="BL118" s="3" t="s">
        <v>84</v>
      </c>
      <c r="BM118" s="3" t="s">
        <v>84</v>
      </c>
      <c r="BN118" s="3" t="s">
        <v>82</v>
      </c>
      <c r="BO118" s="3" t="s">
        <v>83</v>
      </c>
      <c r="BP118" s="3" t="s">
        <v>81</v>
      </c>
      <c r="BQ118" s="3" t="s">
        <v>81</v>
      </c>
      <c r="BR118" s="3" t="s">
        <v>81</v>
      </c>
      <c r="BS118" s="3" t="s">
        <v>81</v>
      </c>
      <c r="BT118" s="3" t="s">
        <v>81</v>
      </c>
      <c r="BU118" s="3" t="s">
        <v>81</v>
      </c>
      <c r="BV118" s="3" t="s">
        <v>82</v>
      </c>
      <c r="BW118" s="3" t="s">
        <v>111</v>
      </c>
      <c r="BX118" s="3" t="s">
        <v>82</v>
      </c>
      <c r="BZ118" s="3" t="s">
        <v>86</v>
      </c>
      <c r="CD118" s="9">
        <v>7</v>
      </c>
      <c r="CE118" s="9"/>
      <c r="CF118" s="9"/>
    </row>
    <row r="119" spans="1:87" ht="13" x14ac:dyDescent="0.15">
      <c r="A119" s="3">
        <v>1228451100</v>
      </c>
      <c r="B119" s="3" t="s">
        <v>250</v>
      </c>
      <c r="C119" s="3" t="s">
        <v>250</v>
      </c>
      <c r="D119" s="3" t="s">
        <v>81</v>
      </c>
      <c r="E119" s="3">
        <v>9</v>
      </c>
      <c r="F119" s="3">
        <v>20.544</v>
      </c>
      <c r="G119" s="3">
        <v>0</v>
      </c>
      <c r="H119" s="3" t="s">
        <v>81</v>
      </c>
      <c r="I119" s="3" t="s">
        <v>81</v>
      </c>
      <c r="J119" s="3" t="s">
        <v>81</v>
      </c>
      <c r="K119" s="3" t="s">
        <v>81</v>
      </c>
      <c r="L119" s="3" t="s">
        <v>81</v>
      </c>
      <c r="M119" s="3" t="s">
        <v>81</v>
      </c>
      <c r="N119" s="3" t="s">
        <v>81</v>
      </c>
      <c r="O119" s="3" t="s">
        <v>81</v>
      </c>
      <c r="P119" s="3" t="s">
        <v>81</v>
      </c>
      <c r="Q119" s="3">
        <v>23.85</v>
      </c>
      <c r="R119" s="3">
        <v>0</v>
      </c>
      <c r="S119" s="3" t="s">
        <v>81</v>
      </c>
      <c r="T119" s="3" t="s">
        <v>81</v>
      </c>
      <c r="U119" s="3" t="s">
        <v>81</v>
      </c>
      <c r="V119" s="3" t="s">
        <v>81</v>
      </c>
      <c r="W119" s="3" t="s">
        <v>81</v>
      </c>
      <c r="X119" s="3" t="s">
        <v>81</v>
      </c>
      <c r="Y119" s="3" t="s">
        <v>81</v>
      </c>
      <c r="Z119" s="3" t="s">
        <v>81</v>
      </c>
      <c r="AA119" s="3" t="s">
        <v>81</v>
      </c>
      <c r="AB119" s="3">
        <v>24.663</v>
      </c>
      <c r="AC119" s="3">
        <v>0</v>
      </c>
      <c r="AD119" s="3" t="s">
        <v>81</v>
      </c>
      <c r="AE119" s="3" t="s">
        <v>81</v>
      </c>
      <c r="AF119" s="3" t="s">
        <v>81</v>
      </c>
      <c r="AG119" s="3" t="s">
        <v>81</v>
      </c>
      <c r="AH119" s="3" t="s">
        <v>81</v>
      </c>
      <c r="AI119" s="3" t="s">
        <v>81</v>
      </c>
      <c r="AJ119" s="3" t="s">
        <v>81</v>
      </c>
      <c r="AK119" s="3" t="s">
        <v>81</v>
      </c>
      <c r="AL119" s="3" t="s">
        <v>81</v>
      </c>
      <c r="AM119" s="3">
        <v>22.672000000000001</v>
      </c>
      <c r="AN119" s="3">
        <v>0</v>
      </c>
      <c r="AO119" s="3" t="s">
        <v>81</v>
      </c>
      <c r="AP119" s="3" t="s">
        <v>81</v>
      </c>
      <c r="AQ119" s="3" t="s">
        <v>81</v>
      </c>
      <c r="AR119" s="3" t="s">
        <v>81</v>
      </c>
      <c r="AS119" s="3" t="s">
        <v>81</v>
      </c>
      <c r="AT119" s="3" t="s">
        <v>81</v>
      </c>
      <c r="AU119" s="3" t="s">
        <v>81</v>
      </c>
      <c r="AV119" s="3" t="s">
        <v>81</v>
      </c>
      <c r="AW119" s="3" t="s">
        <v>81</v>
      </c>
      <c r="AX119" s="3">
        <v>19.050999999999998</v>
      </c>
      <c r="AY119" s="3">
        <v>0</v>
      </c>
      <c r="AZ119" s="3" t="s">
        <v>81</v>
      </c>
      <c r="BA119" s="3" t="s">
        <v>81</v>
      </c>
      <c r="BB119" s="3" t="s">
        <v>81</v>
      </c>
      <c r="BC119" s="3" t="s">
        <v>81</v>
      </c>
      <c r="BD119" s="3" t="s">
        <v>81</v>
      </c>
      <c r="BE119" s="3" t="s">
        <v>81</v>
      </c>
      <c r="BF119" s="3" t="s">
        <v>81</v>
      </c>
      <c r="BG119" s="3" t="s">
        <v>81</v>
      </c>
      <c r="BH119" s="3" t="s">
        <v>81</v>
      </c>
      <c r="BI119" s="3" t="s">
        <v>84</v>
      </c>
      <c r="BJ119" s="3" t="s">
        <v>84</v>
      </c>
      <c r="BK119" s="3" t="s">
        <v>84</v>
      </c>
      <c r="BL119" s="3" t="s">
        <v>84</v>
      </c>
      <c r="BM119" s="3" t="s">
        <v>84</v>
      </c>
      <c r="BN119" s="3" t="s">
        <v>84</v>
      </c>
      <c r="BO119" s="3" t="s">
        <v>82</v>
      </c>
      <c r="BP119" s="3" t="s">
        <v>87</v>
      </c>
      <c r="BQ119" s="3" t="s">
        <v>87</v>
      </c>
      <c r="BR119" s="3" t="s">
        <v>87</v>
      </c>
      <c r="BS119" s="3" t="s">
        <v>87</v>
      </c>
      <c r="BT119" s="3" t="s">
        <v>87</v>
      </c>
      <c r="BU119" s="3" t="s">
        <v>81</v>
      </c>
      <c r="BV119" s="3" t="s">
        <v>84</v>
      </c>
      <c r="BW119" s="3" t="s">
        <v>83</v>
      </c>
      <c r="BX119" s="3" t="s">
        <v>82</v>
      </c>
      <c r="BY119" s="3" t="s">
        <v>251</v>
      </c>
      <c r="BZ119" s="3" t="s">
        <v>93</v>
      </c>
      <c r="CA119" s="3" t="s">
        <v>232</v>
      </c>
      <c r="CB119" s="3" t="s">
        <v>84</v>
      </c>
    </row>
    <row r="120" spans="1:87" ht="13" x14ac:dyDescent="0.15">
      <c r="A120" s="3">
        <v>2625869697</v>
      </c>
      <c r="B120" s="3" t="s">
        <v>253</v>
      </c>
      <c r="C120" s="3" t="s">
        <v>253</v>
      </c>
      <c r="D120" s="3">
        <v>4</v>
      </c>
      <c r="E120" s="3">
        <v>7</v>
      </c>
      <c r="F120" s="3">
        <v>239.83199999999999</v>
      </c>
      <c r="G120" s="3">
        <v>4</v>
      </c>
      <c r="H120" s="3">
        <v>93.768000000000001</v>
      </c>
      <c r="I120" s="3" t="s">
        <v>81</v>
      </c>
      <c r="J120" s="3">
        <v>56.177</v>
      </c>
      <c r="K120" s="3" t="s">
        <v>81</v>
      </c>
      <c r="L120" s="3">
        <v>48.442</v>
      </c>
      <c r="M120" s="3">
        <v>20.209</v>
      </c>
      <c r="N120" s="3">
        <v>29.27</v>
      </c>
      <c r="O120" s="3">
        <v>5.1980000000000004</v>
      </c>
      <c r="P120" s="3">
        <v>12.38</v>
      </c>
      <c r="Q120" s="3" t="s">
        <v>81</v>
      </c>
      <c r="R120" s="3">
        <v>4</v>
      </c>
      <c r="S120" s="3">
        <v>113.67</v>
      </c>
      <c r="T120" s="3" t="s">
        <v>81</v>
      </c>
      <c r="U120" s="3">
        <v>60.250999999999998</v>
      </c>
      <c r="V120" s="3" t="s">
        <v>81</v>
      </c>
      <c r="W120" s="3">
        <v>64.459000000000003</v>
      </c>
      <c r="X120" s="3" t="s">
        <v>81</v>
      </c>
      <c r="Y120" s="3">
        <v>64.614999999999995</v>
      </c>
      <c r="Z120" s="3">
        <v>21.687000000000001</v>
      </c>
      <c r="AA120" s="3" t="s">
        <v>81</v>
      </c>
      <c r="AB120" s="3">
        <v>246.43899999999999</v>
      </c>
      <c r="AC120" s="3">
        <v>5</v>
      </c>
      <c r="AD120" s="3">
        <v>92.415999999999997</v>
      </c>
      <c r="AE120" s="3" t="s">
        <v>81</v>
      </c>
      <c r="AF120" s="3">
        <v>55.116999999999997</v>
      </c>
      <c r="AG120" s="3" t="s">
        <v>81</v>
      </c>
      <c r="AH120" s="3">
        <v>55.067</v>
      </c>
      <c r="AI120" s="3">
        <v>25.434999999999999</v>
      </c>
      <c r="AJ120" s="3" t="s">
        <v>81</v>
      </c>
      <c r="AK120" s="3" t="s">
        <v>81</v>
      </c>
      <c r="AL120" s="3" t="s">
        <v>81</v>
      </c>
      <c r="AM120" s="3">
        <v>280.49599999999998</v>
      </c>
      <c r="AN120" s="3">
        <v>5</v>
      </c>
      <c r="AO120" s="3">
        <v>105.682</v>
      </c>
      <c r="AP120" s="3" t="s">
        <v>81</v>
      </c>
      <c r="AQ120" s="3">
        <v>66.254999999999995</v>
      </c>
      <c r="AR120" s="3" t="s">
        <v>81</v>
      </c>
      <c r="AS120" s="3">
        <v>43.442999999999998</v>
      </c>
      <c r="AT120" s="3" t="s">
        <v>81</v>
      </c>
      <c r="AU120" s="3">
        <v>42.009</v>
      </c>
      <c r="AV120" s="3">
        <v>23.274999999999999</v>
      </c>
      <c r="AW120" s="3">
        <v>11.851000000000001</v>
      </c>
      <c r="AX120" s="3">
        <v>287.66199999999998</v>
      </c>
      <c r="AY120" s="3">
        <v>5</v>
      </c>
      <c r="AZ120" s="3">
        <v>92.394000000000005</v>
      </c>
      <c r="BA120" s="3" t="s">
        <v>81</v>
      </c>
      <c r="BB120" s="3">
        <v>72.725999999999999</v>
      </c>
      <c r="BC120" s="3" t="s">
        <v>81</v>
      </c>
      <c r="BD120" s="3">
        <v>59.003999999999998</v>
      </c>
      <c r="BE120" s="3" t="s">
        <v>81</v>
      </c>
      <c r="BF120" s="3">
        <v>44.277000000000001</v>
      </c>
      <c r="BG120" s="3" t="s">
        <v>81</v>
      </c>
      <c r="BH120" s="3">
        <v>9.8490000000000002</v>
      </c>
      <c r="BI120" s="3" t="s">
        <v>84</v>
      </c>
      <c r="BJ120" s="3" t="s">
        <v>82</v>
      </c>
      <c r="BK120" s="3" t="s">
        <v>83</v>
      </c>
      <c r="BL120" s="3" t="s">
        <v>84</v>
      </c>
      <c r="BM120" s="3" t="s">
        <v>84</v>
      </c>
      <c r="BN120" s="3" t="s">
        <v>82</v>
      </c>
      <c r="BO120" s="3" t="s">
        <v>84</v>
      </c>
      <c r="BP120" s="3" t="s">
        <v>254</v>
      </c>
      <c r="BQ120" s="3" t="s">
        <v>254</v>
      </c>
      <c r="BR120" s="3" t="s">
        <v>255</v>
      </c>
      <c r="BS120" s="3" t="s">
        <v>256</v>
      </c>
      <c r="BT120" s="3" t="s">
        <v>106</v>
      </c>
      <c r="BU120" s="3" t="s">
        <v>129</v>
      </c>
      <c r="BV120" s="3" t="s">
        <v>84</v>
      </c>
      <c r="BW120" s="3"/>
      <c r="BX120" s="3" t="s">
        <v>82</v>
      </c>
      <c r="BY120" s="3" t="s">
        <v>257</v>
      </c>
      <c r="BZ120" s="3" t="s">
        <v>86</v>
      </c>
      <c r="CB120" s="3" t="s">
        <v>84</v>
      </c>
      <c r="CD120" s="9">
        <v>27</v>
      </c>
      <c r="CI120" s="6"/>
    </row>
    <row r="121" spans="1:87" ht="13" x14ac:dyDescent="0.15">
      <c r="A121" s="3">
        <v>2235816960</v>
      </c>
      <c r="B121" s="3" t="s">
        <v>253</v>
      </c>
      <c r="C121" s="3" t="s">
        <v>253</v>
      </c>
      <c r="D121" s="3">
        <v>3</v>
      </c>
      <c r="E121" s="3">
        <v>5</v>
      </c>
      <c r="F121" s="3">
        <v>103.867</v>
      </c>
      <c r="G121" s="3">
        <v>3</v>
      </c>
      <c r="H121" s="3">
        <v>45.281999999999996</v>
      </c>
      <c r="I121" s="3" t="s">
        <v>81</v>
      </c>
      <c r="J121" s="3">
        <v>40.218000000000004</v>
      </c>
      <c r="K121" s="3">
        <v>13.971</v>
      </c>
      <c r="L121" s="3">
        <v>14.487</v>
      </c>
      <c r="M121" s="3">
        <v>3.786</v>
      </c>
      <c r="N121" s="3">
        <v>1.9790000000000001</v>
      </c>
      <c r="O121" s="3" t="s">
        <v>81</v>
      </c>
      <c r="P121" s="3" t="s">
        <v>81</v>
      </c>
      <c r="Q121" s="3">
        <v>81.453999999999994</v>
      </c>
      <c r="R121" s="3">
        <v>3</v>
      </c>
      <c r="S121" s="3">
        <v>30.295999999999999</v>
      </c>
      <c r="T121" s="3">
        <v>15.522</v>
      </c>
      <c r="U121" s="3">
        <v>36.750999999999998</v>
      </c>
      <c r="V121" s="3">
        <v>12.558999999999999</v>
      </c>
      <c r="W121" s="3">
        <v>11.211</v>
      </c>
      <c r="X121" s="3">
        <v>3.7280000000000002</v>
      </c>
      <c r="Y121" s="3">
        <v>1.712</v>
      </c>
      <c r="Z121" s="3" t="s">
        <v>81</v>
      </c>
      <c r="AA121" s="3" t="s">
        <v>81</v>
      </c>
      <c r="AB121" s="3">
        <v>109.40900000000001</v>
      </c>
      <c r="AC121" s="3">
        <v>3</v>
      </c>
      <c r="AD121" s="3">
        <v>49.325000000000003</v>
      </c>
      <c r="AE121" s="3">
        <v>19.530999999999999</v>
      </c>
      <c r="AF121" s="3">
        <v>41.064999999999998</v>
      </c>
      <c r="AG121" s="3">
        <v>15.587999999999999</v>
      </c>
      <c r="AH121" s="3">
        <v>16.126999999999999</v>
      </c>
      <c r="AI121" s="3">
        <v>3.536</v>
      </c>
      <c r="AJ121" s="3">
        <v>1.764</v>
      </c>
      <c r="AK121" s="3" t="s">
        <v>81</v>
      </c>
      <c r="AL121" s="3" t="s">
        <v>81</v>
      </c>
      <c r="AM121" s="3">
        <v>100.30500000000001</v>
      </c>
      <c r="AN121" s="3">
        <v>3</v>
      </c>
      <c r="AO121" s="3">
        <v>41.341999999999999</v>
      </c>
      <c r="AP121" s="3">
        <v>17.664999999999999</v>
      </c>
      <c r="AQ121" s="3">
        <v>38.802</v>
      </c>
      <c r="AR121" s="3">
        <v>16.667000000000002</v>
      </c>
      <c r="AS121" s="3">
        <v>17.167999999999999</v>
      </c>
      <c r="AT121" s="3">
        <v>4.1159999999999997</v>
      </c>
      <c r="AU121" s="3">
        <v>2.6059999999999999</v>
      </c>
      <c r="AV121" s="3" t="s">
        <v>81</v>
      </c>
      <c r="AW121" s="3" t="s">
        <v>81</v>
      </c>
      <c r="AX121" s="3">
        <v>94.644000000000005</v>
      </c>
      <c r="AY121" s="3">
        <v>3</v>
      </c>
      <c r="AZ121" s="3">
        <v>42.518999999999998</v>
      </c>
      <c r="BA121" s="3">
        <v>19.222999999999999</v>
      </c>
      <c r="BB121" s="3">
        <v>37.375</v>
      </c>
      <c r="BC121" s="3">
        <v>11.957000000000001</v>
      </c>
      <c r="BD121" s="3">
        <v>11.021000000000001</v>
      </c>
      <c r="BE121" s="3">
        <v>3.0819999999999999</v>
      </c>
      <c r="BF121" s="3">
        <v>1.639</v>
      </c>
      <c r="BG121" s="3" t="s">
        <v>81</v>
      </c>
      <c r="BH121" s="3" t="s">
        <v>81</v>
      </c>
      <c r="BI121" s="3" t="s">
        <v>84</v>
      </c>
      <c r="BJ121" s="3" t="s">
        <v>82</v>
      </c>
      <c r="BK121" s="3" t="s">
        <v>83</v>
      </c>
      <c r="BL121" s="3" t="s">
        <v>84</v>
      </c>
      <c r="BM121" s="3" t="s">
        <v>84</v>
      </c>
      <c r="BN121" s="3" t="s">
        <v>82</v>
      </c>
      <c r="BO121" s="3" t="s">
        <v>84</v>
      </c>
      <c r="BP121" s="3" t="s">
        <v>81</v>
      </c>
      <c r="BQ121" s="3" t="s">
        <v>81</v>
      </c>
      <c r="BR121" s="3" t="s">
        <v>81</v>
      </c>
      <c r="BS121" s="3" t="s">
        <v>81</v>
      </c>
      <c r="BT121" s="3" t="s">
        <v>81</v>
      </c>
      <c r="BU121" s="3" t="s">
        <v>81</v>
      </c>
      <c r="BV121" s="3" t="s">
        <v>84</v>
      </c>
      <c r="BW121" s="3" t="s">
        <v>83</v>
      </c>
      <c r="BX121" s="3" t="s">
        <v>82</v>
      </c>
      <c r="BZ121" s="3" t="s">
        <v>86</v>
      </c>
      <c r="CB121" s="3" t="s">
        <v>84</v>
      </c>
      <c r="CD121" s="9">
        <v>15</v>
      </c>
    </row>
    <row r="122" spans="1:87" ht="13" x14ac:dyDescent="0.15">
      <c r="A122" s="3">
        <v>2643373368</v>
      </c>
      <c r="B122" s="3" t="s">
        <v>253</v>
      </c>
      <c r="C122" s="3" t="s">
        <v>253</v>
      </c>
      <c r="D122" s="3">
        <v>4</v>
      </c>
      <c r="E122" s="3">
        <v>6</v>
      </c>
      <c r="F122" s="3">
        <v>141.24799999999999</v>
      </c>
      <c r="G122" s="3">
        <v>2</v>
      </c>
      <c r="H122" s="3">
        <v>84.213999999999999</v>
      </c>
      <c r="I122" s="3">
        <v>31.712</v>
      </c>
      <c r="J122" s="3">
        <v>51.113</v>
      </c>
      <c r="K122" s="3">
        <v>9.8650000000000002</v>
      </c>
      <c r="L122" s="3">
        <v>4.2430000000000003</v>
      </c>
      <c r="M122" s="3" t="s">
        <v>81</v>
      </c>
      <c r="N122" s="3" t="s">
        <v>81</v>
      </c>
      <c r="O122" s="3" t="s">
        <v>81</v>
      </c>
      <c r="P122" s="3" t="s">
        <v>81</v>
      </c>
      <c r="Q122" s="3">
        <v>130.27500000000001</v>
      </c>
      <c r="R122" s="3">
        <v>2</v>
      </c>
      <c r="S122" s="3">
        <v>77.489999999999995</v>
      </c>
      <c r="T122" s="3">
        <v>32.793999999999997</v>
      </c>
      <c r="U122" s="3">
        <v>45.890999999999998</v>
      </c>
      <c r="V122" s="3">
        <v>10.682</v>
      </c>
      <c r="W122" s="3">
        <v>4.3410000000000002</v>
      </c>
      <c r="X122" s="3" t="s">
        <v>81</v>
      </c>
      <c r="Y122" s="3" t="s">
        <v>81</v>
      </c>
      <c r="Z122" s="3" t="s">
        <v>81</v>
      </c>
      <c r="AA122" s="3" t="s">
        <v>81</v>
      </c>
      <c r="AB122" s="3">
        <v>148.50399999999999</v>
      </c>
      <c r="AC122" s="3">
        <v>3</v>
      </c>
      <c r="AD122" s="3">
        <v>87.468000000000004</v>
      </c>
      <c r="AE122" s="3">
        <v>33.844999999999999</v>
      </c>
      <c r="AF122" s="3">
        <v>56.137999999999998</v>
      </c>
      <c r="AG122" s="3">
        <v>10.653</v>
      </c>
      <c r="AH122" s="3">
        <v>3.4390000000000001</v>
      </c>
      <c r="AI122" s="3">
        <v>2.762</v>
      </c>
      <c r="AJ122" s="3">
        <v>0.43</v>
      </c>
      <c r="AK122" s="3" t="s">
        <v>81</v>
      </c>
      <c r="AL122" s="3" t="s">
        <v>81</v>
      </c>
      <c r="AM122" s="3">
        <v>158.26599999999999</v>
      </c>
      <c r="AN122" s="3">
        <v>3</v>
      </c>
      <c r="AO122" s="3">
        <v>94.694999999999993</v>
      </c>
      <c r="AP122" s="3">
        <v>28.093</v>
      </c>
      <c r="AQ122" s="3">
        <v>57.155999999999999</v>
      </c>
      <c r="AR122" s="3">
        <v>11.474</v>
      </c>
      <c r="AS122" s="3">
        <v>2.1110000000000002</v>
      </c>
      <c r="AT122" s="3">
        <v>1.917</v>
      </c>
      <c r="AU122" s="3">
        <v>0.626</v>
      </c>
      <c r="AV122" s="3" t="s">
        <v>81</v>
      </c>
      <c r="AW122" s="3" t="s">
        <v>81</v>
      </c>
      <c r="AX122" s="3" t="s">
        <v>81</v>
      </c>
      <c r="AY122" s="3" t="s">
        <v>81</v>
      </c>
      <c r="AZ122" s="3" t="s">
        <v>81</v>
      </c>
      <c r="BA122" s="3" t="s">
        <v>81</v>
      </c>
      <c r="BB122" s="3" t="s">
        <v>81</v>
      </c>
      <c r="BC122" s="3" t="s">
        <v>81</v>
      </c>
      <c r="BD122" s="3" t="s">
        <v>81</v>
      </c>
      <c r="BE122" s="3" t="s">
        <v>81</v>
      </c>
      <c r="BF122" s="3" t="s">
        <v>81</v>
      </c>
      <c r="BG122" s="3" t="s">
        <v>81</v>
      </c>
      <c r="BH122" s="3" t="s">
        <v>81</v>
      </c>
      <c r="BI122" s="3" t="s">
        <v>84</v>
      </c>
      <c r="BJ122" s="3" t="s">
        <v>82</v>
      </c>
      <c r="BK122" s="3" t="s">
        <v>83</v>
      </c>
      <c r="BL122" s="3" t="s">
        <v>84</v>
      </c>
      <c r="BM122" s="3" t="s">
        <v>84</v>
      </c>
      <c r="BN122" s="3" t="s">
        <v>82</v>
      </c>
      <c r="BO122" s="3" t="s">
        <v>84</v>
      </c>
      <c r="BP122" s="3" t="s">
        <v>81</v>
      </c>
      <c r="BQ122" s="3" t="s">
        <v>81</v>
      </c>
      <c r="BR122" s="3" t="s">
        <v>81</v>
      </c>
      <c r="BS122" s="3" t="s">
        <v>81</v>
      </c>
      <c r="BT122" s="3" t="s">
        <v>81</v>
      </c>
      <c r="BU122" s="3" t="s">
        <v>81</v>
      </c>
      <c r="BV122" s="3" t="s">
        <v>82</v>
      </c>
      <c r="BW122" s="3" t="s">
        <v>91</v>
      </c>
      <c r="BX122" s="3" t="s">
        <v>82</v>
      </c>
      <c r="BY122" s="3" t="s">
        <v>258</v>
      </c>
      <c r="BZ122" s="3" t="s">
        <v>86</v>
      </c>
      <c r="CB122" s="3" t="s">
        <v>84</v>
      </c>
      <c r="CD122" s="9">
        <v>14</v>
      </c>
    </row>
    <row r="123" spans="1:87" ht="13" x14ac:dyDescent="0.15">
      <c r="A123" s="3">
        <v>2625857492</v>
      </c>
      <c r="B123" s="3" t="s">
        <v>253</v>
      </c>
      <c r="C123" s="3" t="s">
        <v>253</v>
      </c>
      <c r="D123" s="3">
        <v>6</v>
      </c>
      <c r="E123" s="3">
        <v>24</v>
      </c>
      <c r="F123" s="3">
        <v>196.851</v>
      </c>
      <c r="G123" s="3">
        <v>2</v>
      </c>
      <c r="H123" s="3">
        <v>94.673000000000002</v>
      </c>
      <c r="I123" s="3">
        <v>33.982999999999997</v>
      </c>
      <c r="J123" s="3">
        <v>59.279000000000003</v>
      </c>
      <c r="K123" s="3">
        <v>23.361999999999998</v>
      </c>
      <c r="L123" s="3">
        <v>20.209</v>
      </c>
      <c r="M123" s="3">
        <v>18.084</v>
      </c>
      <c r="N123" s="3" t="s">
        <v>81</v>
      </c>
      <c r="O123" s="3" t="s">
        <v>81</v>
      </c>
      <c r="P123" s="3" t="s">
        <v>81</v>
      </c>
      <c r="Q123" s="3">
        <v>195.12200000000001</v>
      </c>
      <c r="R123" s="3">
        <v>2</v>
      </c>
      <c r="S123" s="3">
        <v>91.876000000000005</v>
      </c>
      <c r="T123" s="3">
        <v>30.86</v>
      </c>
      <c r="U123" s="3">
        <v>53.676000000000002</v>
      </c>
      <c r="V123" s="3">
        <v>13.616</v>
      </c>
      <c r="W123" s="3">
        <v>24.545000000000002</v>
      </c>
      <c r="X123" s="3">
        <v>21.599</v>
      </c>
      <c r="Y123" s="3" t="s">
        <v>81</v>
      </c>
      <c r="Z123" s="3" t="s">
        <v>81</v>
      </c>
      <c r="AA123" s="3" t="s">
        <v>81</v>
      </c>
      <c r="AB123" s="3">
        <v>196.62100000000001</v>
      </c>
      <c r="AC123" s="3">
        <v>2</v>
      </c>
      <c r="AD123" s="3">
        <v>98.721999999999994</v>
      </c>
      <c r="AE123" s="3">
        <v>33.591999999999999</v>
      </c>
      <c r="AF123" s="3">
        <v>59.564999999999998</v>
      </c>
      <c r="AG123" s="3">
        <v>24.145</v>
      </c>
      <c r="AH123" s="3">
        <v>17.035</v>
      </c>
      <c r="AI123" s="3">
        <v>19.649000000000001</v>
      </c>
      <c r="AJ123" s="3" t="s">
        <v>81</v>
      </c>
      <c r="AK123" s="3" t="s">
        <v>81</v>
      </c>
      <c r="AL123" s="3" t="s">
        <v>81</v>
      </c>
      <c r="AM123" s="3">
        <v>222.99299999999999</v>
      </c>
      <c r="AN123" s="3">
        <v>2</v>
      </c>
      <c r="AO123" s="3">
        <v>117.913</v>
      </c>
      <c r="AP123" s="3">
        <v>33.466999999999999</v>
      </c>
      <c r="AQ123" s="3">
        <v>52.655000000000001</v>
      </c>
      <c r="AR123" s="3">
        <v>30.103000000000002</v>
      </c>
      <c r="AS123" s="3">
        <v>50.183</v>
      </c>
      <c r="AT123" s="3" t="s">
        <v>81</v>
      </c>
      <c r="AU123" s="3" t="s">
        <v>81</v>
      </c>
      <c r="AV123" s="3" t="s">
        <v>81</v>
      </c>
      <c r="AW123" s="3" t="s">
        <v>81</v>
      </c>
      <c r="AX123" s="3">
        <v>190.55600000000001</v>
      </c>
      <c r="AY123" s="3">
        <v>2</v>
      </c>
      <c r="AZ123" s="3">
        <v>97.736000000000004</v>
      </c>
      <c r="BA123" s="3">
        <v>31.754999999999999</v>
      </c>
      <c r="BB123" s="3">
        <v>51.249000000000002</v>
      </c>
      <c r="BC123" s="3" t="s">
        <v>81</v>
      </c>
      <c r="BD123" s="3">
        <v>38.225000000000001</v>
      </c>
      <c r="BE123" s="3" t="s">
        <v>81</v>
      </c>
      <c r="BF123" s="3" t="s">
        <v>81</v>
      </c>
      <c r="BG123" s="3" t="s">
        <v>81</v>
      </c>
      <c r="BH123" s="3" t="s">
        <v>81</v>
      </c>
      <c r="BI123" s="3" t="s">
        <v>84</v>
      </c>
      <c r="BJ123" s="3" t="s">
        <v>84</v>
      </c>
      <c r="BK123" s="3" t="s">
        <v>84</v>
      </c>
      <c r="BL123" s="3" t="s">
        <v>82</v>
      </c>
      <c r="BM123" s="3" t="s">
        <v>83</v>
      </c>
      <c r="BN123" s="3" t="s">
        <v>82</v>
      </c>
      <c r="BO123" s="3" t="s">
        <v>83</v>
      </c>
      <c r="BP123" s="3" t="s">
        <v>259</v>
      </c>
      <c r="BQ123" s="3" t="s">
        <v>259</v>
      </c>
      <c r="BR123" s="3" t="s">
        <v>259</v>
      </c>
      <c r="BS123" s="3" t="s">
        <v>259</v>
      </c>
      <c r="BT123" s="3" t="s">
        <v>85</v>
      </c>
      <c r="BU123" s="3" t="s">
        <v>98</v>
      </c>
      <c r="BV123" s="3" t="s">
        <v>83</v>
      </c>
      <c r="BW123" s="3" t="s">
        <v>83</v>
      </c>
      <c r="BX123" s="3" t="s">
        <v>83</v>
      </c>
      <c r="BY123" s="3" t="s">
        <v>260</v>
      </c>
      <c r="BZ123" s="3" t="s">
        <v>86</v>
      </c>
      <c r="CB123" s="3" t="s">
        <v>84</v>
      </c>
      <c r="CD123" s="9">
        <v>53</v>
      </c>
      <c r="CI123" s="6"/>
    </row>
    <row r="124" spans="1:87" ht="13" x14ac:dyDescent="0.15">
      <c r="A124" s="3">
        <v>2235988488</v>
      </c>
      <c r="B124" s="3" t="s">
        <v>253</v>
      </c>
      <c r="C124" s="3" t="s">
        <v>253</v>
      </c>
      <c r="D124" s="3">
        <v>6</v>
      </c>
      <c r="E124" s="3">
        <v>8</v>
      </c>
      <c r="F124" s="3">
        <v>100.76900000000001</v>
      </c>
      <c r="G124" s="3">
        <v>3</v>
      </c>
      <c r="H124" s="3">
        <v>26.795000000000002</v>
      </c>
      <c r="I124" s="3">
        <v>43.497</v>
      </c>
      <c r="J124" s="3">
        <v>42.465000000000003</v>
      </c>
      <c r="K124" s="3">
        <v>31.321999999999999</v>
      </c>
      <c r="L124" s="3">
        <v>21.187000000000001</v>
      </c>
      <c r="M124" s="3">
        <v>20.157</v>
      </c>
      <c r="N124" s="3">
        <v>11.41</v>
      </c>
      <c r="O124" s="3" t="s">
        <v>81</v>
      </c>
      <c r="P124" s="3" t="s">
        <v>81</v>
      </c>
      <c r="Q124" s="3">
        <v>120.357</v>
      </c>
      <c r="R124" s="3">
        <v>3</v>
      </c>
      <c r="S124" s="3">
        <v>30.379000000000001</v>
      </c>
      <c r="T124" s="3">
        <v>40.357999999999997</v>
      </c>
      <c r="U124" s="3">
        <v>55.415999999999997</v>
      </c>
      <c r="V124" s="3" t="s">
        <v>81</v>
      </c>
      <c r="W124" s="3">
        <v>17.015999999999998</v>
      </c>
      <c r="X124" s="3">
        <v>21.195</v>
      </c>
      <c r="Y124" s="3">
        <v>14.428000000000001</v>
      </c>
      <c r="Z124" s="3" t="s">
        <v>81</v>
      </c>
      <c r="AA124" s="3" t="s">
        <v>81</v>
      </c>
      <c r="AB124" s="3">
        <v>100.678</v>
      </c>
      <c r="AC124" s="3">
        <v>3</v>
      </c>
      <c r="AD124" s="3">
        <v>27.052</v>
      </c>
      <c r="AE124" s="3">
        <v>41.207000000000001</v>
      </c>
      <c r="AF124" s="3">
        <v>46.969000000000001</v>
      </c>
      <c r="AG124" s="3">
        <v>26.257999999999999</v>
      </c>
      <c r="AH124" s="3">
        <v>18.163</v>
      </c>
      <c r="AI124" s="3">
        <v>11.18</v>
      </c>
      <c r="AJ124" s="3">
        <v>8.8409999999999993</v>
      </c>
      <c r="AK124" s="3" t="s">
        <v>81</v>
      </c>
      <c r="AL124" s="3" t="s">
        <v>81</v>
      </c>
      <c r="AM124" s="3" t="s">
        <v>81</v>
      </c>
      <c r="AN124" s="3" t="s">
        <v>81</v>
      </c>
      <c r="AO124" s="3" t="s">
        <v>81</v>
      </c>
      <c r="AP124" s="3" t="s">
        <v>81</v>
      </c>
      <c r="AQ124" s="3" t="s">
        <v>81</v>
      </c>
      <c r="AR124" s="3" t="s">
        <v>81</v>
      </c>
      <c r="AS124" s="3" t="s">
        <v>81</v>
      </c>
      <c r="AT124" s="3" t="s">
        <v>81</v>
      </c>
      <c r="AU124" s="3" t="s">
        <v>81</v>
      </c>
      <c r="AV124" s="3" t="s">
        <v>81</v>
      </c>
      <c r="AW124" s="3" t="s">
        <v>81</v>
      </c>
      <c r="AX124" s="3" t="s">
        <v>81</v>
      </c>
      <c r="AY124" s="3" t="s">
        <v>81</v>
      </c>
      <c r="AZ124" s="3" t="s">
        <v>81</v>
      </c>
      <c r="BA124" s="3" t="s">
        <v>81</v>
      </c>
      <c r="BB124" s="3" t="s">
        <v>81</v>
      </c>
      <c r="BC124" s="3" t="s">
        <v>81</v>
      </c>
      <c r="BD124" s="3" t="s">
        <v>81</v>
      </c>
      <c r="BE124" s="3" t="s">
        <v>81</v>
      </c>
      <c r="BF124" s="3" t="s">
        <v>81</v>
      </c>
      <c r="BG124" s="3" t="s">
        <v>81</v>
      </c>
      <c r="BH124" s="3" t="s">
        <v>81</v>
      </c>
      <c r="BI124" s="3" t="s">
        <v>84</v>
      </c>
      <c r="BJ124" s="3" t="s">
        <v>84</v>
      </c>
      <c r="BK124" s="3" t="s">
        <v>84</v>
      </c>
      <c r="BL124" s="3" t="s">
        <v>84</v>
      </c>
      <c r="BM124" s="3" t="s">
        <v>84</v>
      </c>
      <c r="BN124" s="3" t="s">
        <v>82</v>
      </c>
      <c r="BO124" s="3" t="s">
        <v>84</v>
      </c>
      <c r="BP124" s="3" t="s">
        <v>106</v>
      </c>
      <c r="BQ124" s="3" t="s">
        <v>106</v>
      </c>
      <c r="BR124" s="3" t="s">
        <v>135</v>
      </c>
      <c r="BS124" s="3" t="s">
        <v>153</v>
      </c>
      <c r="BT124" s="3" t="s">
        <v>106</v>
      </c>
      <c r="BU124" s="3" t="s">
        <v>98</v>
      </c>
      <c r="BV124" s="3" t="s">
        <v>84</v>
      </c>
      <c r="BW124" s="3" t="s">
        <v>83</v>
      </c>
      <c r="BX124" s="3" t="s">
        <v>82</v>
      </c>
      <c r="BY124" s="3" t="s">
        <v>261</v>
      </c>
      <c r="BZ124" s="3" t="s">
        <v>86</v>
      </c>
      <c r="CB124" s="3" t="s">
        <v>84</v>
      </c>
      <c r="CD124" s="9">
        <v>27</v>
      </c>
    </row>
    <row r="125" spans="1:87" ht="13" x14ac:dyDescent="0.15">
      <c r="A125" s="3">
        <v>1847937822</v>
      </c>
      <c r="B125" s="3" t="s">
        <v>262</v>
      </c>
      <c r="C125" s="3" t="s">
        <v>262</v>
      </c>
      <c r="D125" s="3">
        <v>4</v>
      </c>
      <c r="E125" s="3">
        <v>4</v>
      </c>
      <c r="F125" s="3">
        <v>138.994</v>
      </c>
      <c r="G125" s="3">
        <v>3</v>
      </c>
      <c r="H125" s="3">
        <v>69.992000000000004</v>
      </c>
      <c r="I125" s="3">
        <v>32.012</v>
      </c>
      <c r="J125" s="3">
        <v>42.662999999999997</v>
      </c>
      <c r="K125" s="3">
        <v>37.606000000000002</v>
      </c>
      <c r="L125" s="3">
        <v>19.251999999999999</v>
      </c>
      <c r="M125" s="3">
        <v>1.266</v>
      </c>
      <c r="N125" s="3">
        <v>11.989000000000001</v>
      </c>
      <c r="O125" s="3" t="s">
        <v>81</v>
      </c>
      <c r="P125" s="3" t="s">
        <v>81</v>
      </c>
      <c r="Q125" s="3" t="s">
        <v>81</v>
      </c>
      <c r="R125" s="3">
        <v>0</v>
      </c>
      <c r="S125" s="3" t="s">
        <v>81</v>
      </c>
      <c r="T125" s="3" t="s">
        <v>81</v>
      </c>
      <c r="U125" s="3" t="s">
        <v>81</v>
      </c>
      <c r="V125" s="3" t="s">
        <v>81</v>
      </c>
      <c r="W125" s="3" t="s">
        <v>81</v>
      </c>
      <c r="X125" s="3" t="s">
        <v>81</v>
      </c>
      <c r="Y125" s="3" t="s">
        <v>81</v>
      </c>
      <c r="Z125" s="3" t="s">
        <v>81</v>
      </c>
      <c r="AA125" s="3" t="s">
        <v>81</v>
      </c>
      <c r="AB125" s="3" t="s">
        <v>81</v>
      </c>
      <c r="AC125" s="3" t="s">
        <v>81</v>
      </c>
      <c r="AD125" s="3" t="s">
        <v>81</v>
      </c>
      <c r="AE125" s="3" t="s">
        <v>81</v>
      </c>
      <c r="AF125" s="3" t="s">
        <v>81</v>
      </c>
      <c r="AG125" s="3" t="s">
        <v>81</v>
      </c>
      <c r="AH125" s="3" t="s">
        <v>81</v>
      </c>
      <c r="AI125" s="3" t="s">
        <v>81</v>
      </c>
      <c r="AJ125" s="3" t="s">
        <v>81</v>
      </c>
      <c r="AK125" s="3" t="s">
        <v>81</v>
      </c>
      <c r="AL125" s="3" t="s">
        <v>81</v>
      </c>
      <c r="AM125" s="3" t="s">
        <v>81</v>
      </c>
      <c r="AN125" s="3" t="s">
        <v>81</v>
      </c>
      <c r="AO125" s="3" t="s">
        <v>81</v>
      </c>
      <c r="AP125" s="3" t="s">
        <v>81</v>
      </c>
      <c r="AQ125" s="3" t="s">
        <v>81</v>
      </c>
      <c r="AR125" s="3" t="s">
        <v>81</v>
      </c>
      <c r="AS125" s="3" t="s">
        <v>81</v>
      </c>
      <c r="AT125" s="3" t="s">
        <v>81</v>
      </c>
      <c r="AU125" s="3" t="s">
        <v>81</v>
      </c>
      <c r="AV125" s="3" t="s">
        <v>81</v>
      </c>
      <c r="AW125" s="3" t="s">
        <v>81</v>
      </c>
      <c r="AX125" s="3" t="s">
        <v>81</v>
      </c>
      <c r="AY125" s="3" t="s">
        <v>81</v>
      </c>
      <c r="AZ125" s="3" t="s">
        <v>81</v>
      </c>
      <c r="BA125" s="3" t="s">
        <v>81</v>
      </c>
      <c r="BB125" s="3" t="s">
        <v>81</v>
      </c>
      <c r="BC125" s="3" t="s">
        <v>81</v>
      </c>
      <c r="BD125" s="3" t="s">
        <v>81</v>
      </c>
      <c r="BE125" s="3" t="s">
        <v>81</v>
      </c>
      <c r="BF125" s="3" t="s">
        <v>81</v>
      </c>
      <c r="BG125" s="3" t="s">
        <v>81</v>
      </c>
      <c r="BH125" s="3" t="s">
        <v>81</v>
      </c>
      <c r="BI125" s="3" t="s">
        <v>84</v>
      </c>
      <c r="BJ125" s="3" t="s">
        <v>82</v>
      </c>
      <c r="BK125" s="3" t="s">
        <v>83</v>
      </c>
      <c r="BL125" s="3" t="s">
        <v>84</v>
      </c>
      <c r="BM125" s="3" t="s">
        <v>84</v>
      </c>
      <c r="BN125" s="3" t="s">
        <v>82</v>
      </c>
      <c r="BO125" s="3" t="s">
        <v>84</v>
      </c>
      <c r="BP125" s="3" t="s">
        <v>263</v>
      </c>
      <c r="BQ125" s="3" t="s">
        <v>263</v>
      </c>
      <c r="BR125" s="3" t="s">
        <v>263</v>
      </c>
      <c r="BS125" s="3" t="s">
        <v>264</v>
      </c>
      <c r="BT125" s="3" t="s">
        <v>129</v>
      </c>
      <c r="BU125" s="3" t="s">
        <v>81</v>
      </c>
      <c r="BV125" s="3" t="s">
        <v>82</v>
      </c>
      <c r="BW125" s="3" t="s">
        <v>91</v>
      </c>
      <c r="BX125" s="3" t="s">
        <v>82</v>
      </c>
      <c r="BY125" s="3" t="s">
        <v>265</v>
      </c>
      <c r="BZ125" s="3" t="s">
        <v>93</v>
      </c>
      <c r="CB125" s="3" t="s">
        <v>84</v>
      </c>
      <c r="CD125" s="9">
        <v>12</v>
      </c>
    </row>
    <row r="126" spans="1:87" ht="13" x14ac:dyDescent="0.15">
      <c r="A126" s="3">
        <v>2625844474</v>
      </c>
      <c r="B126" s="3" t="s">
        <v>266</v>
      </c>
      <c r="C126" s="3" t="s">
        <v>266</v>
      </c>
      <c r="D126" s="3">
        <v>6</v>
      </c>
      <c r="E126" s="3">
        <v>7</v>
      </c>
      <c r="F126" s="3">
        <v>31.532</v>
      </c>
      <c r="G126" s="3">
        <v>0</v>
      </c>
      <c r="H126" s="3" t="s">
        <v>81</v>
      </c>
      <c r="I126" s="3" t="s">
        <v>81</v>
      </c>
      <c r="J126" s="3" t="s">
        <v>81</v>
      </c>
      <c r="K126" s="3" t="s">
        <v>81</v>
      </c>
      <c r="L126" s="3" t="s">
        <v>81</v>
      </c>
      <c r="M126" s="3" t="s">
        <v>81</v>
      </c>
      <c r="N126" s="3" t="s">
        <v>81</v>
      </c>
      <c r="O126" s="3" t="s">
        <v>81</v>
      </c>
      <c r="P126" s="3" t="s">
        <v>81</v>
      </c>
      <c r="Q126" s="3">
        <v>31.231999999999999</v>
      </c>
      <c r="R126" s="3">
        <v>0</v>
      </c>
      <c r="S126" s="3" t="s">
        <v>81</v>
      </c>
      <c r="T126" s="3" t="s">
        <v>81</v>
      </c>
      <c r="U126" s="3" t="s">
        <v>81</v>
      </c>
      <c r="V126" s="3" t="s">
        <v>81</v>
      </c>
      <c r="W126" s="3" t="s">
        <v>81</v>
      </c>
      <c r="X126" s="3" t="s">
        <v>81</v>
      </c>
      <c r="Y126" s="3" t="s">
        <v>81</v>
      </c>
      <c r="Z126" s="3" t="s">
        <v>81</v>
      </c>
      <c r="AA126" s="3" t="s">
        <v>81</v>
      </c>
      <c r="AB126" s="3">
        <v>32.466999999999999</v>
      </c>
      <c r="AC126" s="3">
        <v>0</v>
      </c>
      <c r="AD126" s="3" t="s">
        <v>81</v>
      </c>
      <c r="AE126" s="3" t="s">
        <v>81</v>
      </c>
      <c r="AF126" s="3" t="s">
        <v>81</v>
      </c>
      <c r="AG126" s="3" t="s">
        <v>81</v>
      </c>
      <c r="AH126" s="3" t="s">
        <v>81</v>
      </c>
      <c r="AI126" s="3" t="s">
        <v>81</v>
      </c>
      <c r="AJ126" s="3" t="s">
        <v>81</v>
      </c>
      <c r="AK126" s="3" t="s">
        <v>81</v>
      </c>
      <c r="AL126" s="3" t="s">
        <v>81</v>
      </c>
      <c r="AM126" s="3">
        <v>32.313000000000002</v>
      </c>
      <c r="AN126" s="3">
        <v>0</v>
      </c>
      <c r="AO126" s="3" t="s">
        <v>81</v>
      </c>
      <c r="AP126" s="3" t="s">
        <v>81</v>
      </c>
      <c r="AQ126" s="3" t="s">
        <v>81</v>
      </c>
      <c r="AR126" s="3" t="s">
        <v>81</v>
      </c>
      <c r="AS126" s="3" t="s">
        <v>81</v>
      </c>
      <c r="AT126" s="3" t="s">
        <v>81</v>
      </c>
      <c r="AU126" s="3" t="s">
        <v>81</v>
      </c>
      <c r="AV126" s="3" t="s">
        <v>81</v>
      </c>
      <c r="AW126" s="3" t="s">
        <v>81</v>
      </c>
      <c r="AX126" s="3">
        <v>24.858000000000001</v>
      </c>
      <c r="AY126" s="3">
        <v>0</v>
      </c>
      <c r="AZ126" s="3" t="s">
        <v>81</v>
      </c>
      <c r="BA126" s="3" t="s">
        <v>81</v>
      </c>
      <c r="BB126" s="3" t="s">
        <v>81</v>
      </c>
      <c r="BC126" s="3" t="s">
        <v>81</v>
      </c>
      <c r="BD126" s="3" t="s">
        <v>81</v>
      </c>
      <c r="BE126" s="3" t="s">
        <v>81</v>
      </c>
      <c r="BF126" s="3" t="s">
        <v>81</v>
      </c>
      <c r="BG126" s="3" t="s">
        <v>81</v>
      </c>
      <c r="BH126" s="3" t="s">
        <v>81</v>
      </c>
      <c r="BI126" s="3" t="s">
        <v>84</v>
      </c>
      <c r="BJ126" s="3" t="s">
        <v>84</v>
      </c>
      <c r="BK126" s="3" t="s">
        <v>84</v>
      </c>
      <c r="BL126" s="3" t="s">
        <v>82</v>
      </c>
      <c r="BM126" s="3" t="s">
        <v>83</v>
      </c>
      <c r="BN126" s="3" t="s">
        <v>84</v>
      </c>
      <c r="BO126" s="3" t="s">
        <v>83</v>
      </c>
      <c r="BP126" s="3" t="s">
        <v>81</v>
      </c>
      <c r="BQ126" s="3" t="s">
        <v>81</v>
      </c>
      <c r="BR126" s="3" t="s">
        <v>81</v>
      </c>
      <c r="BS126" s="3" t="s">
        <v>81</v>
      </c>
      <c r="BT126" s="3" t="s">
        <v>81</v>
      </c>
      <c r="BU126" s="3" t="s">
        <v>81</v>
      </c>
      <c r="BV126" s="3" t="s">
        <v>83</v>
      </c>
      <c r="BW126" s="3" t="s">
        <v>83</v>
      </c>
      <c r="BX126" s="3" t="s">
        <v>83</v>
      </c>
      <c r="BY126" s="3" t="s">
        <v>267</v>
      </c>
      <c r="BZ126" s="3" t="s">
        <v>86</v>
      </c>
      <c r="CI126" s="6"/>
    </row>
    <row r="127" spans="1:87" ht="13" hidden="1" x14ac:dyDescent="0.15">
      <c r="A127" s="9" t="s">
        <v>551</v>
      </c>
      <c r="B127" s="9" t="s">
        <v>550</v>
      </c>
      <c r="C127" s="9" t="s">
        <v>550</v>
      </c>
      <c r="D127">
        <v>1</v>
      </c>
      <c r="E127">
        <v>1</v>
      </c>
      <c r="F127">
        <v>11.18</v>
      </c>
      <c r="G127" s="3">
        <v>0</v>
      </c>
      <c r="H127" s="3" t="s">
        <v>81</v>
      </c>
      <c r="I127" s="3" t="s">
        <v>81</v>
      </c>
      <c r="J127" s="3" t="s">
        <v>81</v>
      </c>
      <c r="K127" s="3" t="s">
        <v>81</v>
      </c>
      <c r="L127" s="3" t="s">
        <v>81</v>
      </c>
      <c r="M127" s="3" t="s">
        <v>81</v>
      </c>
      <c r="N127" s="3" t="s">
        <v>81</v>
      </c>
      <c r="O127" s="3" t="s">
        <v>81</v>
      </c>
      <c r="P127" s="3" t="s">
        <v>81</v>
      </c>
      <c r="Q127" s="3" t="s">
        <v>81</v>
      </c>
      <c r="R127" s="3" t="s">
        <v>81</v>
      </c>
      <c r="S127" s="3" t="s">
        <v>81</v>
      </c>
      <c r="T127" s="3" t="s">
        <v>81</v>
      </c>
      <c r="U127" s="3" t="s">
        <v>81</v>
      </c>
      <c r="V127" s="3" t="s">
        <v>81</v>
      </c>
      <c r="W127" s="3" t="s">
        <v>81</v>
      </c>
      <c r="X127" s="3" t="s">
        <v>81</v>
      </c>
      <c r="Y127" s="3" t="s">
        <v>81</v>
      </c>
      <c r="Z127" s="3" t="s">
        <v>81</v>
      </c>
      <c r="AA127" s="3" t="s">
        <v>81</v>
      </c>
      <c r="AB127" s="3" t="s">
        <v>81</v>
      </c>
      <c r="AC127" s="3" t="s">
        <v>81</v>
      </c>
      <c r="AD127" s="3" t="s">
        <v>81</v>
      </c>
      <c r="AE127" s="3" t="s">
        <v>81</v>
      </c>
      <c r="AF127" s="3" t="s">
        <v>81</v>
      </c>
      <c r="AG127" s="3" t="s">
        <v>81</v>
      </c>
      <c r="AH127" s="3" t="s">
        <v>81</v>
      </c>
      <c r="AI127" s="3" t="s">
        <v>81</v>
      </c>
      <c r="AJ127" s="3" t="s">
        <v>81</v>
      </c>
      <c r="AK127" s="3" t="s">
        <v>81</v>
      </c>
      <c r="AL127" s="3" t="s">
        <v>81</v>
      </c>
      <c r="AM127" s="3" t="s">
        <v>81</v>
      </c>
      <c r="AN127" s="3" t="s">
        <v>81</v>
      </c>
      <c r="AO127" s="3" t="s">
        <v>81</v>
      </c>
      <c r="AP127" s="3" t="s">
        <v>81</v>
      </c>
      <c r="AQ127" s="3" t="s">
        <v>81</v>
      </c>
      <c r="AR127" s="3" t="s">
        <v>81</v>
      </c>
      <c r="AS127" s="3" t="s">
        <v>81</v>
      </c>
      <c r="AT127" s="3" t="s">
        <v>81</v>
      </c>
      <c r="AU127" s="3" t="s">
        <v>81</v>
      </c>
      <c r="AV127" s="3" t="s">
        <v>81</v>
      </c>
      <c r="AW127" s="3" t="s">
        <v>81</v>
      </c>
      <c r="AX127" s="3" t="s">
        <v>81</v>
      </c>
      <c r="AY127" s="3" t="s">
        <v>81</v>
      </c>
      <c r="AZ127" s="3" t="s">
        <v>81</v>
      </c>
      <c r="BA127" s="3" t="s">
        <v>81</v>
      </c>
      <c r="BB127" s="3" t="s">
        <v>81</v>
      </c>
      <c r="BC127" s="3" t="s">
        <v>81</v>
      </c>
      <c r="BD127" s="3" t="s">
        <v>81</v>
      </c>
      <c r="BE127" s="3" t="s">
        <v>81</v>
      </c>
      <c r="BF127" s="3" t="s">
        <v>81</v>
      </c>
      <c r="BG127" s="3" t="s">
        <v>81</v>
      </c>
      <c r="BH127" s="3" t="s">
        <v>81</v>
      </c>
      <c r="BI127" s="3" t="s">
        <v>82</v>
      </c>
      <c r="BJ127" s="3" t="s">
        <v>81</v>
      </c>
      <c r="BK127" s="9" t="s">
        <v>81</v>
      </c>
      <c r="BL127" s="3" t="s">
        <v>84</v>
      </c>
      <c r="BM127" s="3" t="s">
        <v>84</v>
      </c>
      <c r="BN127" s="3" t="s">
        <v>83</v>
      </c>
      <c r="BO127" s="3"/>
      <c r="BV127" s="3"/>
      <c r="BW127" s="3"/>
      <c r="BX127" s="3"/>
      <c r="BZ127" s="9" t="s">
        <v>93</v>
      </c>
      <c r="CD127">
        <v>1</v>
      </c>
      <c r="CG127">
        <v>1</v>
      </c>
    </row>
    <row r="128" spans="1:87" ht="13" hidden="1" x14ac:dyDescent="0.15">
      <c r="A128" s="9" t="s">
        <v>552</v>
      </c>
      <c r="B128" s="9" t="s">
        <v>550</v>
      </c>
      <c r="C128" s="9" t="s">
        <v>550</v>
      </c>
      <c r="D128">
        <v>1</v>
      </c>
      <c r="E128">
        <v>1</v>
      </c>
      <c r="F128">
        <v>18.510000000000002</v>
      </c>
      <c r="G128" s="9" t="s">
        <v>553</v>
      </c>
      <c r="I128" s="3" t="s">
        <v>81</v>
      </c>
      <c r="J128" s="3" t="s">
        <v>81</v>
      </c>
      <c r="K128" s="3" t="s">
        <v>81</v>
      </c>
      <c r="L128" s="3" t="s">
        <v>81</v>
      </c>
      <c r="M128" s="3" t="s">
        <v>81</v>
      </c>
      <c r="N128" s="3" t="s">
        <v>81</v>
      </c>
      <c r="O128" s="3" t="s">
        <v>81</v>
      </c>
      <c r="P128" s="3" t="s">
        <v>81</v>
      </c>
      <c r="Q128" s="3" t="s">
        <v>81</v>
      </c>
      <c r="R128" s="3" t="s">
        <v>81</v>
      </c>
      <c r="S128" s="3" t="s">
        <v>81</v>
      </c>
      <c r="T128" s="3" t="s">
        <v>81</v>
      </c>
      <c r="U128" s="3" t="s">
        <v>81</v>
      </c>
      <c r="V128" s="3" t="s">
        <v>81</v>
      </c>
      <c r="W128" s="3" t="s">
        <v>81</v>
      </c>
      <c r="X128" s="3" t="s">
        <v>81</v>
      </c>
      <c r="Y128" s="3" t="s">
        <v>81</v>
      </c>
      <c r="Z128" s="3" t="s">
        <v>81</v>
      </c>
      <c r="AA128" s="3" t="s">
        <v>81</v>
      </c>
      <c r="AB128" s="3" t="s">
        <v>81</v>
      </c>
      <c r="AC128" s="3" t="s">
        <v>81</v>
      </c>
      <c r="AD128" s="3" t="s">
        <v>81</v>
      </c>
      <c r="AE128" s="3" t="s">
        <v>81</v>
      </c>
      <c r="AF128" s="3" t="s">
        <v>81</v>
      </c>
      <c r="AG128" s="3" t="s">
        <v>81</v>
      </c>
      <c r="AH128" s="3" t="s">
        <v>81</v>
      </c>
      <c r="AI128" s="3" t="s">
        <v>81</v>
      </c>
      <c r="AJ128" s="3" t="s">
        <v>81</v>
      </c>
      <c r="AK128" s="3" t="s">
        <v>81</v>
      </c>
      <c r="AL128" s="3" t="s">
        <v>81</v>
      </c>
      <c r="AM128" s="3" t="s">
        <v>81</v>
      </c>
      <c r="AN128" s="3" t="s">
        <v>81</v>
      </c>
      <c r="AO128" s="3" t="s">
        <v>81</v>
      </c>
      <c r="AP128" s="3" t="s">
        <v>81</v>
      </c>
      <c r="AQ128" s="3" t="s">
        <v>81</v>
      </c>
      <c r="AR128" s="3" t="s">
        <v>81</v>
      </c>
      <c r="AS128" s="3" t="s">
        <v>81</v>
      </c>
      <c r="AT128" s="3" t="s">
        <v>81</v>
      </c>
      <c r="AU128" s="3" t="s">
        <v>81</v>
      </c>
      <c r="AV128" s="3" t="s">
        <v>81</v>
      </c>
      <c r="AW128" s="3" t="s">
        <v>81</v>
      </c>
      <c r="AX128" s="3" t="s">
        <v>81</v>
      </c>
      <c r="AY128" s="3" t="s">
        <v>81</v>
      </c>
      <c r="AZ128" s="3" t="s">
        <v>81</v>
      </c>
      <c r="BA128" s="3" t="s">
        <v>81</v>
      </c>
      <c r="BB128" s="3" t="s">
        <v>81</v>
      </c>
      <c r="BC128" s="3" t="s">
        <v>81</v>
      </c>
      <c r="BD128" s="3" t="s">
        <v>81</v>
      </c>
      <c r="BE128" s="3" t="s">
        <v>81</v>
      </c>
      <c r="BF128" s="3" t="s">
        <v>81</v>
      </c>
      <c r="BG128" s="3" t="s">
        <v>81</v>
      </c>
      <c r="BH128" s="3" t="s">
        <v>81</v>
      </c>
      <c r="BI128" s="3" t="s">
        <v>82</v>
      </c>
      <c r="BJ128" s="3" t="s">
        <v>81</v>
      </c>
      <c r="BK128" s="3" t="s">
        <v>81</v>
      </c>
      <c r="BL128" s="3" t="s">
        <v>84</v>
      </c>
      <c r="BM128" s="3" t="s">
        <v>84</v>
      </c>
      <c r="BN128" s="3" t="s">
        <v>83</v>
      </c>
      <c r="BO128" s="3"/>
      <c r="BV128" s="3"/>
      <c r="BW128" s="3"/>
      <c r="BX128" s="3"/>
      <c r="BZ128" s="9" t="s">
        <v>93</v>
      </c>
      <c r="CD128">
        <v>1</v>
      </c>
      <c r="CG128">
        <v>1</v>
      </c>
    </row>
    <row r="129" spans="1:87" s="15" customFormat="1" ht="13" x14ac:dyDescent="0.15">
      <c r="A129" s="3">
        <v>1228349065</v>
      </c>
      <c r="B129" s="3" t="s">
        <v>266</v>
      </c>
      <c r="C129" s="3" t="s">
        <v>266</v>
      </c>
      <c r="D129" s="3" t="s">
        <v>81</v>
      </c>
      <c r="E129" s="3">
        <v>17</v>
      </c>
      <c r="F129" s="3">
        <v>21.045000000000002</v>
      </c>
      <c r="G129" s="3">
        <v>0</v>
      </c>
      <c r="H129" s="3" t="s">
        <v>81</v>
      </c>
      <c r="I129" s="3" t="s">
        <v>81</v>
      </c>
      <c r="J129" s="3" t="s">
        <v>81</v>
      </c>
      <c r="K129" s="3" t="s">
        <v>81</v>
      </c>
      <c r="L129" s="3" t="s">
        <v>81</v>
      </c>
      <c r="M129" s="3" t="s">
        <v>81</v>
      </c>
      <c r="N129" s="3" t="s">
        <v>81</v>
      </c>
      <c r="O129" s="3" t="s">
        <v>81</v>
      </c>
      <c r="P129" s="3" t="s">
        <v>81</v>
      </c>
      <c r="Q129" s="3">
        <v>19.46</v>
      </c>
      <c r="R129" s="3">
        <v>0</v>
      </c>
      <c r="S129" s="3" t="s">
        <v>81</v>
      </c>
      <c r="T129" s="3" t="s">
        <v>81</v>
      </c>
      <c r="U129" s="3" t="s">
        <v>81</v>
      </c>
      <c r="V129" s="3" t="s">
        <v>81</v>
      </c>
      <c r="W129" s="3" t="s">
        <v>81</v>
      </c>
      <c r="X129" s="3" t="s">
        <v>81</v>
      </c>
      <c r="Y129" s="3" t="s">
        <v>81</v>
      </c>
      <c r="Z129" s="3" t="s">
        <v>81</v>
      </c>
      <c r="AA129" s="3" t="s">
        <v>81</v>
      </c>
      <c r="AB129" s="3">
        <v>18.512</v>
      </c>
      <c r="AC129" s="3">
        <v>0</v>
      </c>
      <c r="AD129" s="3" t="s">
        <v>81</v>
      </c>
      <c r="AE129" s="3" t="s">
        <v>81</v>
      </c>
      <c r="AF129" s="3" t="s">
        <v>81</v>
      </c>
      <c r="AG129" s="3" t="s">
        <v>81</v>
      </c>
      <c r="AH129" s="3" t="s">
        <v>81</v>
      </c>
      <c r="AI129" s="3" t="s">
        <v>81</v>
      </c>
      <c r="AJ129" s="3" t="s">
        <v>81</v>
      </c>
      <c r="AK129" s="3" t="s">
        <v>81</v>
      </c>
      <c r="AL129" s="3" t="s">
        <v>81</v>
      </c>
      <c r="AM129" s="3">
        <v>21.32</v>
      </c>
      <c r="AN129" s="3">
        <v>0</v>
      </c>
      <c r="AO129" s="3" t="s">
        <v>81</v>
      </c>
      <c r="AP129" s="3" t="s">
        <v>81</v>
      </c>
      <c r="AQ129" s="3" t="s">
        <v>81</v>
      </c>
      <c r="AR129" s="3" t="s">
        <v>81</v>
      </c>
      <c r="AS129" s="3" t="s">
        <v>81</v>
      </c>
      <c r="AT129" s="3" t="s">
        <v>81</v>
      </c>
      <c r="AU129" s="3" t="s">
        <v>81</v>
      </c>
      <c r="AV129" s="3" t="s">
        <v>81</v>
      </c>
      <c r="AW129" s="3" t="s">
        <v>81</v>
      </c>
      <c r="AX129" s="3">
        <v>26.029</v>
      </c>
      <c r="AY129" s="3">
        <v>0</v>
      </c>
      <c r="AZ129" s="3" t="s">
        <v>81</v>
      </c>
      <c r="BA129" s="3" t="s">
        <v>81</v>
      </c>
      <c r="BB129" s="3" t="s">
        <v>81</v>
      </c>
      <c r="BC129" s="3" t="s">
        <v>81</v>
      </c>
      <c r="BD129" s="3" t="s">
        <v>81</v>
      </c>
      <c r="BE129" s="3" t="s">
        <v>81</v>
      </c>
      <c r="BF129" s="3" t="s">
        <v>81</v>
      </c>
      <c r="BG129" s="3" t="s">
        <v>81</v>
      </c>
      <c r="BH129" s="3" t="s">
        <v>81</v>
      </c>
      <c r="BI129" s="3" t="s">
        <v>84</v>
      </c>
      <c r="BJ129" s="3" t="s">
        <v>82</v>
      </c>
      <c r="BK129" s="3" t="s">
        <v>83</v>
      </c>
      <c r="BL129" s="3" t="s">
        <v>84</v>
      </c>
      <c r="BM129" s="3" t="s">
        <v>84</v>
      </c>
      <c r="BN129" s="3" t="s">
        <v>84</v>
      </c>
      <c r="BO129" s="3" t="s">
        <v>82</v>
      </c>
      <c r="BP129" s="3" t="s">
        <v>210</v>
      </c>
      <c r="BQ129" s="3" t="s">
        <v>210</v>
      </c>
      <c r="BR129" s="3" t="s">
        <v>210</v>
      </c>
      <c r="BS129" s="3" t="s">
        <v>210</v>
      </c>
      <c r="BT129" s="3" t="s">
        <v>87</v>
      </c>
      <c r="BU129" s="3" t="s">
        <v>81</v>
      </c>
      <c r="BV129" s="3" t="s">
        <v>84</v>
      </c>
      <c r="BW129" s="3" t="s">
        <v>83</v>
      </c>
      <c r="BX129" s="3" t="s">
        <v>84</v>
      </c>
      <c r="BY129" s="3" t="s">
        <v>160</v>
      </c>
      <c r="BZ129" s="3" t="s">
        <v>93</v>
      </c>
      <c r="CA129" s="3"/>
      <c r="CB129" s="3"/>
      <c r="CC129" s="3"/>
      <c r="CD129" s="3"/>
      <c r="CE129" s="3"/>
      <c r="CF129" s="3"/>
      <c r="CG129" s="3"/>
      <c r="CH129" s="3"/>
      <c r="CI129" s="16"/>
    </row>
    <row r="130" spans="1:87" s="15" customFormat="1" ht="13" x14ac:dyDescent="0.15">
      <c r="A130" s="3">
        <v>2643318876</v>
      </c>
      <c r="B130" s="3" t="s">
        <v>266</v>
      </c>
      <c r="C130" s="3" t="s">
        <v>266</v>
      </c>
      <c r="D130" s="3">
        <v>6</v>
      </c>
      <c r="E130" s="3">
        <v>6</v>
      </c>
      <c r="F130" s="3">
        <v>36.225000000000001</v>
      </c>
      <c r="G130" s="3">
        <v>0</v>
      </c>
      <c r="H130" s="3" t="s">
        <v>81</v>
      </c>
      <c r="I130" s="3" t="s">
        <v>81</v>
      </c>
      <c r="J130" s="3" t="s">
        <v>81</v>
      </c>
      <c r="K130" s="3" t="s">
        <v>81</v>
      </c>
      <c r="L130" s="3" t="s">
        <v>81</v>
      </c>
      <c r="M130" s="3" t="s">
        <v>81</v>
      </c>
      <c r="N130" s="3" t="s">
        <v>81</v>
      </c>
      <c r="O130" s="3" t="s">
        <v>81</v>
      </c>
      <c r="P130" s="3" t="s">
        <v>81</v>
      </c>
      <c r="Q130" s="3">
        <v>33.148000000000003</v>
      </c>
      <c r="R130" s="3">
        <v>0</v>
      </c>
      <c r="S130" s="3" t="s">
        <v>81</v>
      </c>
      <c r="T130" s="3" t="s">
        <v>81</v>
      </c>
      <c r="U130" s="3" t="s">
        <v>81</v>
      </c>
      <c r="V130" s="3" t="s">
        <v>81</v>
      </c>
      <c r="W130" s="3" t="s">
        <v>81</v>
      </c>
      <c r="X130" s="3" t="s">
        <v>81</v>
      </c>
      <c r="Y130" s="3" t="s">
        <v>81</v>
      </c>
      <c r="Z130" s="3" t="s">
        <v>81</v>
      </c>
      <c r="AA130" s="3" t="s">
        <v>81</v>
      </c>
      <c r="AB130" s="3">
        <v>36.639000000000003</v>
      </c>
      <c r="AC130" s="3">
        <v>0</v>
      </c>
      <c r="AD130" s="3" t="s">
        <v>81</v>
      </c>
      <c r="AE130" s="3" t="s">
        <v>81</v>
      </c>
      <c r="AF130" s="3" t="s">
        <v>81</v>
      </c>
      <c r="AG130" s="3" t="s">
        <v>81</v>
      </c>
      <c r="AH130" s="3" t="s">
        <v>81</v>
      </c>
      <c r="AI130" s="3" t="s">
        <v>81</v>
      </c>
      <c r="AJ130" s="3" t="s">
        <v>81</v>
      </c>
      <c r="AK130" s="3" t="s">
        <v>81</v>
      </c>
      <c r="AL130" s="3" t="s">
        <v>81</v>
      </c>
      <c r="AM130" s="3">
        <v>34.186999999999998</v>
      </c>
      <c r="AN130" s="3">
        <v>0</v>
      </c>
      <c r="AO130" s="3" t="s">
        <v>81</v>
      </c>
      <c r="AP130" s="3" t="s">
        <v>81</v>
      </c>
      <c r="AQ130" s="3" t="s">
        <v>81</v>
      </c>
      <c r="AR130" s="3" t="s">
        <v>81</v>
      </c>
      <c r="AS130" s="3" t="s">
        <v>81</v>
      </c>
      <c r="AT130" s="3" t="s">
        <v>81</v>
      </c>
      <c r="AU130" s="3" t="s">
        <v>81</v>
      </c>
      <c r="AV130" s="3" t="s">
        <v>81</v>
      </c>
      <c r="AW130" s="3" t="s">
        <v>81</v>
      </c>
      <c r="AX130" s="3" t="s">
        <v>81</v>
      </c>
      <c r="AY130" s="3">
        <v>0</v>
      </c>
      <c r="AZ130" s="3" t="s">
        <v>81</v>
      </c>
      <c r="BA130" s="3" t="s">
        <v>81</v>
      </c>
      <c r="BB130" s="3" t="s">
        <v>81</v>
      </c>
      <c r="BC130" s="3" t="s">
        <v>81</v>
      </c>
      <c r="BD130" s="3" t="s">
        <v>81</v>
      </c>
      <c r="BE130" s="3" t="s">
        <v>81</v>
      </c>
      <c r="BF130" s="3" t="s">
        <v>81</v>
      </c>
      <c r="BG130" s="3" t="s">
        <v>81</v>
      </c>
      <c r="BH130" s="3" t="s">
        <v>81</v>
      </c>
      <c r="BI130" s="3" t="s">
        <v>84</v>
      </c>
      <c r="BJ130" s="3" t="s">
        <v>82</v>
      </c>
      <c r="BK130" s="3" t="s">
        <v>83</v>
      </c>
      <c r="BL130" s="3" t="s">
        <v>84</v>
      </c>
      <c r="BM130" s="3" t="s">
        <v>84</v>
      </c>
      <c r="BN130" s="3" t="s">
        <v>84</v>
      </c>
      <c r="BO130" s="3" t="s">
        <v>82</v>
      </c>
      <c r="BP130" s="3" t="s">
        <v>239</v>
      </c>
      <c r="BQ130" s="3" t="s">
        <v>239</v>
      </c>
      <c r="BR130" s="3" t="s">
        <v>239</v>
      </c>
      <c r="BS130" s="3" t="s">
        <v>239</v>
      </c>
      <c r="BT130" s="3" t="s">
        <v>87</v>
      </c>
      <c r="BU130" s="3" t="s">
        <v>81</v>
      </c>
      <c r="BV130" s="3" t="s">
        <v>84</v>
      </c>
      <c r="BW130" s="3" t="s">
        <v>83</v>
      </c>
      <c r="BX130" s="3" t="s">
        <v>82</v>
      </c>
      <c r="BY130" s="3" t="s">
        <v>201</v>
      </c>
      <c r="BZ130" s="3" t="s">
        <v>86</v>
      </c>
      <c r="CA130"/>
      <c r="CB130"/>
      <c r="CC130"/>
      <c r="CD130"/>
      <c r="CE130"/>
      <c r="CF130"/>
      <c r="CG130"/>
      <c r="CH130"/>
    </row>
    <row r="131" spans="1:87" s="15" customFormat="1" ht="13" x14ac:dyDescent="0.15">
      <c r="A131" s="3">
        <v>1228402683</v>
      </c>
      <c r="B131" s="3" t="s">
        <v>268</v>
      </c>
      <c r="C131" s="3" t="s">
        <v>268</v>
      </c>
      <c r="D131" s="3" t="s">
        <v>81</v>
      </c>
      <c r="E131" s="3">
        <v>6</v>
      </c>
      <c r="F131" s="3">
        <v>26.599</v>
      </c>
      <c r="G131" s="3">
        <v>0</v>
      </c>
      <c r="H131" s="3" t="s">
        <v>81</v>
      </c>
      <c r="I131" s="3" t="s">
        <v>81</v>
      </c>
      <c r="J131" s="3" t="s">
        <v>81</v>
      </c>
      <c r="K131" s="3" t="s">
        <v>81</v>
      </c>
      <c r="L131" s="3" t="s">
        <v>81</v>
      </c>
      <c r="M131" s="3" t="s">
        <v>81</v>
      </c>
      <c r="N131" s="3" t="s">
        <v>81</v>
      </c>
      <c r="O131" s="3" t="s">
        <v>81</v>
      </c>
      <c r="P131" s="3" t="s">
        <v>81</v>
      </c>
      <c r="Q131" s="3">
        <v>26.263000000000002</v>
      </c>
      <c r="R131" s="3">
        <v>0</v>
      </c>
      <c r="S131" s="3" t="s">
        <v>81</v>
      </c>
      <c r="T131" s="3" t="s">
        <v>81</v>
      </c>
      <c r="U131" s="3" t="s">
        <v>81</v>
      </c>
      <c r="V131" s="3" t="s">
        <v>81</v>
      </c>
      <c r="W131" s="3" t="s">
        <v>81</v>
      </c>
      <c r="X131" s="3" t="s">
        <v>81</v>
      </c>
      <c r="Y131" s="3" t="s">
        <v>81</v>
      </c>
      <c r="Z131" s="3" t="s">
        <v>81</v>
      </c>
      <c r="AA131" s="3" t="s">
        <v>81</v>
      </c>
      <c r="AB131" s="3">
        <v>24.309000000000001</v>
      </c>
      <c r="AC131" s="3">
        <v>0</v>
      </c>
      <c r="AD131" s="3" t="s">
        <v>81</v>
      </c>
      <c r="AE131" s="3" t="s">
        <v>81</v>
      </c>
      <c r="AF131" s="3" t="s">
        <v>81</v>
      </c>
      <c r="AG131" s="3" t="s">
        <v>81</v>
      </c>
      <c r="AH131" s="3" t="s">
        <v>81</v>
      </c>
      <c r="AI131" s="3" t="s">
        <v>81</v>
      </c>
      <c r="AJ131" s="3" t="s">
        <v>81</v>
      </c>
      <c r="AK131" s="3" t="s">
        <v>81</v>
      </c>
      <c r="AL131" s="3" t="s">
        <v>81</v>
      </c>
      <c r="AM131" s="3">
        <v>23.919</v>
      </c>
      <c r="AN131" s="3">
        <v>0</v>
      </c>
      <c r="AO131" s="3" t="s">
        <v>81</v>
      </c>
      <c r="AP131" s="3" t="s">
        <v>81</v>
      </c>
      <c r="AQ131" s="3" t="s">
        <v>81</v>
      </c>
      <c r="AR131" s="3" t="s">
        <v>81</v>
      </c>
      <c r="AS131" s="3" t="s">
        <v>81</v>
      </c>
      <c r="AT131" s="3" t="s">
        <v>81</v>
      </c>
      <c r="AU131" s="3" t="s">
        <v>81</v>
      </c>
      <c r="AV131" s="3" t="s">
        <v>81</v>
      </c>
      <c r="AW131" s="3" t="s">
        <v>81</v>
      </c>
      <c r="AX131" s="3">
        <v>24.46</v>
      </c>
      <c r="AY131" s="3">
        <v>0</v>
      </c>
      <c r="AZ131" s="3" t="s">
        <v>81</v>
      </c>
      <c r="BA131" s="3" t="s">
        <v>81</v>
      </c>
      <c r="BB131" s="3" t="s">
        <v>81</v>
      </c>
      <c r="BC131" s="3" t="s">
        <v>81</v>
      </c>
      <c r="BD131" s="3" t="s">
        <v>81</v>
      </c>
      <c r="BE131" s="3" t="s">
        <v>81</v>
      </c>
      <c r="BF131" s="3" t="s">
        <v>81</v>
      </c>
      <c r="BG131" s="3" t="s">
        <v>81</v>
      </c>
      <c r="BH131" s="3" t="s">
        <v>81</v>
      </c>
      <c r="BI131" s="3" t="s">
        <v>82</v>
      </c>
      <c r="BJ131" s="3" t="s">
        <v>82</v>
      </c>
      <c r="BK131" s="3" t="s">
        <v>83</v>
      </c>
      <c r="BL131" s="3" t="s">
        <v>84</v>
      </c>
      <c r="BM131" s="3" t="s">
        <v>84</v>
      </c>
      <c r="BN131" s="3" t="s">
        <v>84</v>
      </c>
      <c r="BO131" s="3" t="s">
        <v>82</v>
      </c>
      <c r="BP131" s="3" t="s">
        <v>87</v>
      </c>
      <c r="BQ131" s="3" t="s">
        <v>87</v>
      </c>
      <c r="BR131" s="3" t="s">
        <v>85</v>
      </c>
      <c r="BS131" s="3" t="s">
        <v>85</v>
      </c>
      <c r="BT131" s="3" t="s">
        <v>87</v>
      </c>
      <c r="BU131" s="3" t="s">
        <v>85</v>
      </c>
      <c r="BV131" s="3" t="s">
        <v>84</v>
      </c>
      <c r="BW131" s="3" t="s">
        <v>83</v>
      </c>
      <c r="BX131" s="3" t="s">
        <v>82</v>
      </c>
      <c r="BY131" s="3" t="s">
        <v>269</v>
      </c>
      <c r="BZ131" s="3" t="s">
        <v>93</v>
      </c>
      <c r="CA131" s="3" t="s">
        <v>232</v>
      </c>
      <c r="CB131" s="3" t="s">
        <v>84</v>
      </c>
      <c r="CC131"/>
      <c r="CD131" s="9">
        <v>6</v>
      </c>
      <c r="CE131" s="9"/>
      <c r="CF131" s="9"/>
      <c r="CG131"/>
      <c r="CH131"/>
    </row>
    <row r="132" spans="1:87" s="15" customFormat="1" ht="13" x14ac:dyDescent="0.15">
      <c r="A132" s="3">
        <v>1228514570</v>
      </c>
      <c r="B132" s="3" t="s">
        <v>268</v>
      </c>
      <c r="C132" s="3" t="s">
        <v>268</v>
      </c>
      <c r="D132" s="3" t="s">
        <v>81</v>
      </c>
      <c r="E132" s="3">
        <v>7</v>
      </c>
      <c r="F132" s="3">
        <v>15.12</v>
      </c>
      <c r="G132" s="3">
        <v>0</v>
      </c>
      <c r="H132" s="3" t="s">
        <v>81</v>
      </c>
      <c r="I132" s="3" t="s">
        <v>81</v>
      </c>
      <c r="J132" s="3" t="s">
        <v>81</v>
      </c>
      <c r="K132" s="3" t="s">
        <v>81</v>
      </c>
      <c r="L132" s="3" t="s">
        <v>81</v>
      </c>
      <c r="M132" s="3" t="s">
        <v>81</v>
      </c>
      <c r="N132" s="3" t="s">
        <v>81</v>
      </c>
      <c r="O132" s="3" t="s">
        <v>81</v>
      </c>
      <c r="P132" s="3" t="s">
        <v>81</v>
      </c>
      <c r="Q132" s="3">
        <v>17.175999999999998</v>
      </c>
      <c r="R132" s="3">
        <v>0</v>
      </c>
      <c r="S132" s="3" t="s">
        <v>81</v>
      </c>
      <c r="T132" s="3" t="s">
        <v>81</v>
      </c>
      <c r="U132" s="3" t="s">
        <v>81</v>
      </c>
      <c r="V132" s="3" t="s">
        <v>81</v>
      </c>
      <c r="W132" s="3" t="s">
        <v>81</v>
      </c>
      <c r="X132" s="3" t="s">
        <v>81</v>
      </c>
      <c r="Y132" s="3" t="s">
        <v>81</v>
      </c>
      <c r="Z132" s="3" t="s">
        <v>81</v>
      </c>
      <c r="AA132" s="3" t="s">
        <v>81</v>
      </c>
      <c r="AB132" s="3">
        <v>18.393000000000001</v>
      </c>
      <c r="AC132" s="3">
        <v>0</v>
      </c>
      <c r="AD132" s="3" t="s">
        <v>81</v>
      </c>
      <c r="AE132" s="3" t="s">
        <v>81</v>
      </c>
      <c r="AF132" s="3" t="s">
        <v>81</v>
      </c>
      <c r="AG132" s="3" t="s">
        <v>81</v>
      </c>
      <c r="AH132" s="3" t="s">
        <v>81</v>
      </c>
      <c r="AI132" s="3" t="s">
        <v>81</v>
      </c>
      <c r="AJ132" s="3" t="s">
        <v>81</v>
      </c>
      <c r="AK132" s="3" t="s">
        <v>81</v>
      </c>
      <c r="AL132" s="3" t="s">
        <v>81</v>
      </c>
      <c r="AM132" s="3">
        <v>16.420999999999999</v>
      </c>
      <c r="AN132" s="3">
        <v>0</v>
      </c>
      <c r="AO132" s="3" t="s">
        <v>81</v>
      </c>
      <c r="AP132" s="3" t="s">
        <v>81</v>
      </c>
      <c r="AQ132" s="3" t="s">
        <v>81</v>
      </c>
      <c r="AR132" s="3" t="s">
        <v>81</v>
      </c>
      <c r="AS132" s="3" t="s">
        <v>81</v>
      </c>
      <c r="AT132" s="3" t="s">
        <v>81</v>
      </c>
      <c r="AU132" s="3" t="s">
        <v>81</v>
      </c>
      <c r="AV132" s="3" t="s">
        <v>81</v>
      </c>
      <c r="AW132" s="3" t="s">
        <v>81</v>
      </c>
      <c r="AX132" s="3">
        <v>17.652999999999999</v>
      </c>
      <c r="AY132" s="3">
        <v>0</v>
      </c>
      <c r="AZ132" s="3" t="s">
        <v>81</v>
      </c>
      <c r="BA132" s="3" t="s">
        <v>81</v>
      </c>
      <c r="BB132" s="3" t="s">
        <v>81</v>
      </c>
      <c r="BC132" s="3" t="s">
        <v>81</v>
      </c>
      <c r="BD132" s="3" t="s">
        <v>81</v>
      </c>
      <c r="BE132" s="3" t="s">
        <v>81</v>
      </c>
      <c r="BF132" s="3" t="s">
        <v>81</v>
      </c>
      <c r="BG132" s="3" t="s">
        <v>81</v>
      </c>
      <c r="BH132" s="3" t="s">
        <v>81</v>
      </c>
      <c r="BI132" s="3" t="s">
        <v>82</v>
      </c>
      <c r="BJ132" s="3" t="s">
        <v>84</v>
      </c>
      <c r="BK132" s="3" t="s">
        <v>84</v>
      </c>
      <c r="BL132" s="3" t="s">
        <v>84</v>
      </c>
      <c r="BM132" s="3" t="s">
        <v>84</v>
      </c>
      <c r="BN132" s="3" t="s">
        <v>84</v>
      </c>
      <c r="BO132" s="3" t="s">
        <v>82</v>
      </c>
      <c r="BP132" s="3" t="s">
        <v>270</v>
      </c>
      <c r="BQ132" s="3" t="s">
        <v>270</v>
      </c>
      <c r="BR132" s="3" t="s">
        <v>270</v>
      </c>
      <c r="BS132" s="3" t="s">
        <v>270</v>
      </c>
      <c r="BT132" s="3" t="s">
        <v>85</v>
      </c>
      <c r="BU132" s="3" t="s">
        <v>81</v>
      </c>
      <c r="BV132" s="3" t="s">
        <v>84</v>
      </c>
      <c r="BW132" s="3" t="s">
        <v>83</v>
      </c>
      <c r="BX132" s="3" t="s">
        <v>82</v>
      </c>
      <c r="BY132" s="3" t="s">
        <v>269</v>
      </c>
      <c r="BZ132" s="3" t="s">
        <v>93</v>
      </c>
      <c r="CA132"/>
      <c r="CB132" s="3" t="s">
        <v>84</v>
      </c>
      <c r="CC132"/>
      <c r="CD132" s="9">
        <v>6</v>
      </c>
      <c r="CE132" s="9">
        <v>7</v>
      </c>
      <c r="CF132" s="9">
        <v>4</v>
      </c>
      <c r="CG132"/>
      <c r="CH132"/>
      <c r="CI132" s="16"/>
    </row>
    <row r="133" spans="1:87" ht="13" hidden="1" x14ac:dyDescent="0.15">
      <c r="A133" s="3">
        <v>1228535745</v>
      </c>
      <c r="B133" s="3" t="s">
        <v>296</v>
      </c>
      <c r="C133" s="3" t="s">
        <v>296</v>
      </c>
      <c r="D133" s="3">
        <v>12</v>
      </c>
      <c r="E133" s="3">
        <v>16</v>
      </c>
      <c r="F133" s="3">
        <v>15.387</v>
      </c>
      <c r="G133" s="3">
        <v>0</v>
      </c>
      <c r="H133" s="3" t="s">
        <v>81</v>
      </c>
      <c r="I133" s="3" t="s">
        <v>81</v>
      </c>
      <c r="J133" s="3" t="s">
        <v>81</v>
      </c>
      <c r="K133" s="3" t="s">
        <v>81</v>
      </c>
      <c r="L133" s="3" t="s">
        <v>81</v>
      </c>
      <c r="M133" s="3" t="s">
        <v>81</v>
      </c>
      <c r="N133" s="3" t="s">
        <v>81</v>
      </c>
      <c r="O133" s="3" t="s">
        <v>81</v>
      </c>
      <c r="P133" s="3" t="s">
        <v>81</v>
      </c>
      <c r="Q133" s="3">
        <v>16.707000000000001</v>
      </c>
      <c r="R133" s="3">
        <v>0</v>
      </c>
      <c r="S133" s="3" t="s">
        <v>81</v>
      </c>
      <c r="T133" s="3" t="s">
        <v>81</v>
      </c>
      <c r="U133" s="3" t="s">
        <v>81</v>
      </c>
      <c r="V133" s="3" t="s">
        <v>81</v>
      </c>
      <c r="W133" s="3" t="s">
        <v>81</v>
      </c>
      <c r="X133" s="3" t="s">
        <v>81</v>
      </c>
      <c r="Y133" s="3" t="s">
        <v>81</v>
      </c>
      <c r="Z133" s="3" t="s">
        <v>81</v>
      </c>
      <c r="AA133" s="3" t="s">
        <v>81</v>
      </c>
      <c r="AB133" s="3">
        <v>21.818999999999999</v>
      </c>
      <c r="AC133" s="3">
        <v>0</v>
      </c>
      <c r="AD133" s="3" t="s">
        <v>81</v>
      </c>
      <c r="AE133" s="3" t="s">
        <v>81</v>
      </c>
      <c r="AF133" s="3" t="s">
        <v>81</v>
      </c>
      <c r="AG133" s="3" t="s">
        <v>81</v>
      </c>
      <c r="AH133" s="3" t="s">
        <v>81</v>
      </c>
      <c r="AI133" s="3" t="s">
        <v>81</v>
      </c>
      <c r="AJ133" s="3" t="s">
        <v>81</v>
      </c>
      <c r="AK133" s="3" t="s">
        <v>81</v>
      </c>
      <c r="AL133" s="3" t="s">
        <v>81</v>
      </c>
      <c r="AM133" s="3">
        <v>23.11</v>
      </c>
      <c r="AN133" s="3">
        <v>0</v>
      </c>
      <c r="AO133" s="3" t="s">
        <v>81</v>
      </c>
      <c r="AP133" s="3" t="s">
        <v>81</v>
      </c>
      <c r="AQ133" s="3" t="s">
        <v>81</v>
      </c>
      <c r="AR133" s="3" t="s">
        <v>81</v>
      </c>
      <c r="AS133" s="3" t="s">
        <v>81</v>
      </c>
      <c r="AT133" s="3" t="s">
        <v>81</v>
      </c>
      <c r="AU133" s="3" t="s">
        <v>81</v>
      </c>
      <c r="AV133" s="3" t="s">
        <v>81</v>
      </c>
      <c r="AW133" s="3" t="s">
        <v>81</v>
      </c>
      <c r="AX133" s="3">
        <v>22.331</v>
      </c>
      <c r="AY133" s="3">
        <v>0</v>
      </c>
      <c r="AZ133" s="3" t="s">
        <v>81</v>
      </c>
      <c r="BA133" s="3" t="s">
        <v>81</v>
      </c>
      <c r="BB133" s="3" t="s">
        <v>81</v>
      </c>
      <c r="BC133" s="3" t="s">
        <v>81</v>
      </c>
      <c r="BD133" s="3" t="s">
        <v>81</v>
      </c>
      <c r="BE133" s="3" t="s">
        <v>81</v>
      </c>
      <c r="BF133" s="3" t="s">
        <v>81</v>
      </c>
      <c r="BG133" s="3" t="s">
        <v>81</v>
      </c>
      <c r="BH133" s="3" t="s">
        <v>81</v>
      </c>
      <c r="BI133" s="3" t="s">
        <v>82</v>
      </c>
      <c r="BJ133" s="3" t="s">
        <v>82</v>
      </c>
      <c r="BK133" s="3" t="s">
        <v>83</v>
      </c>
      <c r="BL133" s="3" t="s">
        <v>84</v>
      </c>
      <c r="BM133" s="3" t="s">
        <v>84</v>
      </c>
      <c r="BN133" s="3" t="s">
        <v>84</v>
      </c>
      <c r="BO133" s="3" t="s">
        <v>84</v>
      </c>
      <c r="BP133" s="3" t="s">
        <v>85</v>
      </c>
      <c r="BQ133" s="3" t="s">
        <v>85</v>
      </c>
      <c r="BR133" s="3" t="s">
        <v>85</v>
      </c>
      <c r="BS133" s="3" t="s">
        <v>297</v>
      </c>
      <c r="BT133" s="3" t="s">
        <v>85</v>
      </c>
      <c r="BU133" s="3" t="s">
        <v>81</v>
      </c>
      <c r="BV133" s="3" t="s">
        <v>84</v>
      </c>
      <c r="BW133" s="3" t="s">
        <v>83</v>
      </c>
      <c r="BX133" s="3" t="s">
        <v>82</v>
      </c>
      <c r="BY133" s="3"/>
      <c r="BZ133" s="3" t="s">
        <v>93</v>
      </c>
      <c r="CA133" s="3"/>
      <c r="CB133" s="3"/>
      <c r="CC133" s="3"/>
      <c r="CD133" s="9">
        <v>16</v>
      </c>
      <c r="CE133" s="3"/>
      <c r="CF133" s="6"/>
      <c r="CG133" s="6"/>
      <c r="CH133" s="6"/>
    </row>
    <row r="134" spans="1:87" ht="13" hidden="1" x14ac:dyDescent="0.15">
      <c r="A134" s="3">
        <v>1321808357</v>
      </c>
      <c r="B134" s="3" t="s">
        <v>296</v>
      </c>
      <c r="C134" s="3" t="s">
        <v>296</v>
      </c>
      <c r="D134" s="3">
        <v>9</v>
      </c>
      <c r="E134" s="3">
        <v>10</v>
      </c>
      <c r="F134" s="3">
        <v>16.856999999999999</v>
      </c>
      <c r="G134" s="3">
        <v>0</v>
      </c>
      <c r="H134" s="3" t="s">
        <v>81</v>
      </c>
      <c r="I134" s="3" t="s">
        <v>81</v>
      </c>
      <c r="J134" s="3" t="s">
        <v>81</v>
      </c>
      <c r="K134" s="3" t="s">
        <v>81</v>
      </c>
      <c r="L134" s="3" t="s">
        <v>81</v>
      </c>
      <c r="M134" s="3" t="s">
        <v>81</v>
      </c>
      <c r="N134" s="3" t="s">
        <v>81</v>
      </c>
      <c r="O134" s="3" t="s">
        <v>81</v>
      </c>
      <c r="P134" s="3" t="s">
        <v>81</v>
      </c>
      <c r="Q134" s="3">
        <v>16.024999999999999</v>
      </c>
      <c r="R134" s="3">
        <v>0</v>
      </c>
      <c r="S134" s="3" t="s">
        <v>81</v>
      </c>
      <c r="T134" s="3" t="s">
        <v>81</v>
      </c>
      <c r="U134" s="3" t="s">
        <v>81</v>
      </c>
      <c r="V134" s="3" t="s">
        <v>81</v>
      </c>
      <c r="W134" s="3" t="s">
        <v>81</v>
      </c>
      <c r="X134" s="3" t="s">
        <v>81</v>
      </c>
      <c r="Y134" s="3" t="s">
        <v>81</v>
      </c>
      <c r="Z134" s="3" t="s">
        <v>81</v>
      </c>
      <c r="AA134" s="3" t="s">
        <v>81</v>
      </c>
      <c r="AB134" s="3">
        <v>15.082000000000001</v>
      </c>
      <c r="AC134" s="3">
        <v>0</v>
      </c>
      <c r="AD134" s="3" t="s">
        <v>81</v>
      </c>
      <c r="AE134" s="3" t="s">
        <v>81</v>
      </c>
      <c r="AF134" s="3" t="s">
        <v>81</v>
      </c>
      <c r="AG134" s="3" t="s">
        <v>81</v>
      </c>
      <c r="AH134" s="3" t="s">
        <v>81</v>
      </c>
      <c r="AI134" s="3" t="s">
        <v>81</v>
      </c>
      <c r="AJ134" s="3" t="s">
        <v>81</v>
      </c>
      <c r="AK134" s="3" t="s">
        <v>81</v>
      </c>
      <c r="AL134" s="3" t="s">
        <v>81</v>
      </c>
      <c r="AM134" s="3">
        <v>19.047000000000001</v>
      </c>
      <c r="AN134" s="3">
        <v>0</v>
      </c>
      <c r="AO134" s="3" t="s">
        <v>81</v>
      </c>
      <c r="AP134" s="3" t="s">
        <v>81</v>
      </c>
      <c r="AQ134" s="3" t="s">
        <v>81</v>
      </c>
      <c r="AR134" s="3" t="s">
        <v>81</v>
      </c>
      <c r="AS134" s="3" t="s">
        <v>81</v>
      </c>
      <c r="AT134" s="3" t="s">
        <v>81</v>
      </c>
      <c r="AU134" s="3" t="s">
        <v>81</v>
      </c>
      <c r="AV134" s="3" t="s">
        <v>81</v>
      </c>
      <c r="AW134" s="3" t="s">
        <v>81</v>
      </c>
      <c r="AX134" s="3">
        <v>17.146000000000001</v>
      </c>
      <c r="AY134" s="3">
        <v>0</v>
      </c>
      <c r="AZ134" s="3" t="s">
        <v>81</v>
      </c>
      <c r="BA134" s="3" t="s">
        <v>81</v>
      </c>
      <c r="BB134" s="3" t="s">
        <v>81</v>
      </c>
      <c r="BC134" s="3" t="s">
        <v>81</v>
      </c>
      <c r="BD134" s="3" t="s">
        <v>81</v>
      </c>
      <c r="BE134" s="3" t="s">
        <v>81</v>
      </c>
      <c r="BF134" s="3" t="s">
        <v>81</v>
      </c>
      <c r="BG134" s="3" t="s">
        <v>81</v>
      </c>
      <c r="BH134" s="3" t="s">
        <v>81</v>
      </c>
      <c r="BI134" s="3" t="s">
        <v>82</v>
      </c>
      <c r="BJ134" s="3" t="s">
        <v>82</v>
      </c>
      <c r="BK134" s="3" t="s">
        <v>83</v>
      </c>
      <c r="BL134" s="3" t="s">
        <v>84</v>
      </c>
      <c r="BM134" s="3" t="s">
        <v>84</v>
      </c>
      <c r="BN134" s="3" t="s">
        <v>84</v>
      </c>
      <c r="BO134" s="3" t="s">
        <v>84</v>
      </c>
      <c r="BP134" s="3" t="s">
        <v>81</v>
      </c>
      <c r="BQ134" s="3" t="s">
        <v>81</v>
      </c>
      <c r="BR134" s="3" t="s">
        <v>81</v>
      </c>
      <c r="BS134" s="3" t="s">
        <v>81</v>
      </c>
      <c r="BT134" s="3" t="s">
        <v>81</v>
      </c>
      <c r="BU134" s="3" t="s">
        <v>81</v>
      </c>
      <c r="BV134" s="3" t="s">
        <v>84</v>
      </c>
      <c r="BW134" s="3" t="s">
        <v>83</v>
      </c>
      <c r="BX134" s="3" t="s">
        <v>82</v>
      </c>
      <c r="BY134" s="3" t="s">
        <v>298</v>
      </c>
      <c r="BZ134" s="3" t="s">
        <v>86</v>
      </c>
      <c r="CD134" s="9">
        <v>10</v>
      </c>
    </row>
    <row r="135" spans="1:87" ht="13" hidden="1" x14ac:dyDescent="0.15">
      <c r="A135" s="3">
        <v>2625852401</v>
      </c>
      <c r="B135" s="3" t="s">
        <v>296</v>
      </c>
      <c r="C135" s="3" t="s">
        <v>296</v>
      </c>
      <c r="D135" s="3">
        <v>12</v>
      </c>
      <c r="E135" s="3">
        <v>21</v>
      </c>
      <c r="F135" s="3">
        <v>41.655000000000001</v>
      </c>
      <c r="G135" s="3">
        <v>0</v>
      </c>
      <c r="H135" s="3" t="s">
        <v>81</v>
      </c>
      <c r="I135" s="3" t="s">
        <v>81</v>
      </c>
      <c r="J135" s="3" t="s">
        <v>81</v>
      </c>
      <c r="K135" s="3" t="s">
        <v>81</v>
      </c>
      <c r="L135" s="3" t="s">
        <v>81</v>
      </c>
      <c r="M135" s="3" t="s">
        <v>81</v>
      </c>
      <c r="N135" s="3" t="s">
        <v>81</v>
      </c>
      <c r="O135" s="3" t="s">
        <v>81</v>
      </c>
      <c r="P135" s="3" t="s">
        <v>81</v>
      </c>
      <c r="Q135" s="3">
        <v>38.237000000000002</v>
      </c>
      <c r="R135" s="3">
        <v>0</v>
      </c>
      <c r="S135" s="3" t="s">
        <v>81</v>
      </c>
      <c r="T135" s="3" t="s">
        <v>81</v>
      </c>
      <c r="U135" s="3" t="s">
        <v>81</v>
      </c>
      <c r="V135" s="3" t="s">
        <v>81</v>
      </c>
      <c r="W135" s="3" t="s">
        <v>81</v>
      </c>
      <c r="X135" s="3" t="s">
        <v>81</v>
      </c>
      <c r="Y135" s="3" t="s">
        <v>81</v>
      </c>
      <c r="Z135" s="3" t="s">
        <v>81</v>
      </c>
      <c r="AA135" s="3" t="s">
        <v>81</v>
      </c>
      <c r="AB135" s="3">
        <v>38.993000000000002</v>
      </c>
      <c r="AC135" s="3">
        <v>0</v>
      </c>
      <c r="AD135" s="3" t="s">
        <v>81</v>
      </c>
      <c r="AE135" s="3" t="s">
        <v>81</v>
      </c>
      <c r="AF135" s="3" t="s">
        <v>81</v>
      </c>
      <c r="AG135" s="3" t="s">
        <v>81</v>
      </c>
      <c r="AH135" s="3" t="s">
        <v>81</v>
      </c>
      <c r="AI135" s="3" t="s">
        <v>81</v>
      </c>
      <c r="AJ135" s="3" t="s">
        <v>81</v>
      </c>
      <c r="AK135" s="3" t="s">
        <v>81</v>
      </c>
      <c r="AL135" s="3" t="s">
        <v>81</v>
      </c>
      <c r="AM135" s="3">
        <v>43.609000000000002</v>
      </c>
      <c r="AN135" s="3">
        <v>0</v>
      </c>
      <c r="AO135" s="3" t="s">
        <v>81</v>
      </c>
      <c r="AP135" s="3" t="s">
        <v>81</v>
      </c>
      <c r="AQ135" s="3" t="s">
        <v>81</v>
      </c>
      <c r="AR135" s="3" t="s">
        <v>81</v>
      </c>
      <c r="AS135" s="3" t="s">
        <v>81</v>
      </c>
      <c r="AT135" s="3" t="s">
        <v>81</v>
      </c>
      <c r="AU135" s="3" t="s">
        <v>81</v>
      </c>
      <c r="AV135" s="3" t="s">
        <v>81</v>
      </c>
      <c r="AW135" s="3" t="s">
        <v>81</v>
      </c>
      <c r="AX135" s="3">
        <v>39.119</v>
      </c>
      <c r="AY135" s="3">
        <v>0</v>
      </c>
      <c r="AZ135" s="3" t="s">
        <v>81</v>
      </c>
      <c r="BA135" s="3" t="s">
        <v>81</v>
      </c>
      <c r="BB135" s="3" t="s">
        <v>81</v>
      </c>
      <c r="BC135" s="3" t="s">
        <v>81</v>
      </c>
      <c r="BD135" s="3" t="s">
        <v>81</v>
      </c>
      <c r="BE135" s="3" t="s">
        <v>81</v>
      </c>
      <c r="BF135" s="3" t="s">
        <v>81</v>
      </c>
      <c r="BG135" s="3" t="s">
        <v>81</v>
      </c>
      <c r="BH135" s="3" t="s">
        <v>81</v>
      </c>
      <c r="BI135" s="3" t="s">
        <v>82</v>
      </c>
      <c r="BJ135" s="3" t="s">
        <v>82</v>
      </c>
      <c r="BK135" s="3" t="s">
        <v>83</v>
      </c>
      <c r="BL135" s="3" t="s">
        <v>84</v>
      </c>
      <c r="BM135" s="3" t="s">
        <v>84</v>
      </c>
      <c r="BN135" s="3" t="s">
        <v>84</v>
      </c>
      <c r="BO135" s="3" t="s">
        <v>84</v>
      </c>
      <c r="BP135" s="3" t="s">
        <v>188</v>
      </c>
      <c r="BQ135" s="3" t="s">
        <v>188</v>
      </c>
      <c r="BR135" s="3" t="s">
        <v>299</v>
      </c>
      <c r="BS135" s="3" t="s">
        <v>300</v>
      </c>
      <c r="BT135" s="3" t="s">
        <v>87</v>
      </c>
      <c r="BU135" s="3" t="s">
        <v>85</v>
      </c>
      <c r="BV135" s="3" t="s">
        <v>84</v>
      </c>
      <c r="BW135" s="3" t="s">
        <v>83</v>
      </c>
      <c r="BX135" s="3" t="s">
        <v>82</v>
      </c>
      <c r="BY135" s="3" t="s">
        <v>301</v>
      </c>
      <c r="BZ135" s="3" t="s">
        <v>86</v>
      </c>
      <c r="CD135" s="9">
        <v>21</v>
      </c>
    </row>
    <row r="136" spans="1:87" s="15" customFormat="1" ht="13" x14ac:dyDescent="0.15">
      <c r="A136" s="3">
        <v>1319018918</v>
      </c>
      <c r="B136" s="3" t="s">
        <v>268</v>
      </c>
      <c r="C136" s="3" t="s">
        <v>268</v>
      </c>
      <c r="D136" s="3" t="s">
        <v>81</v>
      </c>
      <c r="E136" s="3">
        <v>3</v>
      </c>
      <c r="F136" s="3">
        <v>15.439</v>
      </c>
      <c r="G136" s="3">
        <v>0</v>
      </c>
      <c r="H136" s="3" t="s">
        <v>81</v>
      </c>
      <c r="I136" s="3" t="s">
        <v>81</v>
      </c>
      <c r="J136" s="3" t="s">
        <v>81</v>
      </c>
      <c r="K136" s="3" t="s">
        <v>81</v>
      </c>
      <c r="L136" s="3" t="s">
        <v>81</v>
      </c>
      <c r="M136" s="3" t="s">
        <v>81</v>
      </c>
      <c r="N136" s="3" t="s">
        <v>81</v>
      </c>
      <c r="O136" s="3" t="s">
        <v>81</v>
      </c>
      <c r="P136" s="3" t="s">
        <v>81</v>
      </c>
      <c r="Q136" s="3">
        <v>15.785</v>
      </c>
      <c r="R136" s="3">
        <v>0</v>
      </c>
      <c r="S136" s="3" t="s">
        <v>81</v>
      </c>
      <c r="T136" s="3" t="s">
        <v>81</v>
      </c>
      <c r="U136" s="3" t="s">
        <v>81</v>
      </c>
      <c r="V136" s="3" t="s">
        <v>81</v>
      </c>
      <c r="W136" s="3" t="s">
        <v>81</v>
      </c>
      <c r="X136" s="3" t="s">
        <v>81</v>
      </c>
      <c r="Y136" s="3" t="s">
        <v>81</v>
      </c>
      <c r="Z136" s="3" t="s">
        <v>81</v>
      </c>
      <c r="AA136" s="3" t="s">
        <v>81</v>
      </c>
      <c r="AB136" s="3">
        <v>16.558</v>
      </c>
      <c r="AC136" s="3">
        <v>0</v>
      </c>
      <c r="AD136" s="3" t="s">
        <v>81</v>
      </c>
      <c r="AE136" s="3" t="s">
        <v>81</v>
      </c>
      <c r="AF136" s="3" t="s">
        <v>81</v>
      </c>
      <c r="AG136" s="3" t="s">
        <v>81</v>
      </c>
      <c r="AH136" s="3" t="s">
        <v>81</v>
      </c>
      <c r="AI136" s="3" t="s">
        <v>81</v>
      </c>
      <c r="AJ136" s="3" t="s">
        <v>81</v>
      </c>
      <c r="AK136" s="3" t="s">
        <v>81</v>
      </c>
      <c r="AL136" s="3" t="s">
        <v>81</v>
      </c>
      <c r="AM136" s="3" t="s">
        <v>81</v>
      </c>
      <c r="AN136" s="3" t="s">
        <v>81</v>
      </c>
      <c r="AO136" s="3" t="s">
        <v>81</v>
      </c>
      <c r="AP136" s="3" t="s">
        <v>81</v>
      </c>
      <c r="AQ136" s="3" t="s">
        <v>81</v>
      </c>
      <c r="AR136" s="3" t="s">
        <v>81</v>
      </c>
      <c r="AS136" s="3" t="s">
        <v>81</v>
      </c>
      <c r="AT136" s="3" t="s">
        <v>81</v>
      </c>
      <c r="AU136" s="3" t="s">
        <v>81</v>
      </c>
      <c r="AV136" s="3" t="s">
        <v>81</v>
      </c>
      <c r="AW136" s="3" t="s">
        <v>81</v>
      </c>
      <c r="AX136" s="3" t="s">
        <v>81</v>
      </c>
      <c r="AY136" s="3" t="s">
        <v>81</v>
      </c>
      <c r="AZ136" s="3" t="s">
        <v>81</v>
      </c>
      <c r="BA136" s="3" t="s">
        <v>81</v>
      </c>
      <c r="BB136" s="3" t="s">
        <v>81</v>
      </c>
      <c r="BC136" s="3" t="s">
        <v>81</v>
      </c>
      <c r="BD136" s="3" t="s">
        <v>81</v>
      </c>
      <c r="BE136" s="3" t="s">
        <v>81</v>
      </c>
      <c r="BF136" s="3" t="s">
        <v>81</v>
      </c>
      <c r="BG136" s="3" t="s">
        <v>81</v>
      </c>
      <c r="BH136" s="3" t="s">
        <v>81</v>
      </c>
      <c r="BI136" s="3" t="s">
        <v>82</v>
      </c>
      <c r="BJ136" s="3" t="s">
        <v>84</v>
      </c>
      <c r="BK136" s="3" t="s">
        <v>82</v>
      </c>
      <c r="BL136" s="3" t="s">
        <v>84</v>
      </c>
      <c r="BM136" s="3" t="s">
        <v>84</v>
      </c>
      <c r="BN136" s="3" t="s">
        <v>84</v>
      </c>
      <c r="BO136" s="3" t="s">
        <v>82</v>
      </c>
      <c r="BP136" s="3" t="s">
        <v>271</v>
      </c>
      <c r="BQ136" s="3" t="s">
        <v>271</v>
      </c>
      <c r="BR136" s="3" t="s">
        <v>271</v>
      </c>
      <c r="BS136" s="3" t="s">
        <v>271</v>
      </c>
      <c r="BT136" s="3" t="s">
        <v>87</v>
      </c>
      <c r="BU136" s="3" t="s">
        <v>81</v>
      </c>
      <c r="BV136" s="3" t="s">
        <v>84</v>
      </c>
      <c r="BW136" s="3" t="s">
        <v>83</v>
      </c>
      <c r="BX136" s="3" t="s">
        <v>82</v>
      </c>
      <c r="BY136" s="3" t="s">
        <v>272</v>
      </c>
      <c r="BZ136" s="3" t="s">
        <v>86</v>
      </c>
      <c r="CA136"/>
      <c r="CB136" s="3" t="s">
        <v>84</v>
      </c>
      <c r="CC136"/>
      <c r="CD136" s="9">
        <v>6</v>
      </c>
      <c r="CE136" s="9">
        <v>3</v>
      </c>
      <c r="CF136" s="9"/>
      <c r="CG136"/>
      <c r="CH136"/>
    </row>
    <row r="137" spans="1:87" s="15" customFormat="1" ht="13" x14ac:dyDescent="0.15">
      <c r="A137" s="3">
        <v>2625840813</v>
      </c>
      <c r="B137" s="3" t="s">
        <v>268</v>
      </c>
      <c r="C137" s="3" t="s">
        <v>268</v>
      </c>
      <c r="D137" s="3">
        <v>2</v>
      </c>
      <c r="E137" s="3">
        <v>6</v>
      </c>
      <c r="F137" s="3">
        <v>22.285</v>
      </c>
      <c r="G137" s="3">
        <v>0</v>
      </c>
      <c r="H137" s="3" t="s">
        <v>81</v>
      </c>
      <c r="I137" s="3" t="s">
        <v>81</v>
      </c>
      <c r="J137" s="3" t="s">
        <v>81</v>
      </c>
      <c r="K137" s="3" t="s">
        <v>81</v>
      </c>
      <c r="L137" s="3" t="s">
        <v>81</v>
      </c>
      <c r="M137" s="3" t="s">
        <v>81</v>
      </c>
      <c r="N137" s="3" t="s">
        <v>81</v>
      </c>
      <c r="O137" s="3" t="s">
        <v>81</v>
      </c>
      <c r="P137" s="3" t="s">
        <v>81</v>
      </c>
      <c r="Q137" s="3">
        <v>22.187999999999999</v>
      </c>
      <c r="R137" s="3">
        <v>0</v>
      </c>
      <c r="S137" s="3" t="s">
        <v>81</v>
      </c>
      <c r="T137" s="3" t="s">
        <v>81</v>
      </c>
      <c r="U137" s="3" t="s">
        <v>81</v>
      </c>
      <c r="V137" s="3" t="s">
        <v>81</v>
      </c>
      <c r="W137" s="3" t="s">
        <v>81</v>
      </c>
      <c r="X137" s="3" t="s">
        <v>81</v>
      </c>
      <c r="Y137" s="3" t="s">
        <v>81</v>
      </c>
      <c r="Z137" s="3" t="s">
        <v>81</v>
      </c>
      <c r="AA137" s="3" t="s">
        <v>81</v>
      </c>
      <c r="AB137" s="3">
        <v>22.558</v>
      </c>
      <c r="AC137" s="3">
        <v>0</v>
      </c>
      <c r="AD137" s="3" t="s">
        <v>81</v>
      </c>
      <c r="AE137" s="3" t="s">
        <v>81</v>
      </c>
      <c r="AF137" s="3" t="s">
        <v>81</v>
      </c>
      <c r="AG137" s="3" t="s">
        <v>81</v>
      </c>
      <c r="AH137" s="3" t="s">
        <v>81</v>
      </c>
      <c r="AI137" s="3" t="s">
        <v>81</v>
      </c>
      <c r="AJ137" s="3" t="s">
        <v>81</v>
      </c>
      <c r="AK137" s="3" t="s">
        <v>81</v>
      </c>
      <c r="AL137" s="3" t="s">
        <v>81</v>
      </c>
      <c r="AM137" s="3">
        <v>25.178999999999998</v>
      </c>
      <c r="AN137" s="3">
        <v>0</v>
      </c>
      <c r="AO137" s="3" t="s">
        <v>81</v>
      </c>
      <c r="AP137" s="3" t="s">
        <v>81</v>
      </c>
      <c r="AQ137" s="3" t="s">
        <v>81</v>
      </c>
      <c r="AR137" s="3" t="s">
        <v>81</v>
      </c>
      <c r="AS137" s="3" t="s">
        <v>81</v>
      </c>
      <c r="AT137" s="3" t="s">
        <v>81</v>
      </c>
      <c r="AU137" s="3" t="s">
        <v>81</v>
      </c>
      <c r="AV137" s="3" t="s">
        <v>81</v>
      </c>
      <c r="AW137" s="3" t="s">
        <v>81</v>
      </c>
      <c r="AX137" s="3">
        <v>25.082000000000001</v>
      </c>
      <c r="AY137" s="3">
        <v>0</v>
      </c>
      <c r="AZ137" s="3" t="s">
        <v>81</v>
      </c>
      <c r="BA137" s="3" t="s">
        <v>81</v>
      </c>
      <c r="BB137" s="3" t="s">
        <v>81</v>
      </c>
      <c r="BC137" s="3" t="s">
        <v>81</v>
      </c>
      <c r="BD137" s="3" t="s">
        <v>81</v>
      </c>
      <c r="BE137" s="3" t="s">
        <v>81</v>
      </c>
      <c r="BF137" s="3" t="s">
        <v>81</v>
      </c>
      <c r="BG137" s="3" t="s">
        <v>81</v>
      </c>
      <c r="BH137" s="3" t="s">
        <v>81</v>
      </c>
      <c r="BI137" s="3" t="s">
        <v>84</v>
      </c>
      <c r="BJ137" s="3" t="s">
        <v>84</v>
      </c>
      <c r="BK137" s="3" t="s">
        <v>82</v>
      </c>
      <c r="BL137" s="3" t="s">
        <v>84</v>
      </c>
      <c r="BM137" s="3" t="s">
        <v>84</v>
      </c>
      <c r="BN137" s="3" t="s">
        <v>84</v>
      </c>
      <c r="BO137" s="3" t="s">
        <v>82</v>
      </c>
      <c r="BP137" s="3" t="s">
        <v>81</v>
      </c>
      <c r="BQ137" s="3" t="s">
        <v>81</v>
      </c>
      <c r="BR137" s="3" t="s">
        <v>81</v>
      </c>
      <c r="BS137" s="3" t="s">
        <v>81</v>
      </c>
      <c r="BT137" s="3" t="s">
        <v>81</v>
      </c>
      <c r="BU137" s="3" t="s">
        <v>81</v>
      </c>
      <c r="BV137" s="3" t="s">
        <v>84</v>
      </c>
      <c r="BW137" s="3" t="s">
        <v>83</v>
      </c>
      <c r="BX137" s="3" t="s">
        <v>82</v>
      </c>
      <c r="BY137"/>
      <c r="BZ137" s="3" t="s">
        <v>86</v>
      </c>
      <c r="CA137"/>
      <c r="CB137" s="3" t="s">
        <v>84</v>
      </c>
      <c r="CC137"/>
      <c r="CD137" s="9">
        <v>6</v>
      </c>
      <c r="CE137" s="9">
        <v>3</v>
      </c>
      <c r="CF137" s="9"/>
      <c r="CG137"/>
      <c r="CH137"/>
    </row>
    <row r="138" spans="1:87" ht="13" hidden="1" x14ac:dyDescent="0.15">
      <c r="A138" s="3">
        <v>1228554533</v>
      </c>
      <c r="B138" s="3" t="s">
        <v>303</v>
      </c>
      <c r="C138" s="3" t="s">
        <v>303</v>
      </c>
      <c r="D138" s="3">
        <v>13</v>
      </c>
      <c r="E138" s="3">
        <v>23</v>
      </c>
      <c r="F138" s="3">
        <v>68.938999999999993</v>
      </c>
      <c r="G138" s="3">
        <v>0</v>
      </c>
      <c r="H138" s="3" t="s">
        <v>81</v>
      </c>
      <c r="I138" s="3" t="s">
        <v>81</v>
      </c>
      <c r="J138" s="3" t="s">
        <v>81</v>
      </c>
      <c r="K138" s="3" t="s">
        <v>81</v>
      </c>
      <c r="L138" s="3" t="s">
        <v>81</v>
      </c>
      <c r="M138" s="3" t="s">
        <v>81</v>
      </c>
      <c r="N138" s="3" t="s">
        <v>81</v>
      </c>
      <c r="O138" s="3" t="s">
        <v>81</v>
      </c>
      <c r="P138" s="3" t="s">
        <v>81</v>
      </c>
      <c r="Q138" s="3">
        <v>61.942</v>
      </c>
      <c r="R138" s="3">
        <v>0</v>
      </c>
      <c r="S138" s="3" t="s">
        <v>81</v>
      </c>
      <c r="T138" s="3" t="s">
        <v>81</v>
      </c>
      <c r="U138" s="3" t="s">
        <v>81</v>
      </c>
      <c r="V138" s="3" t="s">
        <v>81</v>
      </c>
      <c r="W138" s="3" t="s">
        <v>81</v>
      </c>
      <c r="X138" s="3" t="s">
        <v>81</v>
      </c>
      <c r="Y138" s="3" t="s">
        <v>81</v>
      </c>
      <c r="Z138" s="3" t="s">
        <v>81</v>
      </c>
      <c r="AA138" s="3" t="s">
        <v>81</v>
      </c>
      <c r="AB138" s="3">
        <v>70.968999999999994</v>
      </c>
      <c r="AC138" s="3">
        <v>0</v>
      </c>
      <c r="AD138" s="3" t="s">
        <v>81</v>
      </c>
      <c r="AE138" s="3" t="s">
        <v>81</v>
      </c>
      <c r="AF138" s="3" t="s">
        <v>81</v>
      </c>
      <c r="AG138" s="3" t="s">
        <v>81</v>
      </c>
      <c r="AH138" s="3" t="s">
        <v>81</v>
      </c>
      <c r="AI138" s="3" t="s">
        <v>81</v>
      </c>
      <c r="AJ138" s="3" t="s">
        <v>81</v>
      </c>
      <c r="AK138" s="3" t="s">
        <v>81</v>
      </c>
      <c r="AL138" s="3" t="s">
        <v>81</v>
      </c>
      <c r="AM138" s="3">
        <v>64.849999999999994</v>
      </c>
      <c r="AN138" s="3">
        <v>0</v>
      </c>
      <c r="AO138" s="3" t="s">
        <v>81</v>
      </c>
      <c r="AP138" s="3" t="s">
        <v>81</v>
      </c>
      <c r="AQ138" s="3" t="s">
        <v>81</v>
      </c>
      <c r="AR138" s="3" t="s">
        <v>81</v>
      </c>
      <c r="AS138" s="3" t="s">
        <v>81</v>
      </c>
      <c r="AT138" s="3" t="s">
        <v>81</v>
      </c>
      <c r="AU138" s="3" t="s">
        <v>81</v>
      </c>
      <c r="AV138" s="3" t="s">
        <v>81</v>
      </c>
      <c r="AW138" s="3" t="s">
        <v>81</v>
      </c>
      <c r="AX138" s="3">
        <v>61.277000000000001</v>
      </c>
      <c r="AY138" s="3">
        <v>0</v>
      </c>
      <c r="AZ138" s="3" t="s">
        <v>81</v>
      </c>
      <c r="BA138" s="3" t="s">
        <v>81</v>
      </c>
      <c r="BB138" s="3" t="s">
        <v>81</v>
      </c>
      <c r="BC138" s="3" t="s">
        <v>81</v>
      </c>
      <c r="BD138" s="3" t="s">
        <v>81</v>
      </c>
      <c r="BE138" s="3" t="s">
        <v>81</v>
      </c>
      <c r="BF138" s="3" t="s">
        <v>81</v>
      </c>
      <c r="BG138" s="3" t="s">
        <v>81</v>
      </c>
      <c r="BH138" s="3" t="s">
        <v>81</v>
      </c>
      <c r="BI138" s="3" t="s">
        <v>84</v>
      </c>
      <c r="BJ138" s="3" t="s">
        <v>82</v>
      </c>
      <c r="BK138" s="3" t="s">
        <v>83</v>
      </c>
      <c r="BL138" s="3" t="s">
        <v>84</v>
      </c>
      <c r="BM138" s="3" t="s">
        <v>84</v>
      </c>
      <c r="BN138" s="3" t="s">
        <v>82</v>
      </c>
      <c r="BO138" s="3" t="s">
        <v>84</v>
      </c>
      <c r="BP138" s="3" t="s">
        <v>304</v>
      </c>
      <c r="BQ138" s="3" t="s">
        <v>304</v>
      </c>
      <c r="BR138" s="3" t="s">
        <v>206</v>
      </c>
      <c r="BS138" s="3" t="s">
        <v>207</v>
      </c>
      <c r="BT138" s="3" t="s">
        <v>106</v>
      </c>
      <c r="BU138" s="3" t="s">
        <v>129</v>
      </c>
      <c r="BV138" s="3" t="s">
        <v>82</v>
      </c>
      <c r="BW138" s="3" t="s">
        <v>91</v>
      </c>
      <c r="BX138" s="3" t="s">
        <v>82</v>
      </c>
      <c r="BY138" s="3"/>
      <c r="BZ138" s="3" t="s">
        <v>93</v>
      </c>
      <c r="CA138" s="3" t="s">
        <v>232</v>
      </c>
      <c r="CB138" s="3"/>
      <c r="CC138" s="3"/>
      <c r="CD138" s="9">
        <v>23</v>
      </c>
      <c r="CE138" s="3"/>
      <c r="CF138" s="6"/>
      <c r="CG138" s="6"/>
      <c r="CH138" s="6"/>
    </row>
    <row r="139" spans="1:87" ht="13" hidden="1" x14ac:dyDescent="0.15">
      <c r="A139" s="3">
        <v>2625877728</v>
      </c>
      <c r="B139" s="3" t="s">
        <v>303</v>
      </c>
      <c r="C139" s="3" t="s">
        <v>303</v>
      </c>
      <c r="D139" s="3">
        <v>6</v>
      </c>
      <c r="E139" s="3">
        <v>27</v>
      </c>
      <c r="F139" s="3">
        <v>61.777000000000001</v>
      </c>
      <c r="G139" s="3">
        <v>0</v>
      </c>
      <c r="H139" s="3" t="s">
        <v>81</v>
      </c>
      <c r="I139" s="3" t="s">
        <v>81</v>
      </c>
      <c r="J139" s="3" t="s">
        <v>81</v>
      </c>
      <c r="K139" s="3" t="s">
        <v>81</v>
      </c>
      <c r="L139" s="3" t="s">
        <v>81</v>
      </c>
      <c r="M139" s="3" t="s">
        <v>81</v>
      </c>
      <c r="N139" s="3" t="s">
        <v>81</v>
      </c>
      <c r="O139" s="3" t="s">
        <v>81</v>
      </c>
      <c r="P139" s="3" t="s">
        <v>81</v>
      </c>
      <c r="Q139" s="3">
        <v>57.811</v>
      </c>
      <c r="R139" s="3">
        <v>0</v>
      </c>
      <c r="S139" s="3" t="s">
        <v>81</v>
      </c>
      <c r="T139" s="3" t="s">
        <v>81</v>
      </c>
      <c r="U139" s="3" t="s">
        <v>81</v>
      </c>
      <c r="V139" s="3" t="s">
        <v>81</v>
      </c>
      <c r="W139" s="3" t="s">
        <v>81</v>
      </c>
      <c r="X139" s="3" t="s">
        <v>81</v>
      </c>
      <c r="Y139" s="3" t="s">
        <v>81</v>
      </c>
      <c r="Z139" s="3" t="s">
        <v>81</v>
      </c>
      <c r="AA139" s="3" t="s">
        <v>81</v>
      </c>
      <c r="AB139" s="3">
        <v>60.701999999999998</v>
      </c>
      <c r="AC139" s="3">
        <v>0</v>
      </c>
      <c r="AD139" s="3" t="s">
        <v>81</v>
      </c>
      <c r="AE139" s="3" t="s">
        <v>81</v>
      </c>
      <c r="AF139" s="3" t="s">
        <v>81</v>
      </c>
      <c r="AG139" s="3" t="s">
        <v>81</v>
      </c>
      <c r="AH139" s="3" t="s">
        <v>81</v>
      </c>
      <c r="AI139" s="3" t="s">
        <v>81</v>
      </c>
      <c r="AJ139" s="3" t="s">
        <v>81</v>
      </c>
      <c r="AK139" s="3" t="s">
        <v>81</v>
      </c>
      <c r="AL139" s="3" t="s">
        <v>81</v>
      </c>
      <c r="AM139" s="3">
        <v>56.094999999999999</v>
      </c>
      <c r="AN139" s="3">
        <v>0</v>
      </c>
      <c r="AO139" s="3" t="s">
        <v>81</v>
      </c>
      <c r="AP139" s="3" t="s">
        <v>81</v>
      </c>
      <c r="AQ139" s="3" t="s">
        <v>81</v>
      </c>
      <c r="AR139" s="3" t="s">
        <v>81</v>
      </c>
      <c r="AS139" s="3" t="s">
        <v>81</v>
      </c>
      <c r="AT139" s="3" t="s">
        <v>81</v>
      </c>
      <c r="AU139" s="3" t="s">
        <v>81</v>
      </c>
      <c r="AV139" s="3" t="s">
        <v>81</v>
      </c>
      <c r="AW139" s="3" t="s">
        <v>81</v>
      </c>
      <c r="AX139" s="3">
        <v>54.186</v>
      </c>
      <c r="AY139" s="3">
        <v>0</v>
      </c>
      <c r="AZ139" s="3" t="s">
        <v>81</v>
      </c>
      <c r="BA139" s="3" t="s">
        <v>81</v>
      </c>
      <c r="BB139" s="3" t="s">
        <v>81</v>
      </c>
      <c r="BC139" s="3" t="s">
        <v>81</v>
      </c>
      <c r="BD139" s="3" t="s">
        <v>81</v>
      </c>
      <c r="BE139" s="3" t="s">
        <v>81</v>
      </c>
      <c r="BF139" s="3" t="s">
        <v>81</v>
      </c>
      <c r="BG139" s="3" t="s">
        <v>81</v>
      </c>
      <c r="BH139" s="3" t="s">
        <v>81</v>
      </c>
      <c r="BI139" s="3" t="s">
        <v>84</v>
      </c>
      <c r="BJ139" s="3" t="s">
        <v>84</v>
      </c>
      <c r="BK139" s="3" t="s">
        <v>84</v>
      </c>
      <c r="BL139" s="3" t="s">
        <v>84</v>
      </c>
      <c r="BM139" s="3" t="s">
        <v>84</v>
      </c>
      <c r="BN139" s="3" t="s">
        <v>82</v>
      </c>
      <c r="BO139" s="3" t="s">
        <v>84</v>
      </c>
      <c r="BP139" s="3" t="s">
        <v>106</v>
      </c>
      <c r="BQ139" s="3" t="s">
        <v>106</v>
      </c>
      <c r="BR139" s="3" t="s">
        <v>129</v>
      </c>
      <c r="BS139" s="3" t="s">
        <v>212</v>
      </c>
      <c r="BT139" s="3" t="s">
        <v>106</v>
      </c>
      <c r="BU139" s="3" t="s">
        <v>129</v>
      </c>
      <c r="BV139" s="3" t="s">
        <v>82</v>
      </c>
      <c r="BW139" s="3" t="s">
        <v>91</v>
      </c>
      <c r="BX139" s="3" t="s">
        <v>82</v>
      </c>
      <c r="BZ139" s="3" t="s">
        <v>86</v>
      </c>
      <c r="CD139" s="9">
        <v>27</v>
      </c>
    </row>
    <row r="140" spans="1:87" ht="13" hidden="1" x14ac:dyDescent="0.15">
      <c r="A140" s="3">
        <v>1322298411</v>
      </c>
      <c r="B140" s="3" t="s">
        <v>303</v>
      </c>
      <c r="C140" s="3" t="s">
        <v>303</v>
      </c>
      <c r="D140" s="3">
        <v>16</v>
      </c>
      <c r="E140" s="3">
        <v>19</v>
      </c>
      <c r="F140" s="3">
        <v>43.58</v>
      </c>
      <c r="G140" s="3">
        <v>0</v>
      </c>
      <c r="H140" s="3" t="s">
        <v>81</v>
      </c>
      <c r="I140" s="3" t="s">
        <v>81</v>
      </c>
      <c r="J140" s="3" t="s">
        <v>81</v>
      </c>
      <c r="K140" s="3" t="s">
        <v>81</v>
      </c>
      <c r="L140" s="3" t="s">
        <v>81</v>
      </c>
      <c r="M140" s="3" t="s">
        <v>81</v>
      </c>
      <c r="N140" s="3" t="s">
        <v>81</v>
      </c>
      <c r="O140" s="3" t="s">
        <v>81</v>
      </c>
      <c r="P140" s="3" t="s">
        <v>81</v>
      </c>
      <c r="Q140" s="3">
        <v>50.744</v>
      </c>
      <c r="R140" s="3">
        <v>0</v>
      </c>
      <c r="S140" s="3" t="s">
        <v>81</v>
      </c>
      <c r="T140" s="3" t="s">
        <v>81</v>
      </c>
      <c r="U140" s="3" t="s">
        <v>81</v>
      </c>
      <c r="V140" s="3" t="s">
        <v>81</v>
      </c>
      <c r="W140" s="3" t="s">
        <v>81</v>
      </c>
      <c r="X140" s="3" t="s">
        <v>81</v>
      </c>
      <c r="Y140" s="3" t="s">
        <v>81</v>
      </c>
      <c r="Z140" s="3" t="s">
        <v>81</v>
      </c>
      <c r="AA140" s="3" t="s">
        <v>81</v>
      </c>
      <c r="AB140" s="3">
        <v>51.927999999999997</v>
      </c>
      <c r="AC140" s="3">
        <v>0</v>
      </c>
      <c r="AD140" s="3" t="s">
        <v>81</v>
      </c>
      <c r="AE140" s="3" t="s">
        <v>81</v>
      </c>
      <c r="AF140" s="3" t="s">
        <v>81</v>
      </c>
      <c r="AG140" s="3" t="s">
        <v>81</v>
      </c>
      <c r="AH140" s="3" t="s">
        <v>81</v>
      </c>
      <c r="AI140" s="3" t="s">
        <v>81</v>
      </c>
      <c r="AJ140" s="3" t="s">
        <v>81</v>
      </c>
      <c r="AK140" s="3" t="s">
        <v>81</v>
      </c>
      <c r="AL140" s="3" t="s">
        <v>81</v>
      </c>
      <c r="AM140" s="3">
        <v>50.68</v>
      </c>
      <c r="AN140" s="3">
        <v>0</v>
      </c>
      <c r="AO140" s="3" t="s">
        <v>81</v>
      </c>
      <c r="AP140" s="3" t="s">
        <v>81</v>
      </c>
      <c r="AQ140" s="3" t="s">
        <v>81</v>
      </c>
      <c r="AR140" s="3" t="s">
        <v>81</v>
      </c>
      <c r="AS140" s="3" t="s">
        <v>81</v>
      </c>
      <c r="AT140" s="3" t="s">
        <v>81</v>
      </c>
      <c r="AU140" s="3" t="s">
        <v>81</v>
      </c>
      <c r="AV140" s="3" t="s">
        <v>81</v>
      </c>
      <c r="AW140" s="3" t="s">
        <v>81</v>
      </c>
      <c r="AX140" s="3">
        <v>48.793999999999997</v>
      </c>
      <c r="AY140" s="3">
        <v>0</v>
      </c>
      <c r="AZ140" s="3" t="s">
        <v>81</v>
      </c>
      <c r="BA140" s="3" t="s">
        <v>81</v>
      </c>
      <c r="BB140" s="3" t="s">
        <v>81</v>
      </c>
      <c r="BC140" s="3" t="s">
        <v>81</v>
      </c>
      <c r="BD140" s="3" t="s">
        <v>81</v>
      </c>
      <c r="BE140" s="3" t="s">
        <v>81</v>
      </c>
      <c r="BF140" s="3" t="s">
        <v>81</v>
      </c>
      <c r="BG140" s="3" t="s">
        <v>81</v>
      </c>
      <c r="BH140" s="3" t="s">
        <v>81</v>
      </c>
      <c r="BI140" s="3" t="s">
        <v>82</v>
      </c>
      <c r="BJ140" s="3" t="s">
        <v>82</v>
      </c>
      <c r="BK140" s="3" t="s">
        <v>83</v>
      </c>
      <c r="BL140" s="3" t="s">
        <v>84</v>
      </c>
      <c r="BM140" s="3" t="s">
        <v>84</v>
      </c>
      <c r="BN140" s="3" t="s">
        <v>82</v>
      </c>
      <c r="BO140" s="3" t="s">
        <v>84</v>
      </c>
      <c r="BP140" s="3" t="s">
        <v>305</v>
      </c>
      <c r="BQ140" s="3" t="s">
        <v>305</v>
      </c>
      <c r="BR140" s="3" t="s">
        <v>306</v>
      </c>
      <c r="BS140" s="3" t="s">
        <v>306</v>
      </c>
      <c r="BT140" s="3" t="s">
        <v>129</v>
      </c>
      <c r="BU140" s="3" t="s">
        <v>106</v>
      </c>
      <c r="BV140" s="3" t="s">
        <v>82</v>
      </c>
      <c r="BW140" s="3" t="s">
        <v>91</v>
      </c>
      <c r="BX140" s="3" t="s">
        <v>82</v>
      </c>
      <c r="BZ140" s="3" t="s">
        <v>86</v>
      </c>
      <c r="CD140" s="9">
        <v>19</v>
      </c>
      <c r="CI140" s="4"/>
    </row>
    <row r="141" spans="1:87" ht="13" hidden="1" x14ac:dyDescent="0.15">
      <c r="A141" s="3">
        <v>2235879563</v>
      </c>
      <c r="B141" s="3" t="s">
        <v>307</v>
      </c>
      <c r="C141" s="3" t="s">
        <v>307</v>
      </c>
      <c r="D141" s="3">
        <v>4</v>
      </c>
      <c r="E141" s="3">
        <v>4</v>
      </c>
      <c r="F141" s="3">
        <v>28.067</v>
      </c>
      <c r="G141" s="3">
        <v>0</v>
      </c>
      <c r="H141" s="3" t="s">
        <v>81</v>
      </c>
      <c r="I141" s="3" t="s">
        <v>81</v>
      </c>
      <c r="J141" s="3" t="s">
        <v>81</v>
      </c>
      <c r="K141" s="3" t="s">
        <v>81</v>
      </c>
      <c r="L141" s="3" t="s">
        <v>81</v>
      </c>
      <c r="M141" s="3" t="s">
        <v>81</v>
      </c>
      <c r="N141" s="3" t="s">
        <v>81</v>
      </c>
      <c r="O141" s="3" t="s">
        <v>81</v>
      </c>
      <c r="P141" s="3" t="s">
        <v>81</v>
      </c>
      <c r="Q141" s="3">
        <v>28.681000000000001</v>
      </c>
      <c r="R141" s="3">
        <v>0</v>
      </c>
      <c r="S141" s="3" t="s">
        <v>81</v>
      </c>
      <c r="T141" s="3" t="s">
        <v>81</v>
      </c>
      <c r="U141" s="3" t="s">
        <v>81</v>
      </c>
      <c r="V141" s="3" t="s">
        <v>81</v>
      </c>
      <c r="W141" s="3" t="s">
        <v>81</v>
      </c>
      <c r="X141" s="3" t="s">
        <v>81</v>
      </c>
      <c r="Y141" s="3" t="s">
        <v>81</v>
      </c>
      <c r="Z141" s="3" t="s">
        <v>81</v>
      </c>
      <c r="AA141" s="3" t="s">
        <v>81</v>
      </c>
      <c r="AB141" s="3">
        <v>25.664999999999999</v>
      </c>
      <c r="AC141" s="3">
        <v>0</v>
      </c>
      <c r="AD141" s="3" t="s">
        <v>81</v>
      </c>
      <c r="AE141" s="3" t="s">
        <v>81</v>
      </c>
      <c r="AF141" s="3" t="s">
        <v>81</v>
      </c>
      <c r="AG141" s="3" t="s">
        <v>81</v>
      </c>
      <c r="AH141" s="3" t="s">
        <v>81</v>
      </c>
      <c r="AI141" s="3" t="s">
        <v>81</v>
      </c>
      <c r="AJ141" s="3" t="s">
        <v>81</v>
      </c>
      <c r="AK141" s="3" t="s">
        <v>81</v>
      </c>
      <c r="AL141" s="3" t="s">
        <v>81</v>
      </c>
      <c r="AM141" s="3">
        <v>17.715</v>
      </c>
      <c r="AN141" s="3">
        <v>0</v>
      </c>
      <c r="AO141" s="3" t="s">
        <v>81</v>
      </c>
      <c r="AP141" s="3" t="s">
        <v>81</v>
      </c>
      <c r="AQ141" s="3" t="s">
        <v>81</v>
      </c>
      <c r="AR141" s="3" t="s">
        <v>81</v>
      </c>
      <c r="AS141" s="3" t="s">
        <v>81</v>
      </c>
      <c r="AT141" s="3" t="s">
        <v>81</v>
      </c>
      <c r="AU141" s="3" t="s">
        <v>81</v>
      </c>
      <c r="AV141" s="3" t="s">
        <v>81</v>
      </c>
      <c r="AW141" s="3" t="s">
        <v>81</v>
      </c>
      <c r="AX141" s="3" t="s">
        <v>81</v>
      </c>
      <c r="AY141" s="3" t="s">
        <v>81</v>
      </c>
      <c r="AZ141" s="3" t="s">
        <v>81</v>
      </c>
      <c r="BA141" s="3" t="s">
        <v>81</v>
      </c>
      <c r="BB141" s="3" t="s">
        <v>81</v>
      </c>
      <c r="BC141" s="3" t="s">
        <v>81</v>
      </c>
      <c r="BD141" s="3" t="s">
        <v>81</v>
      </c>
      <c r="BE141" s="3" t="s">
        <v>81</v>
      </c>
      <c r="BF141" s="3" t="s">
        <v>81</v>
      </c>
      <c r="BG141" s="3" t="s">
        <v>81</v>
      </c>
      <c r="BH141" s="3" t="s">
        <v>81</v>
      </c>
      <c r="BI141" s="3" t="s">
        <v>82</v>
      </c>
      <c r="BJ141" s="3" t="s">
        <v>82</v>
      </c>
      <c r="BK141" s="3" t="s">
        <v>83</v>
      </c>
      <c r="BL141" s="3" t="s">
        <v>84</v>
      </c>
      <c r="BM141" s="3" t="s">
        <v>84</v>
      </c>
      <c r="BN141" s="3" t="s">
        <v>82</v>
      </c>
      <c r="BO141" s="3" t="s">
        <v>82</v>
      </c>
      <c r="BP141" s="3" t="s">
        <v>133</v>
      </c>
      <c r="BQ141" s="3" t="s">
        <v>133</v>
      </c>
      <c r="BR141" s="3" t="s">
        <v>133</v>
      </c>
      <c r="BS141" s="3" t="s">
        <v>133</v>
      </c>
      <c r="BT141" s="3" t="s">
        <v>87</v>
      </c>
      <c r="BU141" s="3" t="s">
        <v>81</v>
      </c>
      <c r="BV141" s="3" t="s">
        <v>84</v>
      </c>
      <c r="BW141" s="3" t="s">
        <v>83</v>
      </c>
      <c r="BX141" s="3" t="s">
        <v>82</v>
      </c>
      <c r="BY141" s="3"/>
      <c r="BZ141" s="3" t="s">
        <v>86</v>
      </c>
      <c r="CA141" s="3"/>
      <c r="CB141" s="3"/>
      <c r="CC141" s="3"/>
      <c r="CD141" s="9">
        <v>4</v>
      </c>
      <c r="CE141" s="9"/>
      <c r="CF141" s="9"/>
      <c r="CG141" s="6"/>
      <c r="CH141" s="6"/>
      <c r="CI141" s="5"/>
    </row>
    <row r="142" spans="1:87" ht="13" hidden="1" x14ac:dyDescent="0.15">
      <c r="A142" s="3">
        <v>2643369845</v>
      </c>
      <c r="B142" s="3" t="s">
        <v>307</v>
      </c>
      <c r="C142" s="3" t="s">
        <v>307</v>
      </c>
      <c r="D142" s="3">
        <v>4</v>
      </c>
      <c r="E142" s="3">
        <v>4</v>
      </c>
      <c r="F142" s="3">
        <v>20.242999999999999</v>
      </c>
      <c r="G142" s="3">
        <v>0</v>
      </c>
      <c r="H142" s="3" t="s">
        <v>81</v>
      </c>
      <c r="I142" s="3" t="s">
        <v>81</v>
      </c>
      <c r="J142" s="3" t="s">
        <v>81</v>
      </c>
      <c r="K142" s="3" t="s">
        <v>81</v>
      </c>
      <c r="L142" s="3" t="s">
        <v>81</v>
      </c>
      <c r="M142" s="3" t="s">
        <v>81</v>
      </c>
      <c r="N142" s="3" t="s">
        <v>81</v>
      </c>
      <c r="O142" s="3" t="s">
        <v>81</v>
      </c>
      <c r="P142" s="3" t="s">
        <v>81</v>
      </c>
      <c r="Q142" s="3">
        <v>21.22</v>
      </c>
      <c r="R142" s="3">
        <v>0</v>
      </c>
      <c r="S142" s="3" t="s">
        <v>81</v>
      </c>
      <c r="T142" s="3" t="s">
        <v>81</v>
      </c>
      <c r="U142" s="3" t="s">
        <v>81</v>
      </c>
      <c r="V142" s="3" t="s">
        <v>81</v>
      </c>
      <c r="W142" s="3" t="s">
        <v>81</v>
      </c>
      <c r="X142" s="3" t="s">
        <v>81</v>
      </c>
      <c r="Y142" s="3" t="s">
        <v>81</v>
      </c>
      <c r="Z142" s="3" t="s">
        <v>81</v>
      </c>
      <c r="AA142" s="3" t="s">
        <v>81</v>
      </c>
      <c r="AB142" s="3">
        <v>19.585000000000001</v>
      </c>
      <c r="AC142" s="3">
        <v>0</v>
      </c>
      <c r="AD142" s="3" t="s">
        <v>81</v>
      </c>
      <c r="AE142" s="3" t="s">
        <v>81</v>
      </c>
      <c r="AF142" s="3" t="s">
        <v>81</v>
      </c>
      <c r="AG142" s="3" t="s">
        <v>81</v>
      </c>
      <c r="AH142" s="3" t="s">
        <v>81</v>
      </c>
      <c r="AI142" s="3" t="s">
        <v>81</v>
      </c>
      <c r="AJ142" s="3" t="s">
        <v>81</v>
      </c>
      <c r="AK142" s="3" t="s">
        <v>81</v>
      </c>
      <c r="AL142" s="3" t="s">
        <v>81</v>
      </c>
      <c r="AM142" s="3">
        <v>20.527000000000001</v>
      </c>
      <c r="AN142" s="3">
        <v>0</v>
      </c>
      <c r="AO142" s="3" t="s">
        <v>81</v>
      </c>
      <c r="AP142" s="3" t="s">
        <v>81</v>
      </c>
      <c r="AQ142" s="3" t="s">
        <v>81</v>
      </c>
      <c r="AR142" s="3" t="s">
        <v>81</v>
      </c>
      <c r="AS142" s="3" t="s">
        <v>81</v>
      </c>
      <c r="AT142" s="3" t="s">
        <v>81</v>
      </c>
      <c r="AU142" s="3" t="s">
        <v>81</v>
      </c>
      <c r="AV142" s="3" t="s">
        <v>81</v>
      </c>
      <c r="AW142" s="3" t="s">
        <v>81</v>
      </c>
      <c r="AX142" s="3" t="s">
        <v>81</v>
      </c>
      <c r="AY142" s="3" t="s">
        <v>81</v>
      </c>
      <c r="AZ142" s="3" t="s">
        <v>81</v>
      </c>
      <c r="BA142" s="3" t="s">
        <v>81</v>
      </c>
      <c r="BB142" s="3" t="s">
        <v>81</v>
      </c>
      <c r="BC142" s="3" t="s">
        <v>81</v>
      </c>
      <c r="BD142" s="3" t="s">
        <v>81</v>
      </c>
      <c r="BE142" s="3" t="s">
        <v>81</v>
      </c>
      <c r="BF142" s="3" t="s">
        <v>81</v>
      </c>
      <c r="BG142" s="3" t="s">
        <v>81</v>
      </c>
      <c r="BH142" s="3" t="s">
        <v>81</v>
      </c>
      <c r="BI142" s="3" t="s">
        <v>82</v>
      </c>
      <c r="BJ142" s="3" t="s">
        <v>84</v>
      </c>
      <c r="BK142" s="3" t="s">
        <v>82</v>
      </c>
      <c r="BL142" s="3" t="s">
        <v>84</v>
      </c>
      <c r="BM142" s="3" t="s">
        <v>84</v>
      </c>
      <c r="BN142" s="3" t="s">
        <v>82</v>
      </c>
      <c r="BO142" s="3" t="s">
        <v>82</v>
      </c>
      <c r="BP142" s="3" t="s">
        <v>81</v>
      </c>
      <c r="BQ142" s="3" t="s">
        <v>81</v>
      </c>
      <c r="BR142" s="3" t="s">
        <v>81</v>
      </c>
      <c r="BS142" s="3" t="s">
        <v>81</v>
      </c>
      <c r="BT142" s="3" t="s">
        <v>81</v>
      </c>
      <c r="BU142" s="3" t="s">
        <v>81</v>
      </c>
      <c r="BV142" s="3" t="s">
        <v>84</v>
      </c>
      <c r="BW142" s="3" t="s">
        <v>83</v>
      </c>
      <c r="BX142" s="3" t="s">
        <v>82</v>
      </c>
      <c r="BZ142" s="3" t="s">
        <v>86</v>
      </c>
      <c r="CD142" s="9">
        <v>4</v>
      </c>
      <c r="CE142" s="9"/>
      <c r="CF142" s="9"/>
    </row>
    <row r="143" spans="1:87" ht="13" hidden="1" x14ac:dyDescent="0.15">
      <c r="A143" s="3">
        <v>1321526797</v>
      </c>
      <c r="B143" s="3" t="s">
        <v>307</v>
      </c>
      <c r="C143" s="3" t="s">
        <v>307</v>
      </c>
      <c r="D143" s="3">
        <v>5</v>
      </c>
      <c r="E143" s="3">
        <v>6</v>
      </c>
      <c r="F143" s="3">
        <v>21.818999999999999</v>
      </c>
      <c r="G143" s="3">
        <v>0</v>
      </c>
      <c r="H143" s="3" t="s">
        <v>81</v>
      </c>
      <c r="I143" s="3" t="s">
        <v>81</v>
      </c>
      <c r="J143" s="3" t="s">
        <v>81</v>
      </c>
      <c r="K143" s="3" t="s">
        <v>81</v>
      </c>
      <c r="L143" s="3" t="s">
        <v>81</v>
      </c>
      <c r="M143" s="3" t="s">
        <v>81</v>
      </c>
      <c r="N143" s="3" t="s">
        <v>81</v>
      </c>
      <c r="O143" s="3" t="s">
        <v>81</v>
      </c>
      <c r="P143" s="3" t="s">
        <v>81</v>
      </c>
      <c r="Q143" s="3">
        <v>17.995000000000001</v>
      </c>
      <c r="R143" s="3">
        <v>0</v>
      </c>
      <c r="S143" s="3" t="s">
        <v>81</v>
      </c>
      <c r="T143" s="3" t="s">
        <v>81</v>
      </c>
      <c r="U143" s="3" t="s">
        <v>81</v>
      </c>
      <c r="V143" s="3" t="s">
        <v>81</v>
      </c>
      <c r="W143" s="3" t="s">
        <v>81</v>
      </c>
      <c r="X143" s="3" t="s">
        <v>81</v>
      </c>
      <c r="Y143" s="3" t="s">
        <v>81</v>
      </c>
      <c r="Z143" s="3" t="s">
        <v>81</v>
      </c>
      <c r="AA143" s="3" t="s">
        <v>81</v>
      </c>
      <c r="AB143" s="3">
        <v>27.138999999999999</v>
      </c>
      <c r="AC143" s="3">
        <v>0</v>
      </c>
      <c r="AD143" s="3" t="s">
        <v>81</v>
      </c>
      <c r="AE143" s="3" t="s">
        <v>81</v>
      </c>
      <c r="AF143" s="3" t="s">
        <v>81</v>
      </c>
      <c r="AG143" s="3" t="s">
        <v>81</v>
      </c>
      <c r="AH143" s="3" t="s">
        <v>81</v>
      </c>
      <c r="AI143" s="3" t="s">
        <v>81</v>
      </c>
      <c r="AJ143" s="3" t="s">
        <v>81</v>
      </c>
      <c r="AK143" s="3" t="s">
        <v>81</v>
      </c>
      <c r="AL143" s="3" t="s">
        <v>81</v>
      </c>
      <c r="AM143" s="3">
        <v>23.05</v>
      </c>
      <c r="AN143" s="3">
        <v>0</v>
      </c>
      <c r="AO143" s="3" t="s">
        <v>81</v>
      </c>
      <c r="AP143" s="3" t="s">
        <v>81</v>
      </c>
      <c r="AQ143" s="3" t="s">
        <v>81</v>
      </c>
      <c r="AR143" s="3" t="s">
        <v>81</v>
      </c>
      <c r="AS143" s="3" t="s">
        <v>81</v>
      </c>
      <c r="AT143" s="3" t="s">
        <v>81</v>
      </c>
      <c r="AU143" s="3" t="s">
        <v>81</v>
      </c>
      <c r="AV143" s="3" t="s">
        <v>81</v>
      </c>
      <c r="AW143" s="3" t="s">
        <v>81</v>
      </c>
      <c r="AX143" s="3">
        <v>25.565000000000001</v>
      </c>
      <c r="AY143" s="3">
        <v>0</v>
      </c>
      <c r="AZ143" s="3" t="s">
        <v>81</v>
      </c>
      <c r="BA143" s="3" t="s">
        <v>81</v>
      </c>
      <c r="BB143" s="3" t="s">
        <v>81</v>
      </c>
      <c r="BC143" s="3" t="s">
        <v>81</v>
      </c>
      <c r="BD143" s="3" t="s">
        <v>81</v>
      </c>
      <c r="BE143" s="3" t="s">
        <v>81</v>
      </c>
      <c r="BF143" s="3" t="s">
        <v>81</v>
      </c>
      <c r="BG143" s="3" t="s">
        <v>81</v>
      </c>
      <c r="BH143" s="3" t="s">
        <v>81</v>
      </c>
      <c r="BI143" s="3" t="s">
        <v>82</v>
      </c>
      <c r="BJ143" s="3" t="s">
        <v>84</v>
      </c>
      <c r="BK143" s="3" t="s">
        <v>84</v>
      </c>
      <c r="BL143" s="3" t="s">
        <v>84</v>
      </c>
      <c r="BM143" s="3" t="s">
        <v>84</v>
      </c>
      <c r="BN143" s="3" t="s">
        <v>82</v>
      </c>
      <c r="BO143" s="3" t="s">
        <v>84</v>
      </c>
      <c r="BP143" s="3" t="s">
        <v>137</v>
      </c>
      <c r="BQ143" s="3" t="s">
        <v>137</v>
      </c>
      <c r="BR143" s="3" t="s">
        <v>308</v>
      </c>
      <c r="BS143" s="3" t="s">
        <v>308</v>
      </c>
      <c r="BT143" s="3" t="s">
        <v>106</v>
      </c>
      <c r="BU143" s="3" t="s">
        <v>129</v>
      </c>
      <c r="BV143" s="3" t="s">
        <v>84</v>
      </c>
      <c r="BW143" s="3" t="s">
        <v>83</v>
      </c>
      <c r="BX143" s="3" t="s">
        <v>82</v>
      </c>
      <c r="BZ143" s="3" t="s">
        <v>86</v>
      </c>
      <c r="CD143" s="9">
        <v>6</v>
      </c>
      <c r="CE143" s="9">
        <v>5</v>
      </c>
      <c r="CF143" s="9">
        <v>4</v>
      </c>
      <c r="CI143" s="4"/>
    </row>
    <row r="144" spans="1:87" s="15" customFormat="1" ht="13" x14ac:dyDescent="0.15">
      <c r="A144" s="3">
        <v>2625901049</v>
      </c>
      <c r="B144" s="3" t="s">
        <v>268</v>
      </c>
      <c r="C144" s="3" t="s">
        <v>268</v>
      </c>
      <c r="D144" s="3">
        <v>1</v>
      </c>
      <c r="E144" s="3">
        <v>4</v>
      </c>
      <c r="F144" s="3">
        <v>21.292999999999999</v>
      </c>
      <c r="G144" s="3">
        <v>0</v>
      </c>
      <c r="H144" s="3" t="s">
        <v>81</v>
      </c>
      <c r="I144" s="3" t="s">
        <v>81</v>
      </c>
      <c r="J144" s="3" t="s">
        <v>81</v>
      </c>
      <c r="K144" s="3" t="s">
        <v>81</v>
      </c>
      <c r="L144" s="3" t="s">
        <v>81</v>
      </c>
      <c r="M144" s="3" t="s">
        <v>81</v>
      </c>
      <c r="N144" s="3" t="s">
        <v>81</v>
      </c>
      <c r="O144" s="3" t="s">
        <v>81</v>
      </c>
      <c r="P144" s="3" t="s">
        <v>81</v>
      </c>
      <c r="Q144" s="3">
        <v>20.523</v>
      </c>
      <c r="R144" s="3">
        <v>0</v>
      </c>
      <c r="S144" s="3" t="s">
        <v>81</v>
      </c>
      <c r="T144" s="3" t="s">
        <v>81</v>
      </c>
      <c r="U144" s="3" t="s">
        <v>81</v>
      </c>
      <c r="V144" s="3" t="s">
        <v>81</v>
      </c>
      <c r="W144" s="3" t="s">
        <v>81</v>
      </c>
      <c r="X144" s="3" t="s">
        <v>81</v>
      </c>
      <c r="Y144" s="3" t="s">
        <v>81</v>
      </c>
      <c r="Z144" s="3" t="s">
        <v>81</v>
      </c>
      <c r="AA144" s="3" t="s">
        <v>81</v>
      </c>
      <c r="AB144" s="3">
        <v>20.824999999999999</v>
      </c>
      <c r="AC144" s="3">
        <v>0</v>
      </c>
      <c r="AD144" s="3" t="s">
        <v>81</v>
      </c>
      <c r="AE144" s="3" t="s">
        <v>81</v>
      </c>
      <c r="AF144" s="3" t="s">
        <v>81</v>
      </c>
      <c r="AG144" s="3" t="s">
        <v>81</v>
      </c>
      <c r="AH144" s="3" t="s">
        <v>81</v>
      </c>
      <c r="AI144" s="3" t="s">
        <v>81</v>
      </c>
      <c r="AJ144" s="3" t="s">
        <v>81</v>
      </c>
      <c r="AK144" s="3" t="s">
        <v>81</v>
      </c>
      <c r="AL144" s="3" t="s">
        <v>81</v>
      </c>
      <c r="AM144" s="3">
        <v>20.003</v>
      </c>
      <c r="AN144" s="3">
        <v>0</v>
      </c>
      <c r="AO144" s="3" t="s">
        <v>81</v>
      </c>
      <c r="AP144" s="3" t="s">
        <v>81</v>
      </c>
      <c r="AQ144" s="3" t="s">
        <v>81</v>
      </c>
      <c r="AR144" s="3" t="s">
        <v>81</v>
      </c>
      <c r="AS144" s="3" t="s">
        <v>81</v>
      </c>
      <c r="AT144" s="3" t="s">
        <v>81</v>
      </c>
      <c r="AU144" s="3" t="s">
        <v>81</v>
      </c>
      <c r="AV144" s="3" t="s">
        <v>81</v>
      </c>
      <c r="AW144" s="3" t="s">
        <v>81</v>
      </c>
      <c r="AX144" s="3" t="s">
        <v>81</v>
      </c>
      <c r="AY144" s="3" t="s">
        <v>81</v>
      </c>
      <c r="AZ144" s="3" t="s">
        <v>81</v>
      </c>
      <c r="BA144" s="3" t="s">
        <v>81</v>
      </c>
      <c r="BB144" s="3" t="s">
        <v>81</v>
      </c>
      <c r="BC144" s="3" t="s">
        <v>81</v>
      </c>
      <c r="BD144" s="3" t="s">
        <v>81</v>
      </c>
      <c r="BE144" s="3" t="s">
        <v>81</v>
      </c>
      <c r="BF144" s="3" t="s">
        <v>81</v>
      </c>
      <c r="BG144" s="3" t="s">
        <v>81</v>
      </c>
      <c r="BH144" s="3" t="s">
        <v>81</v>
      </c>
      <c r="BI144" s="3" t="s">
        <v>84</v>
      </c>
      <c r="BJ144" s="3" t="s">
        <v>84</v>
      </c>
      <c r="BK144" s="3" t="s">
        <v>84</v>
      </c>
      <c r="BL144" s="3" t="s">
        <v>82</v>
      </c>
      <c r="BM144" s="3" t="s">
        <v>83</v>
      </c>
      <c r="BN144" s="3" t="s">
        <v>84</v>
      </c>
      <c r="BO144" s="3" t="s">
        <v>83</v>
      </c>
      <c r="BP144" s="3" t="s">
        <v>273</v>
      </c>
      <c r="BQ144" s="3" t="s">
        <v>273</v>
      </c>
      <c r="BR144" s="3" t="s">
        <v>273</v>
      </c>
      <c r="BS144" s="3" t="s">
        <v>273</v>
      </c>
      <c r="BT144" s="3" t="s">
        <v>85</v>
      </c>
      <c r="BU144" s="3" t="s">
        <v>81</v>
      </c>
      <c r="BV144" s="3" t="s">
        <v>84</v>
      </c>
      <c r="BW144" s="3" t="s">
        <v>83</v>
      </c>
      <c r="BX144" s="3" t="s">
        <v>82</v>
      </c>
      <c r="BY144"/>
      <c r="BZ144" s="3" t="s">
        <v>86</v>
      </c>
      <c r="CA144"/>
      <c r="CB144" s="3" t="s">
        <v>84</v>
      </c>
      <c r="CC144"/>
      <c r="CD144" s="9">
        <v>4</v>
      </c>
      <c r="CE144" s="9">
        <v>3</v>
      </c>
      <c r="CF144" s="9"/>
      <c r="CG144"/>
      <c r="CH144"/>
    </row>
    <row r="145" spans="1:87" s="15" customFormat="1" ht="13" x14ac:dyDescent="0.15">
      <c r="A145" s="3">
        <v>1318016369</v>
      </c>
      <c r="B145" s="3" t="s">
        <v>274</v>
      </c>
      <c r="C145" s="3" t="s">
        <v>268</v>
      </c>
      <c r="D145" s="3">
        <v>2</v>
      </c>
      <c r="E145" s="3">
        <v>6</v>
      </c>
      <c r="F145" s="3">
        <v>19.817</v>
      </c>
      <c r="G145" s="3">
        <v>0</v>
      </c>
      <c r="H145" s="3" t="s">
        <v>81</v>
      </c>
      <c r="I145" s="3" t="s">
        <v>81</v>
      </c>
      <c r="J145" s="3" t="s">
        <v>81</v>
      </c>
      <c r="K145" s="3" t="s">
        <v>81</v>
      </c>
      <c r="L145" s="3" t="s">
        <v>81</v>
      </c>
      <c r="M145" s="3" t="s">
        <v>81</v>
      </c>
      <c r="N145" s="3" t="s">
        <v>81</v>
      </c>
      <c r="O145" s="3" t="s">
        <v>81</v>
      </c>
      <c r="P145" s="3" t="s">
        <v>81</v>
      </c>
      <c r="Q145" s="3">
        <v>18.239999999999998</v>
      </c>
      <c r="R145" s="3">
        <v>0</v>
      </c>
      <c r="S145" s="3" t="s">
        <v>81</v>
      </c>
      <c r="T145" s="3" t="s">
        <v>81</v>
      </c>
      <c r="U145" s="3" t="s">
        <v>81</v>
      </c>
      <c r="V145" s="3" t="s">
        <v>81</v>
      </c>
      <c r="W145" s="3" t="s">
        <v>81</v>
      </c>
      <c r="X145" s="3" t="s">
        <v>81</v>
      </c>
      <c r="Y145" s="3" t="s">
        <v>81</v>
      </c>
      <c r="Z145" s="3" t="s">
        <v>81</v>
      </c>
      <c r="AA145" s="3" t="s">
        <v>81</v>
      </c>
      <c r="AB145" s="3">
        <v>17.312000000000001</v>
      </c>
      <c r="AC145" s="3">
        <v>0</v>
      </c>
      <c r="AD145" s="3" t="s">
        <v>81</v>
      </c>
      <c r="AE145" s="3" t="s">
        <v>81</v>
      </c>
      <c r="AF145" s="3" t="s">
        <v>81</v>
      </c>
      <c r="AG145" s="3" t="s">
        <v>81</v>
      </c>
      <c r="AH145" s="3" t="s">
        <v>81</v>
      </c>
      <c r="AI145" s="3" t="s">
        <v>81</v>
      </c>
      <c r="AJ145" s="3" t="s">
        <v>81</v>
      </c>
      <c r="AK145" s="3" t="s">
        <v>81</v>
      </c>
      <c r="AL145" s="3" t="s">
        <v>81</v>
      </c>
      <c r="AM145" s="3">
        <v>18.201000000000001</v>
      </c>
      <c r="AN145" s="3">
        <v>0</v>
      </c>
      <c r="AO145" s="3" t="s">
        <v>81</v>
      </c>
      <c r="AP145" s="3" t="s">
        <v>81</v>
      </c>
      <c r="AQ145" s="3" t="s">
        <v>81</v>
      </c>
      <c r="AR145" s="3" t="s">
        <v>81</v>
      </c>
      <c r="AS145" s="3" t="s">
        <v>81</v>
      </c>
      <c r="AT145" s="3" t="s">
        <v>81</v>
      </c>
      <c r="AU145" s="3" t="s">
        <v>81</v>
      </c>
      <c r="AV145" s="3" t="s">
        <v>81</v>
      </c>
      <c r="AW145" s="3" t="s">
        <v>81</v>
      </c>
      <c r="AX145" s="3">
        <v>17.861000000000001</v>
      </c>
      <c r="AY145" s="3">
        <v>0</v>
      </c>
      <c r="AZ145" s="3" t="s">
        <v>81</v>
      </c>
      <c r="BA145" s="3" t="s">
        <v>81</v>
      </c>
      <c r="BB145" s="3" t="s">
        <v>81</v>
      </c>
      <c r="BC145" s="3" t="s">
        <v>81</v>
      </c>
      <c r="BD145" s="3" t="s">
        <v>81</v>
      </c>
      <c r="BE145" s="3" t="s">
        <v>81</v>
      </c>
      <c r="BF145" s="3" t="s">
        <v>81</v>
      </c>
      <c r="BG145" s="3" t="s">
        <v>81</v>
      </c>
      <c r="BH145" s="3" t="s">
        <v>81</v>
      </c>
      <c r="BI145" s="3" t="s">
        <v>82</v>
      </c>
      <c r="BJ145" s="3" t="s">
        <v>84</v>
      </c>
      <c r="BK145" s="3" t="s">
        <v>82</v>
      </c>
      <c r="BL145" s="3" t="s">
        <v>84</v>
      </c>
      <c r="BM145" s="3" t="s">
        <v>84</v>
      </c>
      <c r="BN145" s="3" t="s">
        <v>84</v>
      </c>
      <c r="BO145" s="3" t="s">
        <v>82</v>
      </c>
      <c r="BP145" s="3" t="s">
        <v>129</v>
      </c>
      <c r="BQ145" s="3" t="s">
        <v>129</v>
      </c>
      <c r="BR145" s="3" t="s">
        <v>188</v>
      </c>
      <c r="BS145" s="3" t="s">
        <v>188</v>
      </c>
      <c r="BT145" s="3" t="s">
        <v>85</v>
      </c>
      <c r="BU145" s="3" t="s">
        <v>129</v>
      </c>
      <c r="BV145" s="3" t="s">
        <v>84</v>
      </c>
      <c r="BW145" s="3" t="s">
        <v>83</v>
      </c>
      <c r="BX145" s="3" t="s">
        <v>82</v>
      </c>
      <c r="BY145" s="3"/>
      <c r="BZ145" s="3" t="s">
        <v>86</v>
      </c>
      <c r="CA145" s="3"/>
      <c r="CB145" s="3" t="s">
        <v>84</v>
      </c>
      <c r="CC145" s="3"/>
      <c r="CD145" s="9">
        <v>2</v>
      </c>
      <c r="CE145" s="9">
        <v>4</v>
      </c>
      <c r="CF145" s="9">
        <v>6</v>
      </c>
      <c r="CG145" s="6">
        <v>5</v>
      </c>
      <c r="CH145" s="6"/>
    </row>
    <row r="146" spans="1:87" ht="13" x14ac:dyDescent="0.15">
      <c r="A146" s="3">
        <v>1320565470</v>
      </c>
      <c r="B146" s="3" t="s">
        <v>274</v>
      </c>
      <c r="C146" s="3" t="s">
        <v>268</v>
      </c>
      <c r="D146" s="3">
        <v>3</v>
      </c>
      <c r="E146" s="3">
        <v>3</v>
      </c>
      <c r="F146" s="3">
        <v>21.794</v>
      </c>
      <c r="G146" s="3">
        <v>0</v>
      </c>
      <c r="H146" s="3" t="s">
        <v>81</v>
      </c>
      <c r="I146" s="3" t="s">
        <v>81</v>
      </c>
      <c r="J146" s="3" t="s">
        <v>81</v>
      </c>
      <c r="K146" s="3" t="s">
        <v>81</v>
      </c>
      <c r="L146" s="3" t="s">
        <v>81</v>
      </c>
      <c r="M146" s="3" t="s">
        <v>81</v>
      </c>
      <c r="N146" s="3" t="s">
        <v>81</v>
      </c>
      <c r="O146" s="3" t="s">
        <v>81</v>
      </c>
      <c r="P146" s="3" t="s">
        <v>81</v>
      </c>
      <c r="Q146" s="3">
        <v>19.228000000000002</v>
      </c>
      <c r="R146" s="3">
        <v>0</v>
      </c>
      <c r="S146" s="3" t="s">
        <v>81</v>
      </c>
      <c r="T146" s="3" t="s">
        <v>81</v>
      </c>
      <c r="U146" s="3" t="s">
        <v>81</v>
      </c>
      <c r="V146" s="3" t="s">
        <v>81</v>
      </c>
      <c r="W146" s="3" t="s">
        <v>81</v>
      </c>
      <c r="X146" s="3" t="s">
        <v>81</v>
      </c>
      <c r="Y146" s="3" t="s">
        <v>81</v>
      </c>
      <c r="Z146" s="3" t="s">
        <v>81</v>
      </c>
      <c r="AA146" s="3" t="s">
        <v>81</v>
      </c>
      <c r="AB146" s="3">
        <v>20.873999999999999</v>
      </c>
      <c r="AC146" s="3">
        <v>0</v>
      </c>
      <c r="AD146" s="3" t="s">
        <v>81</v>
      </c>
      <c r="AE146" s="3" t="s">
        <v>81</v>
      </c>
      <c r="AF146" s="3" t="s">
        <v>81</v>
      </c>
      <c r="AG146" s="3" t="s">
        <v>81</v>
      </c>
      <c r="AH146" s="3" t="s">
        <v>81</v>
      </c>
      <c r="AI146" s="3" t="s">
        <v>81</v>
      </c>
      <c r="AJ146" s="3" t="s">
        <v>81</v>
      </c>
      <c r="AK146" s="3" t="s">
        <v>81</v>
      </c>
      <c r="AL146" s="3" t="s">
        <v>81</v>
      </c>
      <c r="AM146" s="3" t="s">
        <v>81</v>
      </c>
      <c r="AN146" s="3" t="s">
        <v>81</v>
      </c>
      <c r="AO146" s="3" t="s">
        <v>81</v>
      </c>
      <c r="AP146" s="3" t="s">
        <v>81</v>
      </c>
      <c r="AQ146" s="3" t="s">
        <v>81</v>
      </c>
      <c r="AR146" s="3" t="s">
        <v>81</v>
      </c>
      <c r="AS146" s="3" t="s">
        <v>81</v>
      </c>
      <c r="AT146" s="3" t="s">
        <v>81</v>
      </c>
      <c r="AU146" s="3" t="s">
        <v>81</v>
      </c>
      <c r="AV146" s="3" t="s">
        <v>81</v>
      </c>
      <c r="AW146" s="3" t="s">
        <v>81</v>
      </c>
      <c r="AX146" s="3" t="s">
        <v>81</v>
      </c>
      <c r="AY146" s="3" t="s">
        <v>81</v>
      </c>
      <c r="AZ146" s="3" t="s">
        <v>81</v>
      </c>
      <c r="BA146" s="3" t="s">
        <v>81</v>
      </c>
      <c r="BB146" s="3" t="s">
        <v>81</v>
      </c>
      <c r="BC146" s="3" t="s">
        <v>81</v>
      </c>
      <c r="BD146" s="3" t="s">
        <v>81</v>
      </c>
      <c r="BE146" s="3" t="s">
        <v>81</v>
      </c>
      <c r="BF146" s="3" t="s">
        <v>81</v>
      </c>
      <c r="BG146" s="3" t="s">
        <v>81</v>
      </c>
      <c r="BH146" s="3" t="s">
        <v>81</v>
      </c>
      <c r="BI146" s="3" t="s">
        <v>82</v>
      </c>
      <c r="BJ146" s="3" t="s">
        <v>84</v>
      </c>
      <c r="BK146" s="3" t="s">
        <v>82</v>
      </c>
      <c r="BL146" s="3" t="s">
        <v>82</v>
      </c>
      <c r="BM146" s="3" t="s">
        <v>83</v>
      </c>
      <c r="BN146" s="3" t="s">
        <v>84</v>
      </c>
      <c r="BO146" s="3" t="s">
        <v>82</v>
      </c>
      <c r="BP146" s="3" t="s">
        <v>87</v>
      </c>
      <c r="BQ146" s="3" t="s">
        <v>87</v>
      </c>
      <c r="BR146" s="3" t="s">
        <v>87</v>
      </c>
      <c r="BS146" s="3" t="s">
        <v>87</v>
      </c>
      <c r="BT146" s="3" t="s">
        <v>87</v>
      </c>
      <c r="BU146" s="3" t="s">
        <v>81</v>
      </c>
      <c r="BV146" s="3" t="s">
        <v>83</v>
      </c>
      <c r="BW146" s="3" t="s">
        <v>83</v>
      </c>
      <c r="BX146" s="3" t="s">
        <v>83</v>
      </c>
      <c r="BZ146" s="3" t="s">
        <v>86</v>
      </c>
      <c r="CB146" s="3" t="s">
        <v>84</v>
      </c>
      <c r="CD146" s="9">
        <v>3</v>
      </c>
      <c r="CE146" s="9">
        <v>3</v>
      </c>
      <c r="CF146" s="9">
        <v>3</v>
      </c>
    </row>
    <row r="147" spans="1:87" ht="13" x14ac:dyDescent="0.15">
      <c r="A147" s="3">
        <v>1320921389</v>
      </c>
      <c r="B147" s="3" t="s">
        <v>274</v>
      </c>
      <c r="C147" s="3" t="s">
        <v>268</v>
      </c>
      <c r="D147" s="3">
        <v>2</v>
      </c>
      <c r="E147" s="3">
        <v>3</v>
      </c>
      <c r="F147" s="3">
        <v>15.051</v>
      </c>
      <c r="G147" s="3">
        <v>0</v>
      </c>
      <c r="H147" s="3" t="s">
        <v>81</v>
      </c>
      <c r="I147" s="3" t="s">
        <v>81</v>
      </c>
      <c r="J147" s="3" t="s">
        <v>81</v>
      </c>
      <c r="K147" s="3" t="s">
        <v>81</v>
      </c>
      <c r="L147" s="3" t="s">
        <v>81</v>
      </c>
      <c r="M147" s="3" t="s">
        <v>81</v>
      </c>
      <c r="N147" s="3" t="s">
        <v>81</v>
      </c>
      <c r="O147" s="3" t="s">
        <v>81</v>
      </c>
      <c r="P147" s="3" t="s">
        <v>81</v>
      </c>
      <c r="Q147" s="3">
        <v>17.367999999999999</v>
      </c>
      <c r="R147" s="3">
        <v>0</v>
      </c>
      <c r="S147" s="3" t="s">
        <v>81</v>
      </c>
      <c r="T147" s="3" t="s">
        <v>81</v>
      </c>
      <c r="U147" s="3" t="s">
        <v>81</v>
      </c>
      <c r="V147" s="3" t="s">
        <v>81</v>
      </c>
      <c r="W147" s="3" t="s">
        <v>81</v>
      </c>
      <c r="X147" s="3" t="s">
        <v>81</v>
      </c>
      <c r="Y147" s="3" t="s">
        <v>81</v>
      </c>
      <c r="Z147" s="3" t="s">
        <v>81</v>
      </c>
      <c r="AA147" s="3" t="s">
        <v>81</v>
      </c>
      <c r="AB147" s="3">
        <v>16.111999999999998</v>
      </c>
      <c r="AC147" s="3">
        <v>0</v>
      </c>
      <c r="AD147" s="3" t="s">
        <v>81</v>
      </c>
      <c r="AE147" s="3" t="s">
        <v>81</v>
      </c>
      <c r="AF147" s="3" t="s">
        <v>81</v>
      </c>
      <c r="AG147" s="3" t="s">
        <v>81</v>
      </c>
      <c r="AH147" s="3" t="s">
        <v>81</v>
      </c>
      <c r="AI147" s="3" t="s">
        <v>81</v>
      </c>
      <c r="AJ147" s="3" t="s">
        <v>81</v>
      </c>
      <c r="AK147" s="3" t="s">
        <v>81</v>
      </c>
      <c r="AL147" s="3" t="s">
        <v>81</v>
      </c>
      <c r="AM147" s="3" t="s">
        <v>81</v>
      </c>
      <c r="AN147" s="3" t="s">
        <v>81</v>
      </c>
      <c r="AO147" s="3" t="s">
        <v>81</v>
      </c>
      <c r="AP147" s="3" t="s">
        <v>81</v>
      </c>
      <c r="AQ147" s="3" t="s">
        <v>81</v>
      </c>
      <c r="AR147" s="3" t="s">
        <v>81</v>
      </c>
      <c r="AS147" s="3" t="s">
        <v>81</v>
      </c>
      <c r="AT147" s="3" t="s">
        <v>81</v>
      </c>
      <c r="AU147" s="3" t="s">
        <v>81</v>
      </c>
      <c r="AV147" s="3" t="s">
        <v>81</v>
      </c>
      <c r="AW147" s="3" t="s">
        <v>81</v>
      </c>
      <c r="AX147" s="3" t="s">
        <v>81</v>
      </c>
      <c r="AY147" s="3" t="s">
        <v>81</v>
      </c>
      <c r="AZ147" s="3" t="s">
        <v>81</v>
      </c>
      <c r="BA147" s="3" t="s">
        <v>81</v>
      </c>
      <c r="BB147" s="3" t="s">
        <v>81</v>
      </c>
      <c r="BC147" s="3" t="s">
        <v>81</v>
      </c>
      <c r="BD147" s="3" t="s">
        <v>81</v>
      </c>
      <c r="BE147" s="3" t="s">
        <v>81</v>
      </c>
      <c r="BF147" s="3" t="s">
        <v>81</v>
      </c>
      <c r="BG147" s="3" t="s">
        <v>81</v>
      </c>
      <c r="BH147" s="3" t="s">
        <v>81</v>
      </c>
      <c r="BI147" s="3" t="s">
        <v>82</v>
      </c>
      <c r="BJ147" s="3" t="s">
        <v>84</v>
      </c>
      <c r="BK147" s="3" t="s">
        <v>82</v>
      </c>
      <c r="BL147" s="3" t="s">
        <v>84</v>
      </c>
      <c r="BM147" s="3" t="s">
        <v>84</v>
      </c>
      <c r="BN147" s="3" t="s">
        <v>84</v>
      </c>
      <c r="BO147" s="3" t="s">
        <v>82</v>
      </c>
      <c r="BP147" s="3" t="s">
        <v>87</v>
      </c>
      <c r="BQ147" s="3" t="s">
        <v>87</v>
      </c>
      <c r="BR147" s="3" t="s">
        <v>87</v>
      </c>
      <c r="BS147" s="3" t="s">
        <v>87</v>
      </c>
      <c r="BT147" s="3" t="s">
        <v>87</v>
      </c>
      <c r="BU147" s="3" t="s">
        <v>81</v>
      </c>
      <c r="BV147" s="3" t="s">
        <v>84</v>
      </c>
      <c r="BW147" s="3" t="s">
        <v>83</v>
      </c>
      <c r="BX147" s="3" t="s">
        <v>82</v>
      </c>
      <c r="BZ147" s="3" t="s">
        <v>86</v>
      </c>
      <c r="CB147" s="3" t="s">
        <v>84</v>
      </c>
      <c r="CD147" s="9">
        <v>3</v>
      </c>
      <c r="CE147" s="9"/>
      <c r="CF147" s="9"/>
    </row>
    <row r="148" spans="1:87" ht="13" x14ac:dyDescent="0.15">
      <c r="A148" s="11">
        <v>1320783842</v>
      </c>
      <c r="B148" s="11" t="s">
        <v>281</v>
      </c>
      <c r="C148" s="11" t="s">
        <v>282</v>
      </c>
      <c r="D148" s="11" t="s">
        <v>81</v>
      </c>
      <c r="E148" s="11">
        <v>11</v>
      </c>
      <c r="F148" s="11">
        <v>85.872</v>
      </c>
      <c r="G148" s="11">
        <v>1</v>
      </c>
      <c r="H148" s="11">
        <v>59.33</v>
      </c>
      <c r="I148" s="11">
        <v>27.379000000000001</v>
      </c>
      <c r="J148" s="11">
        <v>26.119</v>
      </c>
      <c r="K148" s="11" t="s">
        <v>81</v>
      </c>
      <c r="L148" s="11" t="s">
        <v>81</v>
      </c>
      <c r="M148" s="11" t="s">
        <v>81</v>
      </c>
      <c r="N148" s="11" t="s">
        <v>81</v>
      </c>
      <c r="O148" s="11" t="s">
        <v>81</v>
      </c>
      <c r="P148" s="11" t="s">
        <v>81</v>
      </c>
      <c r="Q148" s="11">
        <v>81.117000000000004</v>
      </c>
      <c r="R148" s="11">
        <v>1</v>
      </c>
      <c r="S148" s="11">
        <v>65.655000000000001</v>
      </c>
      <c r="T148" s="11">
        <v>30.4</v>
      </c>
      <c r="U148" s="11">
        <v>15.138</v>
      </c>
      <c r="V148" s="11" t="s">
        <v>81</v>
      </c>
      <c r="W148" s="11" t="s">
        <v>81</v>
      </c>
      <c r="X148" s="11" t="s">
        <v>81</v>
      </c>
      <c r="Y148" s="11" t="s">
        <v>81</v>
      </c>
      <c r="Z148" s="11" t="s">
        <v>81</v>
      </c>
      <c r="AA148" s="11" t="s">
        <v>81</v>
      </c>
      <c r="AB148" s="11">
        <v>89.414000000000001</v>
      </c>
      <c r="AC148" s="11">
        <v>1</v>
      </c>
      <c r="AD148" s="11">
        <v>63.692999999999998</v>
      </c>
      <c r="AE148" s="11">
        <v>28.012</v>
      </c>
      <c r="AF148" s="11">
        <v>24.472000000000001</v>
      </c>
      <c r="AG148" s="11" t="s">
        <v>81</v>
      </c>
      <c r="AH148" s="11" t="s">
        <v>81</v>
      </c>
      <c r="AI148" s="11" t="s">
        <v>81</v>
      </c>
      <c r="AJ148" s="11" t="s">
        <v>81</v>
      </c>
      <c r="AK148" s="11" t="s">
        <v>81</v>
      </c>
      <c r="AL148" s="11" t="s">
        <v>81</v>
      </c>
      <c r="AM148" s="11">
        <v>86.450999999999993</v>
      </c>
      <c r="AN148" s="11">
        <v>1</v>
      </c>
      <c r="AO148" s="11">
        <v>56.738999999999997</v>
      </c>
      <c r="AP148" s="11">
        <v>27.5</v>
      </c>
      <c r="AQ148" s="11">
        <v>29.888999999999999</v>
      </c>
      <c r="AR148" s="11" t="s">
        <v>81</v>
      </c>
      <c r="AS148" s="11" t="s">
        <v>81</v>
      </c>
      <c r="AT148" s="11" t="s">
        <v>81</v>
      </c>
      <c r="AU148" s="11" t="s">
        <v>81</v>
      </c>
      <c r="AV148" s="11" t="s">
        <v>81</v>
      </c>
      <c r="AW148" s="11" t="s">
        <v>81</v>
      </c>
      <c r="AX148" s="11">
        <v>84.382000000000005</v>
      </c>
      <c r="AY148" s="11">
        <v>1</v>
      </c>
      <c r="AZ148" s="11">
        <v>63.511000000000003</v>
      </c>
      <c r="BA148" s="11">
        <v>26.138999999999999</v>
      </c>
      <c r="BB148" s="11">
        <v>21.134</v>
      </c>
      <c r="BC148" s="11" t="s">
        <v>81</v>
      </c>
      <c r="BD148" s="11" t="s">
        <v>81</v>
      </c>
      <c r="BE148" s="11" t="s">
        <v>81</v>
      </c>
      <c r="BF148" s="11" t="s">
        <v>81</v>
      </c>
      <c r="BG148" s="11" t="s">
        <v>81</v>
      </c>
      <c r="BH148" s="11" t="s">
        <v>81</v>
      </c>
      <c r="BI148" s="11" t="s">
        <v>84</v>
      </c>
      <c r="BJ148" s="11" t="s">
        <v>82</v>
      </c>
      <c r="BK148" s="11" t="s">
        <v>83</v>
      </c>
      <c r="BL148" s="11" t="s">
        <v>84</v>
      </c>
      <c r="BM148" s="11" t="s">
        <v>84</v>
      </c>
      <c r="BN148" s="11" t="s">
        <v>82</v>
      </c>
      <c r="BO148" s="11" t="s">
        <v>84</v>
      </c>
      <c r="BP148" s="11" t="s">
        <v>81</v>
      </c>
      <c r="BQ148" s="11" t="s">
        <v>81</v>
      </c>
      <c r="BR148" s="11" t="s">
        <v>81</v>
      </c>
      <c r="BS148" s="11" t="s">
        <v>81</v>
      </c>
      <c r="BT148" s="11" t="s">
        <v>81</v>
      </c>
      <c r="BU148" s="11" t="s">
        <v>81</v>
      </c>
      <c r="BV148" s="11" t="s">
        <v>82</v>
      </c>
      <c r="BW148" s="11" t="s">
        <v>91</v>
      </c>
      <c r="BX148" s="11" t="s">
        <v>82</v>
      </c>
      <c r="BY148" s="11" t="s">
        <v>283</v>
      </c>
      <c r="BZ148" s="11" t="s">
        <v>86</v>
      </c>
      <c r="CA148" s="15"/>
      <c r="CB148" s="11" t="s">
        <v>84</v>
      </c>
      <c r="CC148" s="15"/>
      <c r="CD148" s="12">
        <v>33</v>
      </c>
      <c r="CE148" s="12"/>
      <c r="CF148" s="12"/>
      <c r="CG148" s="15"/>
      <c r="CH148" s="15"/>
      <c r="CI148" s="6"/>
    </row>
    <row r="149" spans="1:87" ht="13" x14ac:dyDescent="0.15">
      <c r="A149" s="11">
        <v>1322566171</v>
      </c>
      <c r="B149" s="11" t="s">
        <v>284</v>
      </c>
      <c r="C149" s="11" t="s">
        <v>282</v>
      </c>
      <c r="D149" s="11">
        <v>4</v>
      </c>
      <c r="E149" s="11">
        <v>4</v>
      </c>
      <c r="F149" s="11">
        <v>294.03399999999999</v>
      </c>
      <c r="G149" s="11">
        <v>1</v>
      </c>
      <c r="H149" s="11">
        <v>156.523</v>
      </c>
      <c r="I149" s="11" t="s">
        <v>81</v>
      </c>
      <c r="J149" s="11">
        <v>137.32400000000001</v>
      </c>
      <c r="K149" s="11" t="s">
        <v>81</v>
      </c>
      <c r="L149" s="11" t="s">
        <v>81</v>
      </c>
      <c r="M149" s="11" t="s">
        <v>81</v>
      </c>
      <c r="N149" s="11" t="s">
        <v>81</v>
      </c>
      <c r="O149" s="11" t="s">
        <v>81</v>
      </c>
      <c r="P149" s="11" t="s">
        <v>81</v>
      </c>
      <c r="Q149" s="11">
        <v>220.55699999999999</v>
      </c>
      <c r="R149" s="11">
        <v>1</v>
      </c>
      <c r="S149" s="11">
        <v>146.809</v>
      </c>
      <c r="T149" s="11">
        <v>40.835000000000001</v>
      </c>
      <c r="U149" s="11">
        <v>72.796999999999997</v>
      </c>
      <c r="V149" s="11" t="s">
        <v>81</v>
      </c>
      <c r="W149" s="11" t="s">
        <v>81</v>
      </c>
      <c r="X149" s="11" t="s">
        <v>81</v>
      </c>
      <c r="Y149" s="11" t="s">
        <v>81</v>
      </c>
      <c r="Z149" s="11" t="s">
        <v>81</v>
      </c>
      <c r="AA149" s="11" t="s">
        <v>81</v>
      </c>
      <c r="AB149" s="11">
        <v>215.51900000000001</v>
      </c>
      <c r="AC149" s="11">
        <v>1</v>
      </c>
      <c r="AD149" s="11">
        <v>126.907</v>
      </c>
      <c r="AE149" s="11" t="s">
        <v>81</v>
      </c>
      <c r="AF149" s="11">
        <v>88.034000000000006</v>
      </c>
      <c r="AG149" s="11" t="s">
        <v>81</v>
      </c>
      <c r="AH149" s="11" t="s">
        <v>81</v>
      </c>
      <c r="AI149" s="11" t="s">
        <v>81</v>
      </c>
      <c r="AJ149" s="11" t="s">
        <v>81</v>
      </c>
      <c r="AK149" s="11" t="s">
        <v>81</v>
      </c>
      <c r="AL149" s="11" t="s">
        <v>81</v>
      </c>
      <c r="AM149" s="11" t="s">
        <v>81</v>
      </c>
      <c r="AN149" s="11" t="s">
        <v>81</v>
      </c>
      <c r="AO149" s="11" t="s">
        <v>81</v>
      </c>
      <c r="AP149" s="11" t="s">
        <v>81</v>
      </c>
      <c r="AQ149" s="11" t="s">
        <v>81</v>
      </c>
      <c r="AR149" s="11" t="s">
        <v>81</v>
      </c>
      <c r="AS149" s="11" t="s">
        <v>81</v>
      </c>
      <c r="AT149" s="11" t="s">
        <v>81</v>
      </c>
      <c r="AU149" s="11" t="s">
        <v>81</v>
      </c>
      <c r="AV149" s="11" t="s">
        <v>81</v>
      </c>
      <c r="AW149" s="11" t="s">
        <v>81</v>
      </c>
      <c r="AX149" s="11" t="s">
        <v>81</v>
      </c>
      <c r="AY149" s="11" t="s">
        <v>81</v>
      </c>
      <c r="AZ149" s="11" t="s">
        <v>81</v>
      </c>
      <c r="BA149" s="11" t="s">
        <v>81</v>
      </c>
      <c r="BB149" s="11" t="s">
        <v>81</v>
      </c>
      <c r="BC149" s="11" t="s">
        <v>81</v>
      </c>
      <c r="BD149" s="11" t="s">
        <v>81</v>
      </c>
      <c r="BE149" s="11" t="s">
        <v>81</v>
      </c>
      <c r="BF149" s="11" t="s">
        <v>81</v>
      </c>
      <c r="BG149" s="11" t="s">
        <v>81</v>
      </c>
      <c r="BH149" s="11" t="s">
        <v>81</v>
      </c>
      <c r="BI149" s="11" t="s">
        <v>84</v>
      </c>
      <c r="BJ149" s="11" t="s">
        <v>84</v>
      </c>
      <c r="BK149" s="11" t="s">
        <v>82</v>
      </c>
      <c r="BL149" s="11" t="s">
        <v>84</v>
      </c>
      <c r="BM149" s="11" t="s">
        <v>84</v>
      </c>
      <c r="BN149" s="11" t="s">
        <v>82</v>
      </c>
      <c r="BO149" s="11" t="s">
        <v>84</v>
      </c>
      <c r="BP149" s="11" t="s">
        <v>162</v>
      </c>
      <c r="BQ149" s="11" t="s">
        <v>98</v>
      </c>
      <c r="BR149" s="11" t="s">
        <v>285</v>
      </c>
      <c r="BS149" s="11" t="s">
        <v>286</v>
      </c>
      <c r="BT149" s="11" t="s">
        <v>98</v>
      </c>
      <c r="BU149" s="11" t="s">
        <v>85</v>
      </c>
      <c r="BV149" s="11" t="s">
        <v>82</v>
      </c>
      <c r="BW149" s="11" t="s">
        <v>111</v>
      </c>
      <c r="BX149" s="11" t="s">
        <v>82</v>
      </c>
      <c r="BY149" s="11" t="s">
        <v>161</v>
      </c>
      <c r="BZ149" s="11" t="s">
        <v>86</v>
      </c>
      <c r="CA149" s="15"/>
      <c r="CB149" s="11" t="s">
        <v>84</v>
      </c>
      <c r="CC149" s="15"/>
      <c r="CD149" s="12">
        <v>7</v>
      </c>
      <c r="CE149" s="12"/>
      <c r="CF149" s="12"/>
      <c r="CG149" s="15"/>
      <c r="CH149" s="15"/>
    </row>
    <row r="150" spans="1:87" ht="13" x14ac:dyDescent="0.15">
      <c r="A150" s="11">
        <v>1228292367</v>
      </c>
      <c r="B150" s="11" t="s">
        <v>282</v>
      </c>
      <c r="C150" s="11" t="s">
        <v>282</v>
      </c>
      <c r="D150" s="11">
        <v>6</v>
      </c>
      <c r="E150" s="11">
        <v>7</v>
      </c>
      <c r="F150" s="11">
        <v>114.623</v>
      </c>
      <c r="G150" s="11">
        <v>2</v>
      </c>
      <c r="H150" s="11">
        <v>91.730999999999995</v>
      </c>
      <c r="I150" s="11">
        <v>26.975000000000001</v>
      </c>
      <c r="J150" s="11">
        <v>20.565000000000001</v>
      </c>
      <c r="K150" s="11">
        <v>22.065000000000001</v>
      </c>
      <c r="L150" s="11">
        <v>0.17</v>
      </c>
      <c r="M150" s="11" t="s">
        <v>81</v>
      </c>
      <c r="N150" s="11" t="s">
        <v>81</v>
      </c>
      <c r="O150" s="11" t="s">
        <v>81</v>
      </c>
      <c r="P150" s="11" t="s">
        <v>81</v>
      </c>
      <c r="Q150" s="11">
        <v>85.844999999999999</v>
      </c>
      <c r="R150" s="11">
        <v>2</v>
      </c>
      <c r="S150" s="11">
        <v>63.652000000000001</v>
      </c>
      <c r="T150" s="11">
        <v>23.510999999999999</v>
      </c>
      <c r="U150" s="11">
        <v>19.84</v>
      </c>
      <c r="V150" s="11">
        <v>20.015999999999998</v>
      </c>
      <c r="W150" s="11">
        <v>0.76</v>
      </c>
      <c r="X150" s="11" t="s">
        <v>81</v>
      </c>
      <c r="Y150" s="11" t="s">
        <v>81</v>
      </c>
      <c r="Z150" s="11" t="s">
        <v>81</v>
      </c>
      <c r="AA150" s="11" t="s">
        <v>81</v>
      </c>
      <c r="AB150" s="11">
        <v>44.098999999999997</v>
      </c>
      <c r="AC150" s="11">
        <v>1</v>
      </c>
      <c r="AD150" s="11">
        <v>42.192999999999998</v>
      </c>
      <c r="AE150" s="11">
        <v>34.572000000000003</v>
      </c>
      <c r="AF150" s="11">
        <v>1.0249999999999999</v>
      </c>
      <c r="AG150" s="11" t="s">
        <v>81</v>
      </c>
      <c r="AH150" s="11" t="s">
        <v>81</v>
      </c>
      <c r="AI150" s="11" t="s">
        <v>81</v>
      </c>
      <c r="AJ150" s="11" t="s">
        <v>81</v>
      </c>
      <c r="AK150" s="11" t="s">
        <v>81</v>
      </c>
      <c r="AL150" s="11" t="s">
        <v>81</v>
      </c>
      <c r="AM150" s="11">
        <v>38.097000000000001</v>
      </c>
      <c r="AN150" s="11">
        <v>1</v>
      </c>
      <c r="AO150" s="11">
        <v>36.229999999999997</v>
      </c>
      <c r="AP150" s="11">
        <v>29.405999999999999</v>
      </c>
      <c r="AQ150" s="11">
        <v>0.79100000000000004</v>
      </c>
      <c r="AR150" s="11" t="s">
        <v>81</v>
      </c>
      <c r="AS150" s="11" t="s">
        <v>81</v>
      </c>
      <c r="AT150" s="11" t="s">
        <v>81</v>
      </c>
      <c r="AU150" s="11" t="s">
        <v>81</v>
      </c>
      <c r="AV150" s="11" t="s">
        <v>81</v>
      </c>
      <c r="AW150" s="11" t="s">
        <v>81</v>
      </c>
      <c r="AX150" s="11">
        <v>72.933999999999997</v>
      </c>
      <c r="AY150" s="11">
        <v>2</v>
      </c>
      <c r="AZ150" s="11">
        <v>20.864000000000001</v>
      </c>
      <c r="BA150" s="11">
        <v>21.3</v>
      </c>
      <c r="BB150" s="11">
        <v>6.242</v>
      </c>
      <c r="BC150" s="11" t="s">
        <v>81</v>
      </c>
      <c r="BD150" s="11">
        <v>4.07</v>
      </c>
      <c r="BE150" s="11" t="s">
        <v>81</v>
      </c>
      <c r="BF150" s="11" t="s">
        <v>81</v>
      </c>
      <c r="BG150" s="11" t="s">
        <v>81</v>
      </c>
      <c r="BH150" s="11" t="s">
        <v>81</v>
      </c>
      <c r="BI150" s="11" t="s">
        <v>84</v>
      </c>
      <c r="BJ150" s="11" t="s">
        <v>82</v>
      </c>
      <c r="BK150" s="11" t="s">
        <v>83</v>
      </c>
      <c r="BL150" s="11" t="s">
        <v>84</v>
      </c>
      <c r="BM150" s="11" t="s">
        <v>84</v>
      </c>
      <c r="BN150" s="11" t="s">
        <v>82</v>
      </c>
      <c r="BO150" s="11" t="s">
        <v>84</v>
      </c>
      <c r="BP150" s="11" t="s">
        <v>87</v>
      </c>
      <c r="BQ150" s="11" t="s">
        <v>87</v>
      </c>
      <c r="BR150" s="11" t="s">
        <v>87</v>
      </c>
      <c r="BS150" s="11" t="s">
        <v>87</v>
      </c>
      <c r="BT150" s="11" t="s">
        <v>87</v>
      </c>
      <c r="BU150" s="11" t="s">
        <v>81</v>
      </c>
      <c r="BV150" s="11" t="s">
        <v>84</v>
      </c>
      <c r="BW150" s="11" t="s">
        <v>83</v>
      </c>
      <c r="BX150" s="11" t="s">
        <v>82</v>
      </c>
      <c r="BY150" s="11" t="s">
        <v>287</v>
      </c>
      <c r="BZ150" s="11" t="s">
        <v>93</v>
      </c>
      <c r="CA150" s="11" t="s">
        <v>84</v>
      </c>
      <c r="CB150" s="11" t="s">
        <v>84</v>
      </c>
      <c r="CC150" s="15"/>
      <c r="CD150" s="12">
        <v>11</v>
      </c>
      <c r="CE150" s="12"/>
      <c r="CF150" s="12"/>
      <c r="CG150" s="15"/>
      <c r="CH150" s="15"/>
    </row>
    <row r="151" spans="1:87" ht="13" x14ac:dyDescent="0.15">
      <c r="A151" s="11">
        <v>1228361723</v>
      </c>
      <c r="B151" s="11" t="s">
        <v>282</v>
      </c>
      <c r="C151" s="11" t="s">
        <v>282</v>
      </c>
      <c r="D151" s="11">
        <v>9</v>
      </c>
      <c r="E151" s="11">
        <v>11</v>
      </c>
      <c r="F151" s="11">
        <v>186.18299999999999</v>
      </c>
      <c r="G151" s="11">
        <v>3</v>
      </c>
      <c r="H151" s="11">
        <v>113.276</v>
      </c>
      <c r="I151" s="11">
        <v>22.972000000000001</v>
      </c>
      <c r="J151" s="11">
        <v>53.954999999999998</v>
      </c>
      <c r="K151" s="11">
        <v>7.7560000000000002</v>
      </c>
      <c r="L151" s="11">
        <v>11.198</v>
      </c>
      <c r="M151" s="11">
        <v>3.431</v>
      </c>
      <c r="N151" s="11">
        <v>2.1070000000000002</v>
      </c>
      <c r="O151" s="11" t="s">
        <v>81</v>
      </c>
      <c r="P151" s="11" t="s">
        <v>81</v>
      </c>
      <c r="Q151" s="11">
        <v>182.059</v>
      </c>
      <c r="R151" s="11">
        <v>3</v>
      </c>
      <c r="S151" s="11">
        <v>110.226</v>
      </c>
      <c r="T151" s="11">
        <v>21.152000000000001</v>
      </c>
      <c r="U151" s="11">
        <v>53.290999999999997</v>
      </c>
      <c r="V151" s="11">
        <v>7.3280000000000003</v>
      </c>
      <c r="W151" s="11">
        <v>10.641</v>
      </c>
      <c r="X151" s="11">
        <v>2.8809999999999998</v>
      </c>
      <c r="Y151" s="11">
        <v>2.9780000000000002</v>
      </c>
      <c r="Z151" s="11" t="s">
        <v>81</v>
      </c>
      <c r="AA151" s="11" t="s">
        <v>81</v>
      </c>
      <c r="AB151" s="11">
        <v>172.03</v>
      </c>
      <c r="AC151" s="11">
        <v>3</v>
      </c>
      <c r="AD151" s="11">
        <v>105.79600000000001</v>
      </c>
      <c r="AE151" s="11">
        <v>19.062999999999999</v>
      </c>
      <c r="AF151" s="11">
        <v>50.914000000000001</v>
      </c>
      <c r="AG151" s="11">
        <v>6.4740000000000002</v>
      </c>
      <c r="AH151" s="11">
        <v>8.9220000000000006</v>
      </c>
      <c r="AI151" s="11">
        <v>3.7869999999999999</v>
      </c>
      <c r="AJ151" s="11">
        <v>3.4689999999999999</v>
      </c>
      <c r="AK151" s="11" t="s">
        <v>81</v>
      </c>
      <c r="AL151" s="11" t="s">
        <v>81</v>
      </c>
      <c r="AM151" s="11">
        <v>168.81</v>
      </c>
      <c r="AN151" s="11">
        <v>3</v>
      </c>
      <c r="AO151" s="11">
        <v>106.976</v>
      </c>
      <c r="AP151" s="11">
        <v>14.593999999999999</v>
      </c>
      <c r="AQ151" s="11">
        <v>45.493000000000002</v>
      </c>
      <c r="AR151" s="11">
        <v>5.9450000000000003</v>
      </c>
      <c r="AS151" s="11">
        <v>8.4949999999999992</v>
      </c>
      <c r="AT151" s="11">
        <v>3.7519999999999998</v>
      </c>
      <c r="AU151" s="11">
        <v>3.4060000000000001</v>
      </c>
      <c r="AV151" s="11" t="s">
        <v>81</v>
      </c>
      <c r="AW151" s="11" t="s">
        <v>81</v>
      </c>
      <c r="AX151" s="11">
        <v>189.983</v>
      </c>
      <c r="AY151" s="11">
        <v>3</v>
      </c>
      <c r="AZ151" s="11">
        <v>125.468</v>
      </c>
      <c r="BA151" s="11">
        <v>15.414</v>
      </c>
      <c r="BB151" s="11">
        <v>45.765999999999998</v>
      </c>
      <c r="BC151" s="11">
        <v>6.0339999999999998</v>
      </c>
      <c r="BD151" s="11">
        <v>7.8460000000000001</v>
      </c>
      <c r="BE151" s="11">
        <v>3.411</v>
      </c>
      <c r="BF151" s="11">
        <v>2.504</v>
      </c>
      <c r="BG151" s="11" t="s">
        <v>81</v>
      </c>
      <c r="BH151" s="11" t="s">
        <v>81</v>
      </c>
      <c r="BI151" s="11" t="s">
        <v>84</v>
      </c>
      <c r="BJ151" s="11" t="s">
        <v>82</v>
      </c>
      <c r="BK151" s="11" t="s">
        <v>83</v>
      </c>
      <c r="BL151" s="11" t="s">
        <v>84</v>
      </c>
      <c r="BM151" s="11" t="s">
        <v>84</v>
      </c>
      <c r="BN151" s="11" t="s">
        <v>82</v>
      </c>
      <c r="BO151" s="11" t="s">
        <v>84</v>
      </c>
      <c r="BP151" s="11" t="s">
        <v>137</v>
      </c>
      <c r="BQ151" s="11" t="s">
        <v>137</v>
      </c>
      <c r="BR151" s="11" t="s">
        <v>288</v>
      </c>
      <c r="BS151" s="11" t="s">
        <v>289</v>
      </c>
      <c r="BT151" s="11" t="s">
        <v>106</v>
      </c>
      <c r="BU151" s="11" t="s">
        <v>98</v>
      </c>
      <c r="BV151" s="11" t="s">
        <v>84</v>
      </c>
      <c r="BW151" s="11" t="s">
        <v>83</v>
      </c>
      <c r="BX151" s="11" t="s">
        <v>82</v>
      </c>
      <c r="BY151" s="15"/>
      <c r="BZ151" s="11" t="s">
        <v>93</v>
      </c>
      <c r="CA151" s="15"/>
      <c r="CB151" s="11" t="s">
        <v>84</v>
      </c>
      <c r="CC151" s="15"/>
      <c r="CD151" s="12">
        <v>33</v>
      </c>
      <c r="CE151" s="12"/>
      <c r="CF151" s="12"/>
      <c r="CG151" s="15"/>
      <c r="CH151" s="15"/>
      <c r="CI151" s="6"/>
    </row>
    <row r="152" spans="1:87" ht="13" hidden="1" x14ac:dyDescent="0.15">
      <c r="A152" s="3">
        <v>1847937712</v>
      </c>
      <c r="B152" s="3" t="s">
        <v>318</v>
      </c>
      <c r="C152" s="3" t="s">
        <v>318</v>
      </c>
      <c r="D152" s="3" t="s">
        <v>81</v>
      </c>
      <c r="E152" s="3">
        <v>3</v>
      </c>
      <c r="F152" s="3">
        <v>20.734000000000002</v>
      </c>
      <c r="G152" s="3">
        <v>0</v>
      </c>
      <c r="H152" s="3" t="s">
        <v>81</v>
      </c>
      <c r="I152" s="3" t="s">
        <v>81</v>
      </c>
      <c r="J152" s="3" t="s">
        <v>81</v>
      </c>
      <c r="K152" s="3" t="s">
        <v>81</v>
      </c>
      <c r="L152" s="3" t="s">
        <v>81</v>
      </c>
      <c r="M152" s="3" t="s">
        <v>81</v>
      </c>
      <c r="N152" s="3" t="s">
        <v>81</v>
      </c>
      <c r="O152" s="3" t="s">
        <v>81</v>
      </c>
      <c r="P152" s="3" t="s">
        <v>81</v>
      </c>
      <c r="Q152" s="3">
        <v>20.288</v>
      </c>
      <c r="R152" s="3">
        <v>0</v>
      </c>
      <c r="S152" s="3" t="s">
        <v>81</v>
      </c>
      <c r="T152" s="3" t="s">
        <v>81</v>
      </c>
      <c r="U152" s="3" t="s">
        <v>81</v>
      </c>
      <c r="V152" s="3" t="s">
        <v>81</v>
      </c>
      <c r="W152" s="3" t="s">
        <v>81</v>
      </c>
      <c r="X152" s="3" t="s">
        <v>81</v>
      </c>
      <c r="Y152" s="3" t="s">
        <v>81</v>
      </c>
      <c r="Z152" s="3" t="s">
        <v>81</v>
      </c>
      <c r="AA152" s="3" t="s">
        <v>81</v>
      </c>
      <c r="AB152" s="3">
        <v>22.303000000000001</v>
      </c>
      <c r="AC152" s="3">
        <v>0</v>
      </c>
      <c r="AD152" s="3" t="s">
        <v>81</v>
      </c>
      <c r="AE152" s="3" t="s">
        <v>81</v>
      </c>
      <c r="AF152" s="3" t="s">
        <v>81</v>
      </c>
      <c r="AG152" s="3" t="s">
        <v>81</v>
      </c>
      <c r="AH152" s="3" t="s">
        <v>81</v>
      </c>
      <c r="AI152" s="3" t="s">
        <v>81</v>
      </c>
      <c r="AJ152" s="3" t="s">
        <v>81</v>
      </c>
      <c r="AK152" s="3" t="s">
        <v>81</v>
      </c>
      <c r="AL152" s="3" t="s">
        <v>81</v>
      </c>
      <c r="AM152" s="3" t="s">
        <v>81</v>
      </c>
      <c r="AN152" s="3" t="s">
        <v>81</v>
      </c>
      <c r="AO152" s="3" t="s">
        <v>81</v>
      </c>
      <c r="AP152" s="3" t="s">
        <v>81</v>
      </c>
      <c r="AQ152" s="3" t="s">
        <v>81</v>
      </c>
      <c r="AR152" s="3" t="s">
        <v>81</v>
      </c>
      <c r="AS152" s="3" t="s">
        <v>81</v>
      </c>
      <c r="AT152" s="3" t="s">
        <v>81</v>
      </c>
      <c r="AU152" s="3" t="s">
        <v>81</v>
      </c>
      <c r="AV152" s="3" t="s">
        <v>81</v>
      </c>
      <c r="AW152" s="3" t="s">
        <v>81</v>
      </c>
      <c r="AX152" s="3" t="s">
        <v>81</v>
      </c>
      <c r="AY152" s="3" t="s">
        <v>81</v>
      </c>
      <c r="AZ152" s="3" t="s">
        <v>81</v>
      </c>
      <c r="BA152" s="3" t="s">
        <v>81</v>
      </c>
      <c r="BB152" s="3" t="s">
        <v>81</v>
      </c>
      <c r="BC152" s="3" t="s">
        <v>81</v>
      </c>
      <c r="BD152" s="3" t="s">
        <v>81</v>
      </c>
      <c r="BE152" s="3" t="s">
        <v>81</v>
      </c>
      <c r="BF152" s="3" t="s">
        <v>81</v>
      </c>
      <c r="BG152" s="3" t="s">
        <v>81</v>
      </c>
      <c r="BH152" s="3" t="s">
        <v>81</v>
      </c>
      <c r="BI152" s="3" t="s">
        <v>82</v>
      </c>
      <c r="BJ152" s="3" t="s">
        <v>82</v>
      </c>
      <c r="BK152" s="3" t="s">
        <v>83</v>
      </c>
      <c r="BL152" s="3" t="s">
        <v>84</v>
      </c>
      <c r="BM152" s="3" t="s">
        <v>84</v>
      </c>
      <c r="BN152" s="3" t="s">
        <v>84</v>
      </c>
      <c r="BO152" s="3" t="s">
        <v>82</v>
      </c>
      <c r="BP152" s="3" t="s">
        <v>87</v>
      </c>
      <c r="BQ152" s="3" t="s">
        <v>87</v>
      </c>
      <c r="BR152" s="3" t="s">
        <v>188</v>
      </c>
      <c r="BS152" s="3" t="s">
        <v>188</v>
      </c>
      <c r="BT152" s="3" t="s">
        <v>87</v>
      </c>
      <c r="BU152" s="3" t="s">
        <v>85</v>
      </c>
      <c r="BV152" s="3" t="s">
        <v>82</v>
      </c>
      <c r="BW152" s="3" t="s">
        <v>111</v>
      </c>
      <c r="BX152" s="3" t="s">
        <v>82</v>
      </c>
      <c r="BY152" s="3" t="s">
        <v>319</v>
      </c>
      <c r="BZ152" s="3" t="s">
        <v>93</v>
      </c>
      <c r="CA152" s="3" t="s">
        <v>103</v>
      </c>
      <c r="CB152" s="3"/>
      <c r="CC152" s="3"/>
      <c r="CD152" s="9">
        <v>3</v>
      </c>
      <c r="CE152" s="9">
        <v>1</v>
      </c>
      <c r="CF152" s="4"/>
      <c r="CG152" s="4"/>
      <c r="CH152" s="4"/>
      <c r="CI152" s="6"/>
    </row>
    <row r="153" spans="1:87" ht="13" x14ac:dyDescent="0.15">
      <c r="A153" s="11">
        <v>1847936322</v>
      </c>
      <c r="B153" s="11" t="s">
        <v>282</v>
      </c>
      <c r="C153" s="11" t="s">
        <v>282</v>
      </c>
      <c r="D153" s="11">
        <v>6</v>
      </c>
      <c r="E153" s="11">
        <v>7</v>
      </c>
      <c r="F153" s="11">
        <v>88.671999999999997</v>
      </c>
      <c r="G153" s="11">
        <v>2</v>
      </c>
      <c r="H153" s="11">
        <v>71.808000000000007</v>
      </c>
      <c r="I153" s="11">
        <v>38.783000000000001</v>
      </c>
      <c r="J153" s="11">
        <v>16.576000000000001</v>
      </c>
      <c r="K153" s="11">
        <v>27.93</v>
      </c>
      <c r="L153" s="11">
        <v>0.51900000000000002</v>
      </c>
      <c r="M153" s="11" t="s">
        <v>81</v>
      </c>
      <c r="N153" s="11" t="s">
        <v>81</v>
      </c>
      <c r="O153" s="11" t="s">
        <v>81</v>
      </c>
      <c r="P153" s="11" t="s">
        <v>81</v>
      </c>
      <c r="Q153" s="11">
        <v>75.78</v>
      </c>
      <c r="R153" s="11">
        <v>2</v>
      </c>
      <c r="S153" s="11">
        <v>59.207000000000001</v>
      </c>
      <c r="T153" s="11">
        <v>36.243000000000002</v>
      </c>
      <c r="U153" s="11">
        <v>14.154999999999999</v>
      </c>
      <c r="V153" s="11">
        <v>13.823</v>
      </c>
      <c r="W153" s="11">
        <v>0.497</v>
      </c>
      <c r="X153" s="11" t="s">
        <v>81</v>
      </c>
      <c r="Y153" s="11" t="s">
        <v>81</v>
      </c>
      <c r="Z153" s="11" t="s">
        <v>81</v>
      </c>
      <c r="AA153" s="11" t="s">
        <v>81</v>
      </c>
      <c r="AB153" s="11">
        <v>48.779000000000003</v>
      </c>
      <c r="AC153" s="11">
        <v>1</v>
      </c>
      <c r="AD153" s="11">
        <v>47.76</v>
      </c>
      <c r="AE153" s="11">
        <v>36.033000000000001</v>
      </c>
      <c r="AF153" s="11">
        <v>1.639</v>
      </c>
      <c r="AG153" s="11" t="s">
        <v>81</v>
      </c>
      <c r="AH153" s="11" t="s">
        <v>81</v>
      </c>
      <c r="AI153" s="11" t="s">
        <v>81</v>
      </c>
      <c r="AJ153" s="11" t="s">
        <v>81</v>
      </c>
      <c r="AK153" s="11" t="s">
        <v>81</v>
      </c>
      <c r="AL153" s="11" t="s">
        <v>81</v>
      </c>
      <c r="AM153" s="11" t="s">
        <v>81</v>
      </c>
      <c r="AN153" s="11" t="s">
        <v>81</v>
      </c>
      <c r="AO153" s="11" t="s">
        <v>81</v>
      </c>
      <c r="AP153" s="11" t="s">
        <v>81</v>
      </c>
      <c r="AQ153" s="11" t="s">
        <v>81</v>
      </c>
      <c r="AR153" s="11" t="s">
        <v>81</v>
      </c>
      <c r="AS153" s="11" t="s">
        <v>81</v>
      </c>
      <c r="AT153" s="11" t="s">
        <v>81</v>
      </c>
      <c r="AU153" s="11" t="s">
        <v>81</v>
      </c>
      <c r="AV153" s="11" t="s">
        <v>81</v>
      </c>
      <c r="AW153" s="11" t="s">
        <v>81</v>
      </c>
      <c r="AX153" s="11" t="s">
        <v>81</v>
      </c>
      <c r="AY153" s="11" t="s">
        <v>81</v>
      </c>
      <c r="AZ153" s="11" t="s">
        <v>81</v>
      </c>
      <c r="BA153" s="11" t="s">
        <v>81</v>
      </c>
      <c r="BB153" s="11" t="s">
        <v>81</v>
      </c>
      <c r="BC153" s="11" t="s">
        <v>81</v>
      </c>
      <c r="BD153" s="11" t="s">
        <v>81</v>
      </c>
      <c r="BE153" s="11" t="s">
        <v>81</v>
      </c>
      <c r="BF153" s="11" t="s">
        <v>81</v>
      </c>
      <c r="BG153" s="11" t="s">
        <v>81</v>
      </c>
      <c r="BH153" s="11" t="s">
        <v>81</v>
      </c>
      <c r="BI153" s="11" t="s">
        <v>84</v>
      </c>
      <c r="BJ153" s="11" t="s">
        <v>84</v>
      </c>
      <c r="BK153" s="11" t="s">
        <v>82</v>
      </c>
      <c r="BL153" s="11" t="s">
        <v>84</v>
      </c>
      <c r="BM153" s="11" t="s">
        <v>84</v>
      </c>
      <c r="BN153" s="11" t="s">
        <v>82</v>
      </c>
      <c r="BO153" s="11" t="s">
        <v>84</v>
      </c>
      <c r="BP153" s="11" t="s">
        <v>106</v>
      </c>
      <c r="BQ153" s="11" t="s">
        <v>106</v>
      </c>
      <c r="BR153" s="11" t="s">
        <v>106</v>
      </c>
      <c r="BS153" s="11" t="s">
        <v>106</v>
      </c>
      <c r="BT153" s="11" t="s">
        <v>106</v>
      </c>
      <c r="BU153" s="11" t="s">
        <v>81</v>
      </c>
      <c r="BV153" s="11" t="s">
        <v>84</v>
      </c>
      <c r="BW153" s="11" t="s">
        <v>83</v>
      </c>
      <c r="BX153" s="11" t="s">
        <v>82</v>
      </c>
      <c r="BY153" s="11" t="s">
        <v>290</v>
      </c>
      <c r="BZ153" s="11" t="s">
        <v>93</v>
      </c>
      <c r="CA153" s="15"/>
      <c r="CB153" s="11" t="s">
        <v>84</v>
      </c>
      <c r="CC153" s="15"/>
      <c r="CD153" s="12">
        <v>13</v>
      </c>
      <c r="CE153" s="12">
        <v>11</v>
      </c>
      <c r="CF153" s="12"/>
      <c r="CG153" s="15"/>
      <c r="CH153" s="15"/>
    </row>
    <row r="154" spans="1:87" ht="13" x14ac:dyDescent="0.15">
      <c r="A154" s="11">
        <v>1228373158</v>
      </c>
      <c r="B154" s="11" t="s">
        <v>282</v>
      </c>
      <c r="C154" s="11" t="s">
        <v>282</v>
      </c>
      <c r="D154" s="11">
        <v>6</v>
      </c>
      <c r="E154" s="11">
        <v>6</v>
      </c>
      <c r="F154" s="11">
        <v>60.456000000000003</v>
      </c>
      <c r="G154" s="11">
        <v>2</v>
      </c>
      <c r="H154" s="11">
        <v>45.965000000000003</v>
      </c>
      <c r="I154" s="11">
        <v>12.9</v>
      </c>
      <c r="J154" s="11">
        <v>13.569000000000001</v>
      </c>
      <c r="K154" s="11">
        <v>4.0910000000000002</v>
      </c>
      <c r="L154" s="11">
        <v>1.222</v>
      </c>
      <c r="M154" s="11" t="s">
        <v>81</v>
      </c>
      <c r="N154" s="11" t="s">
        <v>81</v>
      </c>
      <c r="O154" s="11" t="s">
        <v>81</v>
      </c>
      <c r="P154" s="11" t="s">
        <v>81</v>
      </c>
      <c r="Q154" s="11">
        <v>59.715000000000003</v>
      </c>
      <c r="R154" s="11">
        <v>2</v>
      </c>
      <c r="S154" s="11">
        <v>43.387999999999998</v>
      </c>
      <c r="T154" s="11">
        <v>14.988</v>
      </c>
      <c r="U154" s="11">
        <v>13.881</v>
      </c>
      <c r="V154" s="11">
        <v>4.8739999999999997</v>
      </c>
      <c r="W154" s="11">
        <v>1.609</v>
      </c>
      <c r="X154" s="11" t="s">
        <v>81</v>
      </c>
      <c r="Y154" s="11" t="s">
        <v>81</v>
      </c>
      <c r="Z154" s="11" t="s">
        <v>81</v>
      </c>
      <c r="AA154" s="11" t="s">
        <v>81</v>
      </c>
      <c r="AB154" s="11">
        <v>59.781999999999996</v>
      </c>
      <c r="AC154" s="11">
        <v>1</v>
      </c>
      <c r="AD154" s="11">
        <v>42.548999999999999</v>
      </c>
      <c r="AE154" s="11">
        <v>15.573</v>
      </c>
      <c r="AF154" s="11">
        <v>16.91</v>
      </c>
      <c r="AG154" s="11" t="s">
        <v>81</v>
      </c>
      <c r="AH154" s="11" t="s">
        <v>81</v>
      </c>
      <c r="AI154" s="11" t="s">
        <v>81</v>
      </c>
      <c r="AJ154" s="11" t="s">
        <v>81</v>
      </c>
      <c r="AK154" s="11" t="s">
        <v>81</v>
      </c>
      <c r="AL154" s="11" t="s">
        <v>81</v>
      </c>
      <c r="AM154" s="11">
        <v>40.448</v>
      </c>
      <c r="AN154" s="11">
        <v>1</v>
      </c>
      <c r="AO154" s="11">
        <v>39.700000000000003</v>
      </c>
      <c r="AP154" s="11">
        <v>16.675000000000001</v>
      </c>
      <c r="AQ154" s="11">
        <v>0.73899999999999999</v>
      </c>
      <c r="AR154" s="11" t="s">
        <v>81</v>
      </c>
      <c r="AS154" s="11" t="s">
        <v>81</v>
      </c>
      <c r="AT154" s="11" t="s">
        <v>81</v>
      </c>
      <c r="AU154" s="11" t="s">
        <v>81</v>
      </c>
      <c r="AV154" s="11" t="s">
        <v>81</v>
      </c>
      <c r="AW154" s="11" t="s">
        <v>81</v>
      </c>
      <c r="AX154" s="11">
        <v>53.988999999999997</v>
      </c>
      <c r="AY154" s="11">
        <v>1</v>
      </c>
      <c r="AZ154" s="11">
        <v>53.156999999999996</v>
      </c>
      <c r="BA154" s="11">
        <v>13.887</v>
      </c>
      <c r="BB154" s="11">
        <v>0.83199999999999996</v>
      </c>
      <c r="BC154" s="11" t="s">
        <v>81</v>
      </c>
      <c r="BD154" s="11" t="s">
        <v>81</v>
      </c>
      <c r="BE154" s="11" t="s">
        <v>81</v>
      </c>
      <c r="BF154" s="11" t="s">
        <v>81</v>
      </c>
      <c r="BG154" s="11" t="s">
        <v>81</v>
      </c>
      <c r="BH154" s="11" t="s">
        <v>81</v>
      </c>
      <c r="BI154" s="11" t="s">
        <v>84</v>
      </c>
      <c r="BJ154" s="11" t="s">
        <v>82</v>
      </c>
      <c r="BK154" s="11" t="s">
        <v>83</v>
      </c>
      <c r="BL154" s="11" t="s">
        <v>84</v>
      </c>
      <c r="BM154" s="11" t="s">
        <v>84</v>
      </c>
      <c r="BN154" s="11" t="s">
        <v>82</v>
      </c>
      <c r="BO154" s="11" t="s">
        <v>84</v>
      </c>
      <c r="BP154" s="11" t="s">
        <v>85</v>
      </c>
      <c r="BQ154" s="11" t="s">
        <v>85</v>
      </c>
      <c r="BR154" s="11" t="s">
        <v>85</v>
      </c>
      <c r="BS154" s="11" t="s">
        <v>85</v>
      </c>
      <c r="BT154" s="11" t="s">
        <v>85</v>
      </c>
      <c r="BU154" s="11" t="s">
        <v>81</v>
      </c>
      <c r="BV154" s="11" t="s">
        <v>84</v>
      </c>
      <c r="BW154" s="11" t="s">
        <v>83</v>
      </c>
      <c r="BX154" s="11" t="s">
        <v>82</v>
      </c>
      <c r="BY154" s="15"/>
      <c r="BZ154" s="11" t="s">
        <v>93</v>
      </c>
      <c r="CA154" s="15"/>
      <c r="CB154" s="11" t="s">
        <v>84</v>
      </c>
      <c r="CC154" s="15"/>
      <c r="CD154" s="12"/>
      <c r="CE154" s="12">
        <v>10</v>
      </c>
      <c r="CF154" s="12"/>
      <c r="CG154" s="15"/>
      <c r="CH154" s="15"/>
      <c r="CI154" s="4"/>
    </row>
    <row r="155" spans="1:87" ht="13" x14ac:dyDescent="0.15">
      <c r="A155" s="11">
        <v>1322879785</v>
      </c>
      <c r="B155" s="11" t="s">
        <v>291</v>
      </c>
      <c r="C155" s="11" t="s">
        <v>282</v>
      </c>
      <c r="D155" s="11">
        <v>9</v>
      </c>
      <c r="E155" s="11">
        <v>10</v>
      </c>
      <c r="F155" s="11">
        <v>58.311999999999998</v>
      </c>
      <c r="G155" s="11">
        <v>1</v>
      </c>
      <c r="H155" s="11">
        <v>34.828000000000003</v>
      </c>
      <c r="I155" s="11">
        <v>17.02</v>
      </c>
      <c r="J155" s="11">
        <v>23.510999999999999</v>
      </c>
      <c r="K155" s="11" t="s">
        <v>81</v>
      </c>
      <c r="L155" s="11" t="s">
        <v>81</v>
      </c>
      <c r="M155" s="11" t="s">
        <v>81</v>
      </c>
      <c r="N155" s="11" t="s">
        <v>81</v>
      </c>
      <c r="O155" s="11" t="s">
        <v>81</v>
      </c>
      <c r="P155" s="11" t="s">
        <v>81</v>
      </c>
      <c r="Q155" s="11">
        <v>57.713000000000001</v>
      </c>
      <c r="R155" s="11">
        <v>1</v>
      </c>
      <c r="S155" s="11">
        <v>32.834000000000003</v>
      </c>
      <c r="T155" s="11">
        <v>18.465</v>
      </c>
      <c r="U155" s="11">
        <v>25.084</v>
      </c>
      <c r="V155" s="11" t="s">
        <v>81</v>
      </c>
      <c r="W155" s="11" t="s">
        <v>81</v>
      </c>
      <c r="X155" s="11" t="s">
        <v>81</v>
      </c>
      <c r="Y155" s="11" t="s">
        <v>81</v>
      </c>
      <c r="Z155" s="11" t="s">
        <v>81</v>
      </c>
      <c r="AA155" s="11" t="s">
        <v>81</v>
      </c>
      <c r="AB155" s="11">
        <v>57.381</v>
      </c>
      <c r="AC155" s="11">
        <v>1</v>
      </c>
      <c r="AD155" s="11">
        <v>28.780999999999999</v>
      </c>
      <c r="AE155" s="11">
        <v>22.748000000000001</v>
      </c>
      <c r="AF155" s="11">
        <v>28.378</v>
      </c>
      <c r="AG155" s="11" t="s">
        <v>81</v>
      </c>
      <c r="AH155" s="11" t="s">
        <v>81</v>
      </c>
      <c r="AI155" s="11" t="s">
        <v>81</v>
      </c>
      <c r="AJ155" s="11" t="s">
        <v>81</v>
      </c>
      <c r="AK155" s="11" t="s">
        <v>81</v>
      </c>
      <c r="AL155" s="11" t="s">
        <v>81</v>
      </c>
      <c r="AM155" s="11">
        <v>59.853000000000002</v>
      </c>
      <c r="AN155" s="11">
        <v>1</v>
      </c>
      <c r="AO155" s="11">
        <v>31.483000000000001</v>
      </c>
      <c r="AP155" s="11">
        <v>23.263000000000002</v>
      </c>
      <c r="AQ155" s="11">
        <v>27.699000000000002</v>
      </c>
      <c r="AR155" s="11" t="s">
        <v>81</v>
      </c>
      <c r="AS155" s="11" t="s">
        <v>81</v>
      </c>
      <c r="AT155" s="11" t="s">
        <v>81</v>
      </c>
      <c r="AU155" s="11" t="s">
        <v>81</v>
      </c>
      <c r="AV155" s="11" t="s">
        <v>81</v>
      </c>
      <c r="AW155" s="11" t="s">
        <v>81</v>
      </c>
      <c r="AX155" s="11">
        <v>57.262999999999998</v>
      </c>
      <c r="AY155" s="11">
        <v>1</v>
      </c>
      <c r="AZ155" s="11">
        <v>33.848999999999997</v>
      </c>
      <c r="BA155" s="11">
        <v>16.91</v>
      </c>
      <c r="BB155" s="11">
        <v>24.113</v>
      </c>
      <c r="BC155" s="11" t="s">
        <v>81</v>
      </c>
      <c r="BD155" s="11" t="s">
        <v>81</v>
      </c>
      <c r="BE155" s="11" t="s">
        <v>81</v>
      </c>
      <c r="BF155" s="11" t="s">
        <v>81</v>
      </c>
      <c r="BG155" s="11" t="s">
        <v>81</v>
      </c>
      <c r="BH155" s="11" t="s">
        <v>81</v>
      </c>
      <c r="BI155" s="11" t="s">
        <v>84</v>
      </c>
      <c r="BJ155" s="11" t="s">
        <v>82</v>
      </c>
      <c r="BK155" s="11" t="s">
        <v>83</v>
      </c>
      <c r="BL155" s="11" t="s">
        <v>84</v>
      </c>
      <c r="BM155" s="11" t="s">
        <v>84</v>
      </c>
      <c r="BN155" s="11" t="s">
        <v>82</v>
      </c>
      <c r="BO155" s="11" t="s">
        <v>84</v>
      </c>
      <c r="BP155" s="11" t="s">
        <v>87</v>
      </c>
      <c r="BQ155" s="11" t="s">
        <v>87</v>
      </c>
      <c r="BR155" s="11" t="s">
        <v>87</v>
      </c>
      <c r="BS155" s="11" t="s">
        <v>87</v>
      </c>
      <c r="BT155" s="11" t="s">
        <v>87</v>
      </c>
      <c r="BU155" s="11" t="s">
        <v>81</v>
      </c>
      <c r="BV155" s="11" t="s">
        <v>84</v>
      </c>
      <c r="BW155" s="11" t="s">
        <v>83</v>
      </c>
      <c r="BX155" s="11" t="s">
        <v>82</v>
      </c>
      <c r="BY155" s="15"/>
      <c r="BZ155" s="11" t="s">
        <v>86</v>
      </c>
      <c r="CA155" s="15"/>
      <c r="CB155" s="11" t="s">
        <v>84</v>
      </c>
      <c r="CC155" s="15"/>
      <c r="CD155" s="12">
        <v>20</v>
      </c>
      <c r="CE155" s="12"/>
      <c r="CF155" s="12"/>
      <c r="CG155" s="15"/>
      <c r="CH155" s="15"/>
      <c r="CI155" s="6"/>
    </row>
    <row r="156" spans="1:87" ht="13" x14ac:dyDescent="0.15">
      <c r="A156" s="11">
        <v>2643311594</v>
      </c>
      <c r="B156" s="11" t="s">
        <v>291</v>
      </c>
      <c r="C156" s="11" t="s">
        <v>282</v>
      </c>
      <c r="D156" s="11">
        <v>8</v>
      </c>
      <c r="E156" s="11">
        <v>10</v>
      </c>
      <c r="F156" s="11">
        <v>85.522999999999996</v>
      </c>
      <c r="G156" s="11">
        <v>1</v>
      </c>
      <c r="H156" s="11">
        <v>52.691000000000003</v>
      </c>
      <c r="I156" s="11">
        <v>23.161000000000001</v>
      </c>
      <c r="J156" s="11">
        <v>32.454000000000001</v>
      </c>
      <c r="K156" s="11" t="s">
        <v>81</v>
      </c>
      <c r="L156" s="11" t="s">
        <v>81</v>
      </c>
      <c r="M156" s="11" t="s">
        <v>81</v>
      </c>
      <c r="N156" s="11" t="s">
        <v>81</v>
      </c>
      <c r="O156" s="11" t="s">
        <v>81</v>
      </c>
      <c r="P156" s="11" t="s">
        <v>81</v>
      </c>
      <c r="Q156" s="11">
        <v>82.350999999999999</v>
      </c>
      <c r="R156" s="11">
        <v>1</v>
      </c>
      <c r="S156" s="11">
        <v>63.798999999999999</v>
      </c>
      <c r="T156" s="11">
        <v>18.132999999999999</v>
      </c>
      <c r="U156" s="11">
        <v>24.622</v>
      </c>
      <c r="V156" s="11" t="s">
        <v>81</v>
      </c>
      <c r="W156" s="11" t="s">
        <v>81</v>
      </c>
      <c r="X156" s="11" t="s">
        <v>81</v>
      </c>
      <c r="Y156" s="11" t="s">
        <v>81</v>
      </c>
      <c r="Z156" s="11" t="s">
        <v>81</v>
      </c>
      <c r="AA156" s="11" t="s">
        <v>81</v>
      </c>
      <c r="AB156" s="11">
        <v>80.957999999999998</v>
      </c>
      <c r="AC156" s="11">
        <v>1</v>
      </c>
      <c r="AD156" s="11">
        <v>52.848999999999997</v>
      </c>
      <c r="AE156" s="11">
        <v>23.081</v>
      </c>
      <c r="AF156" s="11">
        <v>27.759</v>
      </c>
      <c r="AG156" s="11" t="s">
        <v>81</v>
      </c>
      <c r="AH156" s="11" t="s">
        <v>81</v>
      </c>
      <c r="AI156" s="11" t="s">
        <v>81</v>
      </c>
      <c r="AJ156" s="11" t="s">
        <v>81</v>
      </c>
      <c r="AK156" s="11" t="s">
        <v>81</v>
      </c>
      <c r="AL156" s="11" t="s">
        <v>81</v>
      </c>
      <c r="AM156" s="11">
        <v>88.265000000000001</v>
      </c>
      <c r="AN156" s="11">
        <v>1</v>
      </c>
      <c r="AO156" s="11">
        <v>56.71</v>
      </c>
      <c r="AP156" s="11">
        <v>23.055</v>
      </c>
      <c r="AQ156" s="11">
        <v>30.89</v>
      </c>
      <c r="AR156" s="11" t="s">
        <v>81</v>
      </c>
      <c r="AS156" s="11" t="s">
        <v>81</v>
      </c>
      <c r="AT156" s="11" t="s">
        <v>81</v>
      </c>
      <c r="AU156" s="11" t="s">
        <v>81</v>
      </c>
      <c r="AV156" s="11" t="s">
        <v>81</v>
      </c>
      <c r="AW156" s="11" t="s">
        <v>81</v>
      </c>
      <c r="AX156" s="11">
        <v>84.769000000000005</v>
      </c>
      <c r="AY156" s="11">
        <v>1</v>
      </c>
      <c r="AZ156" s="11">
        <v>51.029000000000003</v>
      </c>
      <c r="BA156" s="11">
        <v>26.439</v>
      </c>
      <c r="BB156" s="11">
        <v>32.777000000000001</v>
      </c>
      <c r="BC156" s="11" t="s">
        <v>81</v>
      </c>
      <c r="BD156" s="11" t="s">
        <v>81</v>
      </c>
      <c r="BE156" s="11" t="s">
        <v>81</v>
      </c>
      <c r="BF156" s="11" t="s">
        <v>81</v>
      </c>
      <c r="BG156" s="11" t="s">
        <v>81</v>
      </c>
      <c r="BH156" s="11" t="s">
        <v>81</v>
      </c>
      <c r="BI156" s="11" t="s">
        <v>84</v>
      </c>
      <c r="BJ156" s="11" t="s">
        <v>82</v>
      </c>
      <c r="BK156" s="11" t="s">
        <v>83</v>
      </c>
      <c r="BL156" s="11" t="s">
        <v>84</v>
      </c>
      <c r="BM156" s="11" t="s">
        <v>84</v>
      </c>
      <c r="BN156" s="11" t="s">
        <v>82</v>
      </c>
      <c r="BO156" s="11" t="s">
        <v>84</v>
      </c>
      <c r="BP156" s="11" t="s">
        <v>81</v>
      </c>
      <c r="BQ156" s="11" t="s">
        <v>81</v>
      </c>
      <c r="BR156" s="11" t="s">
        <v>81</v>
      </c>
      <c r="BS156" s="11" t="s">
        <v>81</v>
      </c>
      <c r="BT156" s="11" t="s">
        <v>81</v>
      </c>
      <c r="BU156" s="11" t="s">
        <v>81</v>
      </c>
      <c r="BV156" s="11" t="s">
        <v>84</v>
      </c>
      <c r="BW156" s="11" t="s">
        <v>83</v>
      </c>
      <c r="BX156" s="11" t="s">
        <v>82</v>
      </c>
      <c r="BY156" s="11" t="s">
        <v>173</v>
      </c>
      <c r="BZ156" s="11" t="s">
        <v>86</v>
      </c>
      <c r="CA156" s="15"/>
      <c r="CB156" s="11" t="s">
        <v>84</v>
      </c>
      <c r="CC156" s="15"/>
      <c r="CD156" s="12">
        <v>20</v>
      </c>
      <c r="CE156" s="12"/>
      <c r="CF156" s="12"/>
      <c r="CG156" s="15"/>
      <c r="CH156" s="15"/>
    </row>
    <row r="157" spans="1:87" ht="13" x14ac:dyDescent="0.15">
      <c r="A157" s="3">
        <v>1847924566</v>
      </c>
      <c r="B157" s="3" t="s">
        <v>292</v>
      </c>
      <c r="C157" s="3" t="s">
        <v>292</v>
      </c>
      <c r="D157" s="3">
        <v>4</v>
      </c>
      <c r="E157" s="3">
        <v>4</v>
      </c>
      <c r="F157" s="3">
        <v>24.273</v>
      </c>
      <c r="G157" s="3">
        <v>0</v>
      </c>
      <c r="H157" s="3" t="s">
        <v>81</v>
      </c>
      <c r="I157" s="3" t="s">
        <v>81</v>
      </c>
      <c r="J157" s="3" t="s">
        <v>81</v>
      </c>
      <c r="K157" s="3" t="s">
        <v>81</v>
      </c>
      <c r="L157" s="3" t="s">
        <v>81</v>
      </c>
      <c r="M157" s="3" t="s">
        <v>81</v>
      </c>
      <c r="N157" s="3" t="s">
        <v>81</v>
      </c>
      <c r="O157" s="3" t="s">
        <v>81</v>
      </c>
      <c r="P157" s="3" t="s">
        <v>81</v>
      </c>
      <c r="Q157" s="3">
        <v>29.602</v>
      </c>
      <c r="R157" s="3">
        <v>0</v>
      </c>
      <c r="S157" s="3" t="s">
        <v>81</v>
      </c>
      <c r="T157" s="3" t="s">
        <v>81</v>
      </c>
      <c r="U157" s="3" t="s">
        <v>81</v>
      </c>
      <c r="V157" s="3" t="s">
        <v>81</v>
      </c>
      <c r="W157" s="3" t="s">
        <v>81</v>
      </c>
      <c r="X157" s="3" t="s">
        <v>81</v>
      </c>
      <c r="Y157" s="3" t="s">
        <v>81</v>
      </c>
      <c r="Z157" s="3" t="s">
        <v>81</v>
      </c>
      <c r="AA157" s="3" t="s">
        <v>81</v>
      </c>
      <c r="AB157" s="3">
        <v>24.981999999999999</v>
      </c>
      <c r="AC157" s="3">
        <v>0</v>
      </c>
      <c r="AD157" s="3" t="s">
        <v>81</v>
      </c>
      <c r="AE157" s="3" t="s">
        <v>81</v>
      </c>
      <c r="AF157" s="3" t="s">
        <v>81</v>
      </c>
      <c r="AG157" s="3" t="s">
        <v>81</v>
      </c>
      <c r="AH157" s="3" t="s">
        <v>81</v>
      </c>
      <c r="AI157" s="3" t="s">
        <v>81</v>
      </c>
      <c r="AJ157" s="3" t="s">
        <v>81</v>
      </c>
      <c r="AK157" s="3" t="s">
        <v>81</v>
      </c>
      <c r="AL157" s="3" t="s">
        <v>81</v>
      </c>
      <c r="AM157" s="3">
        <v>25.114000000000001</v>
      </c>
      <c r="AN157" s="3">
        <v>0</v>
      </c>
      <c r="AO157" s="3" t="s">
        <v>81</v>
      </c>
      <c r="AP157" s="3" t="s">
        <v>81</v>
      </c>
      <c r="AQ157" s="3" t="s">
        <v>81</v>
      </c>
      <c r="AR157" s="3" t="s">
        <v>81</v>
      </c>
      <c r="AS157" s="3" t="s">
        <v>81</v>
      </c>
      <c r="AT157" s="3" t="s">
        <v>81</v>
      </c>
      <c r="AU157" s="3" t="s">
        <v>81</v>
      </c>
      <c r="AV157" s="3" t="s">
        <v>81</v>
      </c>
      <c r="AW157" s="3" t="s">
        <v>81</v>
      </c>
      <c r="AX157" s="3" t="s">
        <v>81</v>
      </c>
      <c r="AY157" s="3" t="s">
        <v>81</v>
      </c>
      <c r="AZ157" s="3" t="s">
        <v>81</v>
      </c>
      <c r="BA157" s="3" t="s">
        <v>81</v>
      </c>
      <c r="BB157" s="3" t="s">
        <v>81</v>
      </c>
      <c r="BC157" s="3" t="s">
        <v>81</v>
      </c>
      <c r="BD157" s="3" t="s">
        <v>81</v>
      </c>
      <c r="BE157" s="3" t="s">
        <v>81</v>
      </c>
      <c r="BF157" s="3" t="s">
        <v>81</v>
      </c>
      <c r="BG157" s="3" t="s">
        <v>81</v>
      </c>
      <c r="BH157" s="3" t="s">
        <v>81</v>
      </c>
      <c r="BI157" s="3" t="s">
        <v>84</v>
      </c>
      <c r="BJ157" s="3" t="s">
        <v>84</v>
      </c>
      <c r="BK157" s="3" t="s">
        <v>84</v>
      </c>
      <c r="BL157" s="3" t="s">
        <v>84</v>
      </c>
      <c r="BM157" s="3" t="s">
        <v>84</v>
      </c>
      <c r="BN157" s="3" t="s">
        <v>84</v>
      </c>
      <c r="BO157" s="3" t="s">
        <v>82</v>
      </c>
      <c r="BP157" s="3" t="s">
        <v>218</v>
      </c>
      <c r="BQ157" s="3" t="s">
        <v>218</v>
      </c>
      <c r="BR157" s="3" t="s">
        <v>218</v>
      </c>
      <c r="BS157" s="3" t="s">
        <v>218</v>
      </c>
      <c r="BT157" s="3" t="s">
        <v>85</v>
      </c>
      <c r="BU157" s="3" t="s">
        <v>81</v>
      </c>
      <c r="BV157" s="3" t="s">
        <v>84</v>
      </c>
      <c r="BW157" s="3" t="s">
        <v>83</v>
      </c>
      <c r="BX157" s="3" t="s">
        <v>82</v>
      </c>
      <c r="BY157" s="3" t="s">
        <v>293</v>
      </c>
      <c r="BZ157" s="3" t="s">
        <v>93</v>
      </c>
      <c r="CA157" s="3"/>
      <c r="CB157" s="3" t="s">
        <v>84</v>
      </c>
      <c r="CC157" s="3"/>
      <c r="CD157" s="9">
        <v>4</v>
      </c>
      <c r="CE157" s="9"/>
      <c r="CF157" s="6"/>
      <c r="CG157" s="6"/>
      <c r="CH157" s="6"/>
    </row>
    <row r="158" spans="1:87" ht="13" hidden="1" x14ac:dyDescent="0.15">
      <c r="A158" s="3">
        <v>1228298741</v>
      </c>
      <c r="B158" s="3" t="s">
        <v>329</v>
      </c>
      <c r="C158" s="3" t="s">
        <v>329</v>
      </c>
      <c r="D158" s="3">
        <v>4</v>
      </c>
      <c r="E158" s="3">
        <v>4</v>
      </c>
      <c r="F158" s="3">
        <v>73.751000000000005</v>
      </c>
      <c r="G158" s="3">
        <v>1</v>
      </c>
      <c r="H158" s="3">
        <v>35.296999999999997</v>
      </c>
      <c r="I158" s="3">
        <v>31.847999999999999</v>
      </c>
      <c r="J158" s="3">
        <v>37.279000000000003</v>
      </c>
      <c r="K158" s="3" t="s">
        <v>81</v>
      </c>
      <c r="L158" s="3" t="s">
        <v>81</v>
      </c>
      <c r="M158" s="3" t="s">
        <v>81</v>
      </c>
      <c r="N158" s="3" t="s">
        <v>81</v>
      </c>
      <c r="O158" s="3" t="s">
        <v>81</v>
      </c>
      <c r="P158" s="3" t="s">
        <v>81</v>
      </c>
      <c r="Q158" s="3">
        <v>34.979999999999997</v>
      </c>
      <c r="R158" s="3">
        <v>1</v>
      </c>
      <c r="S158" s="3">
        <v>30.847000000000001</v>
      </c>
      <c r="T158" s="3">
        <v>32.298000000000002</v>
      </c>
      <c r="U158" s="3">
        <v>4.3079999999999998</v>
      </c>
      <c r="V158" s="3" t="s">
        <v>81</v>
      </c>
      <c r="W158" s="3" t="s">
        <v>81</v>
      </c>
      <c r="X158" s="3" t="s">
        <v>81</v>
      </c>
      <c r="Y158" s="3" t="s">
        <v>81</v>
      </c>
      <c r="Z158" s="3" t="s">
        <v>81</v>
      </c>
      <c r="AA158" s="3" t="s">
        <v>81</v>
      </c>
      <c r="AB158" s="3">
        <v>32.6</v>
      </c>
      <c r="AC158" s="3">
        <v>1</v>
      </c>
      <c r="AD158" s="3">
        <v>29.285</v>
      </c>
      <c r="AE158" s="3">
        <v>34.363</v>
      </c>
      <c r="AF158" s="3">
        <v>3.5979999999999999</v>
      </c>
      <c r="AG158" s="3" t="s">
        <v>81</v>
      </c>
      <c r="AH158" s="3" t="s">
        <v>81</v>
      </c>
      <c r="AI158" s="3" t="s">
        <v>81</v>
      </c>
      <c r="AJ158" s="3" t="s">
        <v>81</v>
      </c>
      <c r="AK158" s="3" t="s">
        <v>81</v>
      </c>
      <c r="AL158" s="3" t="s">
        <v>81</v>
      </c>
      <c r="AM158" s="3">
        <v>73.981999999999999</v>
      </c>
      <c r="AN158" s="3">
        <v>1</v>
      </c>
      <c r="AO158" s="3">
        <v>34.329000000000001</v>
      </c>
      <c r="AP158" s="3">
        <v>36.152000000000001</v>
      </c>
      <c r="AQ158" s="3">
        <v>38.569000000000003</v>
      </c>
      <c r="AR158" s="3" t="s">
        <v>81</v>
      </c>
      <c r="AS158" s="3" t="s">
        <v>81</v>
      </c>
      <c r="AT158" s="3" t="s">
        <v>81</v>
      </c>
      <c r="AU158" s="3" t="s">
        <v>81</v>
      </c>
      <c r="AV158" s="3" t="s">
        <v>81</v>
      </c>
      <c r="AW158" s="3" t="s">
        <v>81</v>
      </c>
      <c r="AX158" s="3" t="s">
        <v>81</v>
      </c>
      <c r="AY158" s="3" t="s">
        <v>81</v>
      </c>
      <c r="AZ158" s="3" t="s">
        <v>81</v>
      </c>
      <c r="BA158" s="3" t="s">
        <v>81</v>
      </c>
      <c r="BB158" s="3" t="s">
        <v>81</v>
      </c>
      <c r="BC158" s="3" t="s">
        <v>81</v>
      </c>
      <c r="BD158" s="3" t="s">
        <v>81</v>
      </c>
      <c r="BE158" s="3" t="s">
        <v>81</v>
      </c>
      <c r="BF158" s="3" t="s">
        <v>81</v>
      </c>
      <c r="BG158" s="3" t="s">
        <v>81</v>
      </c>
      <c r="BH158" s="3" t="s">
        <v>81</v>
      </c>
      <c r="BI158" s="3" t="s">
        <v>84</v>
      </c>
      <c r="BJ158" s="3" t="s">
        <v>82</v>
      </c>
      <c r="BK158" s="3" t="s">
        <v>83</v>
      </c>
      <c r="BL158" s="3" t="s">
        <v>84</v>
      </c>
      <c r="BM158" s="3" t="s">
        <v>84</v>
      </c>
      <c r="BN158" s="3" t="s">
        <v>82</v>
      </c>
      <c r="BO158" s="3" t="s">
        <v>84</v>
      </c>
      <c r="BP158" s="3" t="s">
        <v>87</v>
      </c>
      <c r="BQ158" s="3" t="s">
        <v>87</v>
      </c>
      <c r="BR158" s="3" t="s">
        <v>87</v>
      </c>
      <c r="BS158" s="3" t="s">
        <v>87</v>
      </c>
      <c r="BT158" s="3" t="s">
        <v>87</v>
      </c>
      <c r="BU158" s="3" t="s">
        <v>81</v>
      </c>
      <c r="BV158" s="3" t="s">
        <v>84</v>
      </c>
      <c r="BW158" s="3" t="s">
        <v>83</v>
      </c>
      <c r="BX158" s="3" t="s">
        <v>84</v>
      </c>
      <c r="BY158" s="3"/>
      <c r="BZ158" s="3" t="s">
        <v>93</v>
      </c>
      <c r="CA158" s="3"/>
      <c r="CB158" s="3"/>
      <c r="CC158" s="3"/>
      <c r="CD158" s="9">
        <v>4</v>
      </c>
      <c r="CE158" s="9">
        <v>8</v>
      </c>
      <c r="CF158" s="6"/>
      <c r="CG158" s="6"/>
      <c r="CH158" s="6"/>
    </row>
    <row r="159" spans="1:87" ht="13" hidden="1" x14ac:dyDescent="0.15">
      <c r="A159" s="3">
        <v>1228451068</v>
      </c>
      <c r="B159" s="3" t="s">
        <v>329</v>
      </c>
      <c r="C159" s="3" t="s">
        <v>329</v>
      </c>
      <c r="D159" s="3">
        <v>9</v>
      </c>
      <c r="E159" s="3">
        <v>9</v>
      </c>
      <c r="F159" s="3">
        <v>132.03100000000001</v>
      </c>
      <c r="G159" s="3">
        <v>2</v>
      </c>
      <c r="H159" s="3">
        <v>64.519000000000005</v>
      </c>
      <c r="I159" s="3">
        <v>45.427</v>
      </c>
      <c r="J159" s="3">
        <v>15.554</v>
      </c>
      <c r="K159" s="3">
        <v>45.618000000000002</v>
      </c>
      <c r="L159" s="3">
        <v>51.606999999999999</v>
      </c>
      <c r="M159" s="3" t="s">
        <v>81</v>
      </c>
      <c r="N159" s="3" t="s">
        <v>81</v>
      </c>
      <c r="O159" s="3" t="s">
        <v>81</v>
      </c>
      <c r="P159" s="3" t="s">
        <v>81</v>
      </c>
      <c r="Q159" s="3">
        <v>121.593</v>
      </c>
      <c r="R159" s="3">
        <v>2</v>
      </c>
      <c r="S159" s="3">
        <v>58.008000000000003</v>
      </c>
      <c r="T159" s="3">
        <v>53.468000000000004</v>
      </c>
      <c r="U159" s="3">
        <v>13.401</v>
      </c>
      <c r="V159" s="3">
        <v>54.487000000000002</v>
      </c>
      <c r="W159" s="3">
        <v>48.155000000000001</v>
      </c>
      <c r="X159" s="3" t="s">
        <v>81</v>
      </c>
      <c r="Y159" s="3" t="s">
        <v>81</v>
      </c>
      <c r="Z159" s="3" t="s">
        <v>81</v>
      </c>
      <c r="AA159" s="3" t="s">
        <v>81</v>
      </c>
      <c r="AB159" s="3">
        <v>128.43100000000001</v>
      </c>
      <c r="AC159" s="3">
        <v>2</v>
      </c>
      <c r="AD159" s="3">
        <v>57.128999999999998</v>
      </c>
      <c r="AE159" s="3">
        <v>53.286999999999999</v>
      </c>
      <c r="AF159" s="3">
        <v>19.408999999999999</v>
      </c>
      <c r="AG159" s="3">
        <v>41.311</v>
      </c>
      <c r="AH159" s="3">
        <v>47.926000000000002</v>
      </c>
      <c r="AI159" s="3" t="s">
        <v>81</v>
      </c>
      <c r="AJ159" s="3" t="s">
        <v>81</v>
      </c>
      <c r="AK159" s="3" t="s">
        <v>81</v>
      </c>
      <c r="AL159" s="3" t="s">
        <v>81</v>
      </c>
      <c r="AM159" s="3">
        <v>105.503</v>
      </c>
      <c r="AN159" s="3">
        <v>2</v>
      </c>
      <c r="AO159" s="3">
        <v>46.329000000000001</v>
      </c>
      <c r="AP159" s="3">
        <v>48.713000000000001</v>
      </c>
      <c r="AQ159" s="3">
        <v>14.551</v>
      </c>
      <c r="AR159" s="3">
        <v>42.357999999999997</v>
      </c>
      <c r="AS159" s="3">
        <v>42.954999999999998</v>
      </c>
      <c r="AT159" s="3" t="s">
        <v>81</v>
      </c>
      <c r="AU159" s="3" t="s">
        <v>81</v>
      </c>
      <c r="AV159" s="3" t="s">
        <v>81</v>
      </c>
      <c r="AW159" s="3" t="s">
        <v>81</v>
      </c>
      <c r="AX159" s="3" t="s">
        <v>81</v>
      </c>
      <c r="AY159" s="3" t="s">
        <v>81</v>
      </c>
      <c r="AZ159" s="3" t="s">
        <v>81</v>
      </c>
      <c r="BA159" s="3" t="s">
        <v>81</v>
      </c>
      <c r="BB159" s="3" t="s">
        <v>81</v>
      </c>
      <c r="BC159" s="3" t="s">
        <v>81</v>
      </c>
      <c r="BD159" s="3" t="s">
        <v>81</v>
      </c>
      <c r="BE159" s="3" t="s">
        <v>81</v>
      </c>
      <c r="BF159" s="3" t="s">
        <v>81</v>
      </c>
      <c r="BG159" s="3" t="s">
        <v>81</v>
      </c>
      <c r="BH159" s="3" t="s">
        <v>81</v>
      </c>
      <c r="BI159" s="3" t="s">
        <v>84</v>
      </c>
      <c r="BJ159" s="3" t="s">
        <v>84</v>
      </c>
      <c r="BK159" s="3" t="s">
        <v>84</v>
      </c>
      <c r="BL159" s="3" t="s">
        <v>84</v>
      </c>
      <c r="BM159" s="3" t="s">
        <v>84</v>
      </c>
      <c r="BN159" s="3" t="s">
        <v>82</v>
      </c>
      <c r="BO159" s="3" t="s">
        <v>84</v>
      </c>
      <c r="BP159" s="3" t="s">
        <v>87</v>
      </c>
      <c r="BQ159" s="3" t="s">
        <v>87</v>
      </c>
      <c r="BR159" s="3" t="s">
        <v>87</v>
      </c>
      <c r="BS159" s="3" t="s">
        <v>87</v>
      </c>
      <c r="BT159" s="3" t="s">
        <v>87</v>
      </c>
      <c r="BU159" s="3" t="s">
        <v>81</v>
      </c>
      <c r="BV159" s="3" t="s">
        <v>84</v>
      </c>
      <c r="BW159" s="3" t="s">
        <v>83</v>
      </c>
      <c r="BX159" s="3" t="s">
        <v>84</v>
      </c>
      <c r="BY159" s="3" t="s">
        <v>330</v>
      </c>
      <c r="BZ159" s="3" t="s">
        <v>93</v>
      </c>
      <c r="CD159" s="9">
        <v>26</v>
      </c>
      <c r="CE159" s="9"/>
    </row>
    <row r="160" spans="1:87" ht="13" hidden="1" x14ac:dyDescent="0.15">
      <c r="A160" s="3">
        <v>2643380965</v>
      </c>
      <c r="B160" s="3" t="s">
        <v>329</v>
      </c>
      <c r="C160" s="3" t="s">
        <v>329</v>
      </c>
      <c r="D160" s="3" t="s">
        <v>81</v>
      </c>
      <c r="E160" s="3">
        <v>14</v>
      </c>
      <c r="F160" s="3">
        <v>123.197</v>
      </c>
      <c r="G160" s="3">
        <v>2</v>
      </c>
      <c r="H160" s="3">
        <v>103.417</v>
      </c>
      <c r="I160" s="3">
        <v>23.488</v>
      </c>
      <c r="J160" s="3">
        <v>13.887</v>
      </c>
      <c r="K160" s="3">
        <v>8.234</v>
      </c>
      <c r="L160" s="3">
        <v>3.327</v>
      </c>
      <c r="M160" s="3" t="s">
        <v>81</v>
      </c>
      <c r="N160" s="3" t="s">
        <v>81</v>
      </c>
      <c r="O160" s="3" t="s">
        <v>81</v>
      </c>
      <c r="P160" s="3" t="s">
        <v>81</v>
      </c>
      <c r="Q160" s="3">
        <v>119.68</v>
      </c>
      <c r="R160" s="3">
        <v>2</v>
      </c>
      <c r="S160" s="3">
        <v>101.58799999999999</v>
      </c>
      <c r="T160" s="3">
        <v>30.042999999999999</v>
      </c>
      <c r="U160" s="3">
        <v>12.492000000000001</v>
      </c>
      <c r="V160" s="3">
        <v>3.9849999999999999</v>
      </c>
      <c r="W160" s="3">
        <v>2.3849999999999998</v>
      </c>
      <c r="X160" s="3" t="s">
        <v>81</v>
      </c>
      <c r="Y160" s="3" t="s">
        <v>81</v>
      </c>
      <c r="Z160" s="3" t="s">
        <v>81</v>
      </c>
      <c r="AA160" s="3" t="s">
        <v>81</v>
      </c>
      <c r="AB160" s="3">
        <v>115.455</v>
      </c>
      <c r="AC160" s="3">
        <v>2</v>
      </c>
      <c r="AD160" s="3">
        <v>96.027000000000001</v>
      </c>
      <c r="AE160" s="3">
        <v>35.112000000000002</v>
      </c>
      <c r="AF160" s="3">
        <v>13.208</v>
      </c>
      <c r="AG160" s="3">
        <v>9.3719999999999999</v>
      </c>
      <c r="AH160" s="3">
        <v>4.2460000000000004</v>
      </c>
      <c r="AI160" s="3" t="s">
        <v>81</v>
      </c>
      <c r="AJ160" s="3" t="s">
        <v>81</v>
      </c>
      <c r="AK160" s="3" t="s">
        <v>81</v>
      </c>
      <c r="AL160" s="3" t="s">
        <v>81</v>
      </c>
      <c r="AM160" s="3">
        <v>121.813</v>
      </c>
      <c r="AN160" s="3">
        <v>2</v>
      </c>
      <c r="AO160" s="3">
        <v>102.44199999999999</v>
      </c>
      <c r="AP160" s="3">
        <v>27.623000000000001</v>
      </c>
      <c r="AQ160" s="3">
        <v>15.611000000000001</v>
      </c>
      <c r="AR160" s="3">
        <v>5.2939999999999996</v>
      </c>
      <c r="AS160" s="3">
        <v>2.8719999999999999</v>
      </c>
      <c r="AT160" s="3" t="s">
        <v>81</v>
      </c>
      <c r="AU160" s="3" t="s">
        <v>81</v>
      </c>
      <c r="AV160" s="3" t="s">
        <v>81</v>
      </c>
      <c r="AW160" s="3" t="s">
        <v>81</v>
      </c>
      <c r="AX160" s="3">
        <v>110.53</v>
      </c>
      <c r="AY160" s="3">
        <v>2</v>
      </c>
      <c r="AZ160" s="3">
        <v>93.765000000000001</v>
      </c>
      <c r="BA160" s="3">
        <v>29.641999999999999</v>
      </c>
      <c r="BB160" s="3">
        <v>6.8239999999999998</v>
      </c>
      <c r="BC160" s="3">
        <v>3.5760000000000001</v>
      </c>
      <c r="BD160" s="3" t="s">
        <v>81</v>
      </c>
      <c r="BE160" s="3" t="s">
        <v>81</v>
      </c>
      <c r="BF160" s="3" t="s">
        <v>81</v>
      </c>
      <c r="BG160" s="3" t="s">
        <v>81</v>
      </c>
      <c r="BH160" s="3" t="s">
        <v>81</v>
      </c>
      <c r="BI160" s="3" t="s">
        <v>84</v>
      </c>
      <c r="BJ160" s="3" t="s">
        <v>82</v>
      </c>
      <c r="BK160" s="3" t="s">
        <v>83</v>
      </c>
      <c r="BL160" s="3" t="s">
        <v>84</v>
      </c>
      <c r="BM160" s="3" t="s">
        <v>84</v>
      </c>
      <c r="BN160" s="3" t="s">
        <v>82</v>
      </c>
      <c r="BO160" s="3" t="s">
        <v>82</v>
      </c>
      <c r="BP160" s="3" t="s">
        <v>106</v>
      </c>
      <c r="BQ160" s="3" t="s">
        <v>106</v>
      </c>
      <c r="BR160" s="3" t="s">
        <v>106</v>
      </c>
      <c r="BS160" s="3" t="s">
        <v>106</v>
      </c>
      <c r="BT160" s="3" t="s">
        <v>106</v>
      </c>
      <c r="BU160" s="3" t="s">
        <v>81</v>
      </c>
      <c r="BV160" s="3" t="s">
        <v>82</v>
      </c>
      <c r="BW160" s="3" t="s">
        <v>111</v>
      </c>
      <c r="BX160" s="3" t="s">
        <v>82</v>
      </c>
      <c r="BY160" s="3" t="s">
        <v>331</v>
      </c>
      <c r="BZ160" s="3" t="s">
        <v>86</v>
      </c>
      <c r="CD160" s="9">
        <v>28</v>
      </c>
      <c r="CE160" s="9"/>
    </row>
    <row r="161" spans="1:87" ht="13" x14ac:dyDescent="0.15">
      <c r="A161" s="3">
        <v>1228603246</v>
      </c>
      <c r="B161" s="3" t="s">
        <v>294</v>
      </c>
      <c r="C161" s="3" t="s">
        <v>292</v>
      </c>
      <c r="D161" s="3">
        <v>7</v>
      </c>
      <c r="E161" s="3">
        <v>7</v>
      </c>
      <c r="F161" s="3">
        <v>16.704999999999998</v>
      </c>
      <c r="G161" s="3">
        <v>0</v>
      </c>
      <c r="H161" s="3" t="s">
        <v>81</v>
      </c>
      <c r="I161" s="3" t="s">
        <v>81</v>
      </c>
      <c r="J161" s="3" t="s">
        <v>81</v>
      </c>
      <c r="K161" s="3" t="s">
        <v>81</v>
      </c>
      <c r="L161" s="3" t="s">
        <v>81</v>
      </c>
      <c r="M161" s="3" t="s">
        <v>81</v>
      </c>
      <c r="N161" s="3" t="s">
        <v>81</v>
      </c>
      <c r="O161" s="3" t="s">
        <v>81</v>
      </c>
      <c r="P161" s="3" t="s">
        <v>81</v>
      </c>
      <c r="Q161" s="3">
        <v>12.236000000000001</v>
      </c>
      <c r="R161" s="3">
        <v>0</v>
      </c>
      <c r="S161" s="3" t="s">
        <v>81</v>
      </c>
      <c r="T161" s="3" t="s">
        <v>81</v>
      </c>
      <c r="U161" s="3" t="s">
        <v>81</v>
      </c>
      <c r="V161" s="3" t="s">
        <v>81</v>
      </c>
      <c r="W161" s="3" t="s">
        <v>81</v>
      </c>
      <c r="X161" s="3" t="s">
        <v>81</v>
      </c>
      <c r="Y161" s="3" t="s">
        <v>81</v>
      </c>
      <c r="Z161" s="3" t="s">
        <v>81</v>
      </c>
      <c r="AA161" s="3" t="s">
        <v>81</v>
      </c>
      <c r="AB161" s="3">
        <v>14.311999999999999</v>
      </c>
      <c r="AC161" s="3">
        <v>0</v>
      </c>
      <c r="AD161" s="3" t="s">
        <v>81</v>
      </c>
      <c r="AE161" s="3" t="s">
        <v>81</v>
      </c>
      <c r="AF161" s="3" t="s">
        <v>81</v>
      </c>
      <c r="AG161" s="3" t="s">
        <v>81</v>
      </c>
      <c r="AH161" s="3" t="s">
        <v>81</v>
      </c>
      <c r="AI161" s="3" t="s">
        <v>81</v>
      </c>
      <c r="AJ161" s="3" t="s">
        <v>81</v>
      </c>
      <c r="AK161" s="3" t="s">
        <v>81</v>
      </c>
      <c r="AL161" s="3" t="s">
        <v>81</v>
      </c>
      <c r="AM161" s="3">
        <v>10.646000000000001</v>
      </c>
      <c r="AN161" s="3">
        <v>0</v>
      </c>
      <c r="AO161" s="3" t="s">
        <v>81</v>
      </c>
      <c r="AP161" s="3" t="s">
        <v>81</v>
      </c>
      <c r="AQ161" s="3" t="s">
        <v>81</v>
      </c>
      <c r="AR161" s="3" t="s">
        <v>81</v>
      </c>
      <c r="AS161" s="3" t="s">
        <v>81</v>
      </c>
      <c r="AT161" s="3" t="s">
        <v>81</v>
      </c>
      <c r="AU161" s="3" t="s">
        <v>81</v>
      </c>
      <c r="AV161" s="3" t="s">
        <v>81</v>
      </c>
      <c r="AW161" s="3" t="s">
        <v>81</v>
      </c>
      <c r="AX161" s="3">
        <v>14.614000000000001</v>
      </c>
      <c r="AY161" s="3">
        <v>0</v>
      </c>
      <c r="AZ161" s="3" t="s">
        <v>81</v>
      </c>
      <c r="BA161" s="3" t="s">
        <v>81</v>
      </c>
      <c r="BB161" s="3" t="s">
        <v>81</v>
      </c>
      <c r="BC161" s="3" t="s">
        <v>81</v>
      </c>
      <c r="BD161" s="3" t="s">
        <v>81</v>
      </c>
      <c r="BE161" s="3" t="s">
        <v>81</v>
      </c>
      <c r="BF161" s="3" t="s">
        <v>81</v>
      </c>
      <c r="BG161" s="3" t="s">
        <v>81</v>
      </c>
      <c r="BH161" s="3" t="s">
        <v>81</v>
      </c>
      <c r="BI161" s="3" t="s">
        <v>84</v>
      </c>
      <c r="BJ161" s="3" t="s">
        <v>82</v>
      </c>
      <c r="BK161" s="3" t="s">
        <v>83</v>
      </c>
      <c r="BL161" s="3" t="s">
        <v>84</v>
      </c>
      <c r="BM161" s="3" t="s">
        <v>84</v>
      </c>
      <c r="BN161" s="3" t="s">
        <v>84</v>
      </c>
      <c r="BO161" s="3" t="s">
        <v>82</v>
      </c>
      <c r="BP161" s="3" t="s">
        <v>81</v>
      </c>
      <c r="BQ161" s="3" t="s">
        <v>81</v>
      </c>
      <c r="BR161" s="3" t="s">
        <v>81</v>
      </c>
      <c r="BS161" s="3" t="s">
        <v>81</v>
      </c>
      <c r="BT161" s="3" t="s">
        <v>81</v>
      </c>
      <c r="BU161" s="3" t="s">
        <v>81</v>
      </c>
      <c r="BV161" s="3" t="s">
        <v>84</v>
      </c>
      <c r="BW161" s="3" t="s">
        <v>83</v>
      </c>
      <c r="BX161" s="3" t="s">
        <v>82</v>
      </c>
      <c r="BZ161" s="3" t="s">
        <v>93</v>
      </c>
      <c r="CB161" s="3" t="s">
        <v>84</v>
      </c>
      <c r="CD161" s="9"/>
      <c r="CE161" s="9"/>
    </row>
    <row r="162" spans="1:87" ht="13" x14ac:dyDescent="0.15">
      <c r="A162" s="3">
        <v>1228368826</v>
      </c>
      <c r="B162" s="3" t="s">
        <v>294</v>
      </c>
      <c r="C162" s="3" t="s">
        <v>292</v>
      </c>
      <c r="D162" s="3">
        <v>4</v>
      </c>
      <c r="E162" s="3">
        <v>10</v>
      </c>
      <c r="F162" s="3">
        <v>29.163</v>
      </c>
      <c r="G162" s="3">
        <v>0</v>
      </c>
      <c r="H162" s="3" t="s">
        <v>81</v>
      </c>
      <c r="I162" s="3" t="s">
        <v>81</v>
      </c>
      <c r="J162" s="3" t="s">
        <v>81</v>
      </c>
      <c r="K162" s="3" t="s">
        <v>81</v>
      </c>
      <c r="L162" s="3" t="s">
        <v>81</v>
      </c>
      <c r="M162" s="3" t="s">
        <v>81</v>
      </c>
      <c r="N162" s="3" t="s">
        <v>81</v>
      </c>
      <c r="O162" s="3" t="s">
        <v>81</v>
      </c>
      <c r="P162" s="3" t="s">
        <v>81</v>
      </c>
      <c r="Q162" s="3">
        <v>26.446999999999999</v>
      </c>
      <c r="R162" s="3">
        <v>0</v>
      </c>
      <c r="S162" s="3" t="s">
        <v>81</v>
      </c>
      <c r="T162" s="3" t="s">
        <v>81</v>
      </c>
      <c r="U162" s="3" t="s">
        <v>81</v>
      </c>
      <c r="V162" s="3" t="s">
        <v>81</v>
      </c>
      <c r="W162" s="3" t="s">
        <v>81</v>
      </c>
      <c r="X162" s="3" t="s">
        <v>81</v>
      </c>
      <c r="Y162" s="3" t="s">
        <v>81</v>
      </c>
      <c r="Z162" s="3" t="s">
        <v>81</v>
      </c>
      <c r="AA162" s="3" t="s">
        <v>81</v>
      </c>
      <c r="AB162" s="3">
        <v>31.611999999999998</v>
      </c>
      <c r="AC162" s="3">
        <v>0</v>
      </c>
      <c r="AD162" s="3" t="s">
        <v>81</v>
      </c>
      <c r="AE162" s="3" t="s">
        <v>81</v>
      </c>
      <c r="AF162" s="3" t="s">
        <v>81</v>
      </c>
      <c r="AG162" s="3" t="s">
        <v>81</v>
      </c>
      <c r="AH162" s="3" t="s">
        <v>81</v>
      </c>
      <c r="AI162" s="3" t="s">
        <v>81</v>
      </c>
      <c r="AJ162" s="3" t="s">
        <v>81</v>
      </c>
      <c r="AK162" s="3" t="s">
        <v>81</v>
      </c>
      <c r="AL162" s="3" t="s">
        <v>81</v>
      </c>
      <c r="AM162" s="3">
        <v>30.303000000000001</v>
      </c>
      <c r="AN162" s="3">
        <v>0</v>
      </c>
      <c r="AO162" s="3" t="s">
        <v>81</v>
      </c>
      <c r="AP162" s="3" t="s">
        <v>81</v>
      </c>
      <c r="AQ162" s="3" t="s">
        <v>81</v>
      </c>
      <c r="AR162" s="3" t="s">
        <v>81</v>
      </c>
      <c r="AS162" s="3" t="s">
        <v>81</v>
      </c>
      <c r="AT162" s="3" t="s">
        <v>81</v>
      </c>
      <c r="AU162" s="3" t="s">
        <v>81</v>
      </c>
      <c r="AV162" s="3" t="s">
        <v>81</v>
      </c>
      <c r="AW162" s="3" t="s">
        <v>81</v>
      </c>
      <c r="AX162" s="3">
        <v>31.555</v>
      </c>
      <c r="AY162" s="3">
        <v>0</v>
      </c>
      <c r="AZ162" s="3" t="s">
        <v>81</v>
      </c>
      <c r="BA162" s="3" t="s">
        <v>81</v>
      </c>
      <c r="BB162" s="3" t="s">
        <v>81</v>
      </c>
      <c r="BC162" s="3" t="s">
        <v>81</v>
      </c>
      <c r="BD162" s="3" t="s">
        <v>81</v>
      </c>
      <c r="BE162" s="3" t="s">
        <v>81</v>
      </c>
      <c r="BF162" s="3" t="s">
        <v>81</v>
      </c>
      <c r="BG162" s="3" t="s">
        <v>81</v>
      </c>
      <c r="BH162" s="3" t="s">
        <v>81</v>
      </c>
      <c r="BI162" s="3" t="s">
        <v>84</v>
      </c>
      <c r="BJ162" s="3" t="s">
        <v>82</v>
      </c>
      <c r="BK162" s="3" t="s">
        <v>83</v>
      </c>
      <c r="BL162" s="3" t="s">
        <v>84</v>
      </c>
      <c r="BM162" s="3" t="s">
        <v>84</v>
      </c>
      <c r="BN162" s="3" t="s">
        <v>84</v>
      </c>
      <c r="BO162" s="3" t="s">
        <v>83</v>
      </c>
      <c r="BP162" s="3" t="s">
        <v>81</v>
      </c>
      <c r="BQ162" s="3" t="s">
        <v>81</v>
      </c>
      <c r="BR162" s="3" t="s">
        <v>81</v>
      </c>
      <c r="BS162" s="3" t="s">
        <v>81</v>
      </c>
      <c r="BT162" s="3" t="s">
        <v>81</v>
      </c>
      <c r="BU162" s="3" t="s">
        <v>81</v>
      </c>
      <c r="BV162" s="3" t="s">
        <v>84</v>
      </c>
      <c r="BW162" s="3" t="s">
        <v>83</v>
      </c>
      <c r="BX162" s="3" t="s">
        <v>82</v>
      </c>
      <c r="BY162" s="3" t="s">
        <v>295</v>
      </c>
      <c r="BZ162" s="3" t="s">
        <v>93</v>
      </c>
      <c r="CB162" s="3" t="s">
        <v>84</v>
      </c>
      <c r="CD162" s="9">
        <v>10</v>
      </c>
      <c r="CE162" s="9">
        <v>7</v>
      </c>
    </row>
    <row r="163" spans="1:87" ht="13" x14ac:dyDescent="0.15">
      <c r="A163" s="9" t="s">
        <v>537</v>
      </c>
      <c r="B163" s="9" t="s">
        <v>538</v>
      </c>
      <c r="C163" s="9" t="s">
        <v>538</v>
      </c>
      <c r="D163">
        <v>2</v>
      </c>
      <c r="E163">
        <v>3</v>
      </c>
      <c r="F163" s="9">
        <f>SUM(67.14+22.11+19.52)</f>
        <v>108.77</v>
      </c>
      <c r="G163" s="3">
        <v>0</v>
      </c>
      <c r="H163" s="3" t="s">
        <v>81</v>
      </c>
      <c r="I163" s="3" t="s">
        <v>81</v>
      </c>
      <c r="J163" s="3" t="s">
        <v>81</v>
      </c>
      <c r="K163" s="3" t="s">
        <v>81</v>
      </c>
      <c r="L163" s="3" t="s">
        <v>81</v>
      </c>
      <c r="M163" s="3" t="s">
        <v>81</v>
      </c>
      <c r="N163" s="3" t="s">
        <v>81</v>
      </c>
      <c r="O163" s="3" t="s">
        <v>81</v>
      </c>
      <c r="P163" s="3" t="s">
        <v>81</v>
      </c>
      <c r="Q163">
        <f xml:space="preserve"> SUM(22.75+22.66+34.03+18+17.5)</f>
        <v>114.94</v>
      </c>
      <c r="R163" s="3">
        <v>0</v>
      </c>
      <c r="S163" s="3" t="s">
        <v>81</v>
      </c>
      <c r="T163" s="3" t="s">
        <v>81</v>
      </c>
      <c r="U163" s="3" t="s">
        <v>81</v>
      </c>
      <c r="V163" s="3" t="s">
        <v>81</v>
      </c>
      <c r="W163" s="3" t="s">
        <v>81</v>
      </c>
      <c r="X163" s="3" t="s">
        <v>81</v>
      </c>
      <c r="Y163" s="3" t="s">
        <v>81</v>
      </c>
      <c r="Z163" s="3" t="s">
        <v>81</v>
      </c>
      <c r="AA163" s="3" t="s">
        <v>81</v>
      </c>
      <c r="AB163">
        <f>SUM(57+46.24)</f>
        <v>103.24000000000001</v>
      </c>
      <c r="AC163" s="3">
        <v>0</v>
      </c>
      <c r="AD163" s="3" t="s">
        <v>81</v>
      </c>
      <c r="AE163" s="3" t="s">
        <v>81</v>
      </c>
      <c r="AF163" s="3" t="s">
        <v>81</v>
      </c>
      <c r="AG163" s="3" t="s">
        <v>81</v>
      </c>
      <c r="AH163" s="3" t="s">
        <v>81</v>
      </c>
      <c r="AI163" s="3" t="s">
        <v>81</v>
      </c>
      <c r="AJ163" s="3" t="s">
        <v>81</v>
      </c>
      <c r="AK163" s="3" t="s">
        <v>81</v>
      </c>
      <c r="AL163" s="3" t="s">
        <v>81</v>
      </c>
      <c r="AM163" s="3" t="s">
        <v>81</v>
      </c>
      <c r="AN163" s="3">
        <v>0</v>
      </c>
      <c r="AO163" s="3" t="s">
        <v>81</v>
      </c>
      <c r="AP163" s="3" t="s">
        <v>81</v>
      </c>
      <c r="AQ163" s="3" t="s">
        <v>81</v>
      </c>
      <c r="AR163" s="3" t="s">
        <v>81</v>
      </c>
      <c r="AS163" s="3" t="s">
        <v>81</v>
      </c>
      <c r="AT163" s="3" t="s">
        <v>81</v>
      </c>
      <c r="AU163" s="3" t="s">
        <v>81</v>
      </c>
      <c r="AV163" s="3" t="s">
        <v>81</v>
      </c>
      <c r="AW163" s="3" t="s">
        <v>81</v>
      </c>
      <c r="AX163" s="3" t="s">
        <v>81</v>
      </c>
      <c r="AY163" s="3" t="s">
        <v>81</v>
      </c>
      <c r="AZ163" s="3" t="s">
        <v>81</v>
      </c>
      <c r="BA163" s="3" t="s">
        <v>81</v>
      </c>
      <c r="BB163" s="3" t="s">
        <v>81</v>
      </c>
      <c r="BC163" s="3" t="s">
        <v>81</v>
      </c>
      <c r="BD163" s="3" t="s">
        <v>81</v>
      </c>
      <c r="BE163" s="3" t="s">
        <v>81</v>
      </c>
      <c r="BF163" s="3" t="s">
        <v>81</v>
      </c>
      <c r="BG163" s="3" t="s">
        <v>81</v>
      </c>
      <c r="BH163" s="3" t="s">
        <v>81</v>
      </c>
      <c r="BI163" s="3" t="s">
        <v>84</v>
      </c>
      <c r="BJ163" s="3" t="s">
        <v>82</v>
      </c>
      <c r="BK163" s="3" t="s">
        <v>83</v>
      </c>
      <c r="BL163" s="3" t="s">
        <v>84</v>
      </c>
      <c r="BM163" s="3" t="s">
        <v>84</v>
      </c>
      <c r="BN163" s="3" t="s">
        <v>84</v>
      </c>
      <c r="BO163" s="3" t="s">
        <v>84</v>
      </c>
      <c r="BV163" s="3"/>
      <c r="BW163" s="3"/>
      <c r="BX163" s="3"/>
      <c r="BZ163" s="9" t="s">
        <v>540</v>
      </c>
      <c r="CB163" s="9" t="s">
        <v>84</v>
      </c>
      <c r="CG163">
        <v>3</v>
      </c>
    </row>
    <row r="164" spans="1:87" ht="13" x14ac:dyDescent="0.15">
      <c r="A164" s="9" t="s">
        <v>539</v>
      </c>
      <c r="B164" s="9" t="s">
        <v>538</v>
      </c>
      <c r="C164" s="9" t="s">
        <v>538</v>
      </c>
      <c r="D164">
        <v>1</v>
      </c>
      <c r="E164">
        <v>5</v>
      </c>
      <c r="F164">
        <f>SUM(11.58+50.9+30.07+8.57)</f>
        <v>101.12</v>
      </c>
      <c r="G164" s="3">
        <v>0</v>
      </c>
      <c r="H164" s="3" t="s">
        <v>81</v>
      </c>
      <c r="I164" s="3" t="s">
        <v>81</v>
      </c>
      <c r="J164" s="3" t="s">
        <v>81</v>
      </c>
      <c r="K164" s="3" t="s">
        <v>81</v>
      </c>
      <c r="L164" s="3" t="s">
        <v>81</v>
      </c>
      <c r="M164" s="3" t="s">
        <v>81</v>
      </c>
      <c r="N164" s="3" t="s">
        <v>81</v>
      </c>
      <c r="O164" s="3" t="s">
        <v>81</v>
      </c>
      <c r="P164" s="3" t="s">
        <v>81</v>
      </c>
      <c r="Q164">
        <f>SUM(19.55+51.06+12.57+10.95+7.06)</f>
        <v>101.19000000000001</v>
      </c>
      <c r="R164" s="3">
        <v>0</v>
      </c>
      <c r="S164" s="3" t="s">
        <v>81</v>
      </c>
      <c r="T164" s="3" t="s">
        <v>81</v>
      </c>
      <c r="U164" s="3" t="s">
        <v>81</v>
      </c>
      <c r="V164" s="3" t="s">
        <v>81</v>
      </c>
      <c r="W164" s="3" t="s">
        <v>81</v>
      </c>
      <c r="X164" s="3" t="s">
        <v>81</v>
      </c>
      <c r="Y164" s="3" t="s">
        <v>81</v>
      </c>
      <c r="Z164" s="3" t="s">
        <v>81</v>
      </c>
      <c r="AA164" s="3" t="s">
        <v>81</v>
      </c>
      <c r="AB164" s="3">
        <f>SUM(83.26+13.28+4.56)</f>
        <v>101.10000000000001</v>
      </c>
      <c r="AC164" s="3">
        <v>0</v>
      </c>
      <c r="AD164" s="3" t="s">
        <v>81</v>
      </c>
      <c r="AE164" s="3" t="s">
        <v>81</v>
      </c>
      <c r="AF164" s="3" t="s">
        <v>81</v>
      </c>
      <c r="AG164" s="3" t="s">
        <v>81</v>
      </c>
      <c r="AH164" s="3" t="s">
        <v>81</v>
      </c>
      <c r="AI164" s="3" t="s">
        <v>81</v>
      </c>
      <c r="AJ164" s="3" t="s">
        <v>81</v>
      </c>
      <c r="AK164" s="3" t="s">
        <v>81</v>
      </c>
      <c r="AL164" s="3" t="s">
        <v>81</v>
      </c>
      <c r="AM164" s="3">
        <f>SUM(29.01+60.72)</f>
        <v>89.73</v>
      </c>
      <c r="AN164" s="3">
        <v>0</v>
      </c>
      <c r="AO164" s="3" t="s">
        <v>81</v>
      </c>
      <c r="AP164" s="3" t="s">
        <v>81</v>
      </c>
      <c r="AQ164" s="3" t="s">
        <v>81</v>
      </c>
      <c r="AR164" s="3" t="s">
        <v>81</v>
      </c>
      <c r="AS164" s="3" t="s">
        <v>81</v>
      </c>
      <c r="AT164" s="3" t="s">
        <v>81</v>
      </c>
      <c r="AU164" s="3" t="s">
        <v>81</v>
      </c>
      <c r="AV164" s="3" t="s">
        <v>81</v>
      </c>
      <c r="AW164" s="3" t="s">
        <v>81</v>
      </c>
      <c r="AX164" s="3" t="s">
        <v>81</v>
      </c>
      <c r="AY164" s="3">
        <f>SUM(32.37+30.77)</f>
        <v>63.14</v>
      </c>
      <c r="AZ164" s="3" t="s">
        <v>81</v>
      </c>
      <c r="BA164" s="3" t="s">
        <v>81</v>
      </c>
      <c r="BB164" s="3" t="s">
        <v>81</v>
      </c>
      <c r="BC164" s="3" t="s">
        <v>81</v>
      </c>
      <c r="BD164" s="3" t="s">
        <v>81</v>
      </c>
      <c r="BE164" s="3" t="s">
        <v>81</v>
      </c>
      <c r="BF164" s="3" t="s">
        <v>81</v>
      </c>
      <c r="BG164" s="3" t="s">
        <v>81</v>
      </c>
      <c r="BH164" s="3" t="s">
        <v>81</v>
      </c>
      <c r="BI164" s="3" t="s">
        <v>84</v>
      </c>
      <c r="BJ164" s="3" t="s">
        <v>82</v>
      </c>
      <c r="BK164" s="3" t="s">
        <v>83</v>
      </c>
      <c r="BL164" s="3" t="s">
        <v>84</v>
      </c>
      <c r="BM164" s="3" t="s">
        <v>84</v>
      </c>
      <c r="BN164" s="3" t="s">
        <v>84</v>
      </c>
      <c r="BO164" s="3"/>
      <c r="BV164" s="3"/>
      <c r="BW164" s="3"/>
      <c r="BX164" s="3"/>
      <c r="BZ164" s="9" t="s">
        <v>540</v>
      </c>
      <c r="CB164" s="9" t="s">
        <v>84</v>
      </c>
      <c r="CD164">
        <v>5</v>
      </c>
      <c r="CG164">
        <v>5</v>
      </c>
      <c r="CI164" s="5"/>
    </row>
    <row r="165" spans="1:87" ht="13" x14ac:dyDescent="0.15">
      <c r="A165" s="3">
        <v>2643392942</v>
      </c>
      <c r="B165" s="3" t="s">
        <v>332</v>
      </c>
      <c r="C165" s="3" t="s">
        <v>561</v>
      </c>
      <c r="D165" s="3" t="s">
        <v>81</v>
      </c>
      <c r="E165" s="3">
        <v>59</v>
      </c>
      <c r="F165" s="3">
        <v>51.27</v>
      </c>
      <c r="G165" s="3">
        <v>0</v>
      </c>
      <c r="H165" s="3" t="s">
        <v>81</v>
      </c>
      <c r="I165" s="3" t="s">
        <v>81</v>
      </c>
      <c r="J165" s="3" t="s">
        <v>81</v>
      </c>
      <c r="K165" s="3" t="s">
        <v>81</v>
      </c>
      <c r="L165" s="3" t="s">
        <v>81</v>
      </c>
      <c r="M165" s="3" t="s">
        <v>81</v>
      </c>
      <c r="N165" s="3" t="s">
        <v>81</v>
      </c>
      <c r="O165" s="3" t="s">
        <v>81</v>
      </c>
      <c r="P165" s="3" t="s">
        <v>81</v>
      </c>
      <c r="Q165" s="3">
        <v>53.011000000000003</v>
      </c>
      <c r="R165" s="3">
        <v>0</v>
      </c>
      <c r="S165" s="3" t="s">
        <v>81</v>
      </c>
      <c r="T165" s="3" t="s">
        <v>81</v>
      </c>
      <c r="U165" s="3" t="s">
        <v>81</v>
      </c>
      <c r="V165" s="3" t="s">
        <v>81</v>
      </c>
      <c r="W165" s="3" t="s">
        <v>81</v>
      </c>
      <c r="X165" s="3" t="s">
        <v>81</v>
      </c>
      <c r="Y165" s="3" t="s">
        <v>81</v>
      </c>
      <c r="Z165" s="3" t="s">
        <v>81</v>
      </c>
      <c r="AA165" s="3" t="s">
        <v>81</v>
      </c>
      <c r="AB165" s="3">
        <v>58.597999999999999</v>
      </c>
      <c r="AC165" s="3">
        <v>0</v>
      </c>
      <c r="AD165" s="3" t="s">
        <v>81</v>
      </c>
      <c r="AE165" s="3" t="s">
        <v>81</v>
      </c>
      <c r="AF165" s="3" t="s">
        <v>81</v>
      </c>
      <c r="AG165" s="3" t="s">
        <v>81</v>
      </c>
      <c r="AH165" s="3" t="s">
        <v>81</v>
      </c>
      <c r="AI165" s="3" t="s">
        <v>81</v>
      </c>
      <c r="AJ165" s="3" t="s">
        <v>81</v>
      </c>
      <c r="AK165" s="3" t="s">
        <v>81</v>
      </c>
      <c r="AL165" s="3" t="s">
        <v>81</v>
      </c>
      <c r="AM165" s="3">
        <v>44.433</v>
      </c>
      <c r="AN165" s="3">
        <v>0</v>
      </c>
      <c r="AO165" s="3" t="s">
        <v>81</v>
      </c>
      <c r="AP165" s="3" t="s">
        <v>81</v>
      </c>
      <c r="AQ165" s="3" t="s">
        <v>81</v>
      </c>
      <c r="AR165" s="3" t="s">
        <v>81</v>
      </c>
      <c r="AS165" s="3" t="s">
        <v>81</v>
      </c>
      <c r="AT165" s="3" t="s">
        <v>81</v>
      </c>
      <c r="AU165" s="3" t="s">
        <v>81</v>
      </c>
      <c r="AV165" s="3" t="s">
        <v>81</v>
      </c>
      <c r="AW165" s="3" t="s">
        <v>81</v>
      </c>
      <c r="AX165" s="3">
        <v>50.73</v>
      </c>
      <c r="AY165" s="3">
        <v>0</v>
      </c>
      <c r="AZ165" s="3" t="s">
        <v>81</v>
      </c>
      <c r="BA165" s="3" t="s">
        <v>81</v>
      </c>
      <c r="BB165" s="3" t="s">
        <v>81</v>
      </c>
      <c r="BC165" s="3" t="s">
        <v>81</v>
      </c>
      <c r="BD165" s="3" t="s">
        <v>81</v>
      </c>
      <c r="BE165" s="3" t="s">
        <v>81</v>
      </c>
      <c r="BF165" s="3" t="s">
        <v>81</v>
      </c>
      <c r="BG165" s="3" t="s">
        <v>81</v>
      </c>
      <c r="BH165" s="3" t="s">
        <v>81</v>
      </c>
      <c r="BI165" s="3" t="s">
        <v>84</v>
      </c>
      <c r="BJ165" s="3" t="s">
        <v>82</v>
      </c>
      <c r="BK165" s="3" t="s">
        <v>83</v>
      </c>
      <c r="BL165" s="3" t="s">
        <v>84</v>
      </c>
      <c r="BM165" s="3" t="s">
        <v>84</v>
      </c>
      <c r="BN165" s="3" t="s">
        <v>84</v>
      </c>
      <c r="BO165" s="3" t="s">
        <v>82</v>
      </c>
      <c r="BP165" s="3" t="s">
        <v>334</v>
      </c>
      <c r="BQ165" s="3" t="s">
        <v>334</v>
      </c>
      <c r="BR165" s="3" t="s">
        <v>335</v>
      </c>
      <c r="BS165" s="3" t="s">
        <v>335</v>
      </c>
      <c r="BT165" s="3" t="s">
        <v>98</v>
      </c>
      <c r="BU165" s="3" t="s">
        <v>85</v>
      </c>
      <c r="BV165" s="3" t="s">
        <v>82</v>
      </c>
      <c r="BW165" s="3" t="s">
        <v>91</v>
      </c>
      <c r="BX165" s="3" t="s">
        <v>82</v>
      </c>
      <c r="BY165" s="3" t="s">
        <v>336</v>
      </c>
      <c r="BZ165" s="3" t="s">
        <v>86</v>
      </c>
      <c r="CA165" s="3"/>
      <c r="CB165" s="3" t="s">
        <v>84</v>
      </c>
      <c r="CC165" s="3"/>
      <c r="CD165" s="9">
        <v>60</v>
      </c>
      <c r="CE165" s="9"/>
      <c r="CF165" s="6"/>
      <c r="CG165" s="6"/>
      <c r="CH165" s="6"/>
    </row>
    <row r="166" spans="1:87" ht="13" hidden="1" x14ac:dyDescent="0.15">
      <c r="A166" s="3">
        <v>1847932973</v>
      </c>
      <c r="B166" s="3" t="s">
        <v>341</v>
      </c>
      <c r="C166" s="3" t="s">
        <v>341</v>
      </c>
      <c r="D166" s="3">
        <v>8</v>
      </c>
      <c r="E166" s="3">
        <v>11</v>
      </c>
      <c r="F166" s="3">
        <v>13.827999999999999</v>
      </c>
      <c r="G166" s="3">
        <v>0</v>
      </c>
      <c r="H166" s="3" t="s">
        <v>81</v>
      </c>
      <c r="I166" s="3" t="s">
        <v>81</v>
      </c>
      <c r="J166" s="3" t="s">
        <v>81</v>
      </c>
      <c r="K166" s="3" t="s">
        <v>81</v>
      </c>
      <c r="L166" s="3" t="s">
        <v>81</v>
      </c>
      <c r="M166" s="3" t="s">
        <v>81</v>
      </c>
      <c r="N166" s="3" t="s">
        <v>81</v>
      </c>
      <c r="O166" s="3" t="s">
        <v>81</v>
      </c>
      <c r="P166" s="3" t="s">
        <v>81</v>
      </c>
      <c r="Q166" s="3">
        <v>11.589</v>
      </c>
      <c r="R166" s="3">
        <v>0</v>
      </c>
      <c r="S166" s="3" t="s">
        <v>81</v>
      </c>
      <c r="T166" s="3" t="s">
        <v>81</v>
      </c>
      <c r="U166" s="3" t="s">
        <v>81</v>
      </c>
      <c r="V166" s="3" t="s">
        <v>81</v>
      </c>
      <c r="W166" s="3" t="s">
        <v>81</v>
      </c>
      <c r="X166" s="3" t="s">
        <v>81</v>
      </c>
      <c r="Y166" s="3" t="s">
        <v>81</v>
      </c>
      <c r="Z166" s="3" t="s">
        <v>81</v>
      </c>
      <c r="AA166" s="3" t="s">
        <v>81</v>
      </c>
      <c r="AB166" s="3">
        <v>14.214</v>
      </c>
      <c r="AC166" s="3">
        <v>0</v>
      </c>
      <c r="AD166" s="3" t="s">
        <v>81</v>
      </c>
      <c r="AE166" s="3" t="s">
        <v>81</v>
      </c>
      <c r="AF166" s="3" t="s">
        <v>81</v>
      </c>
      <c r="AG166" s="3" t="s">
        <v>81</v>
      </c>
      <c r="AH166" s="3" t="s">
        <v>81</v>
      </c>
      <c r="AI166" s="3" t="s">
        <v>81</v>
      </c>
      <c r="AJ166" s="3" t="s">
        <v>81</v>
      </c>
      <c r="AK166" s="3" t="s">
        <v>81</v>
      </c>
      <c r="AL166" s="3" t="s">
        <v>81</v>
      </c>
      <c r="AM166" s="3">
        <v>8.52</v>
      </c>
      <c r="AN166" s="3">
        <v>0</v>
      </c>
      <c r="AO166" s="3" t="s">
        <v>81</v>
      </c>
      <c r="AP166" s="3" t="s">
        <v>81</v>
      </c>
      <c r="AQ166" s="3" t="s">
        <v>81</v>
      </c>
      <c r="AR166" s="3" t="s">
        <v>81</v>
      </c>
      <c r="AS166" s="3" t="s">
        <v>81</v>
      </c>
      <c r="AT166" s="3" t="s">
        <v>81</v>
      </c>
      <c r="AU166" s="3" t="s">
        <v>81</v>
      </c>
      <c r="AV166" s="3" t="s">
        <v>81</v>
      </c>
      <c r="AW166" s="3" t="s">
        <v>81</v>
      </c>
      <c r="AX166" s="3">
        <v>9.7569999999999997</v>
      </c>
      <c r="AY166" s="3">
        <v>0</v>
      </c>
      <c r="AZ166" s="3" t="s">
        <v>81</v>
      </c>
      <c r="BA166" s="3" t="s">
        <v>81</v>
      </c>
      <c r="BB166" s="3" t="s">
        <v>81</v>
      </c>
      <c r="BC166" s="3" t="s">
        <v>81</v>
      </c>
      <c r="BD166" s="3" t="s">
        <v>81</v>
      </c>
      <c r="BE166" s="3" t="s">
        <v>81</v>
      </c>
      <c r="BF166" s="3" t="s">
        <v>81</v>
      </c>
      <c r="BG166" s="3" t="s">
        <v>81</v>
      </c>
      <c r="BH166" s="3" t="s">
        <v>81</v>
      </c>
      <c r="BI166" s="3" t="s">
        <v>82</v>
      </c>
      <c r="BJ166" s="3" t="s">
        <v>84</v>
      </c>
      <c r="BK166" s="3" t="s">
        <v>82</v>
      </c>
      <c r="BL166" s="3" t="s">
        <v>84</v>
      </c>
      <c r="BM166" s="3" t="s">
        <v>84</v>
      </c>
      <c r="BN166" s="3" t="s">
        <v>84</v>
      </c>
      <c r="BO166" s="3" t="s">
        <v>82</v>
      </c>
      <c r="BP166" s="3" t="s">
        <v>87</v>
      </c>
      <c r="BQ166" s="3" t="s">
        <v>87</v>
      </c>
      <c r="BR166" s="3" t="s">
        <v>87</v>
      </c>
      <c r="BS166" s="3" t="s">
        <v>87</v>
      </c>
      <c r="BT166" s="3" t="s">
        <v>87</v>
      </c>
      <c r="BU166" s="3" t="s">
        <v>81</v>
      </c>
      <c r="BV166" s="3" t="s">
        <v>84</v>
      </c>
      <c r="BW166" s="3" t="s">
        <v>83</v>
      </c>
      <c r="BX166" s="3" t="s">
        <v>82</v>
      </c>
      <c r="BY166" s="3" t="s">
        <v>342</v>
      </c>
      <c r="BZ166" s="3" t="s">
        <v>93</v>
      </c>
      <c r="CA166" s="3" t="s">
        <v>343</v>
      </c>
      <c r="CB166" s="3"/>
      <c r="CC166" s="3"/>
      <c r="CD166" s="9"/>
      <c r="CE166" s="3"/>
      <c r="CF166" s="4"/>
      <c r="CG166" s="4"/>
      <c r="CH166" s="4"/>
      <c r="CI166" s="5"/>
    </row>
    <row r="167" spans="1:87" ht="13" hidden="1" x14ac:dyDescent="0.15">
      <c r="A167" s="3">
        <v>1847943293</v>
      </c>
      <c r="B167" s="3" t="s">
        <v>344</v>
      </c>
      <c r="C167" s="3" t="s">
        <v>344</v>
      </c>
      <c r="D167" s="3">
        <v>8</v>
      </c>
      <c r="E167" s="3">
        <v>15</v>
      </c>
      <c r="F167" s="3" t="s">
        <v>81</v>
      </c>
      <c r="G167" s="3" t="s">
        <v>81</v>
      </c>
      <c r="H167" s="3" t="s">
        <v>81</v>
      </c>
      <c r="I167" s="3" t="s">
        <v>81</v>
      </c>
      <c r="J167" s="3" t="s">
        <v>81</v>
      </c>
      <c r="K167" s="3" t="s">
        <v>81</v>
      </c>
      <c r="L167" s="3" t="s">
        <v>81</v>
      </c>
      <c r="M167" s="3" t="s">
        <v>81</v>
      </c>
      <c r="N167" s="3" t="s">
        <v>81</v>
      </c>
      <c r="O167" s="3" t="s">
        <v>81</v>
      </c>
      <c r="P167" s="3" t="s">
        <v>81</v>
      </c>
      <c r="Q167" s="3" t="s">
        <v>81</v>
      </c>
      <c r="R167" s="3" t="s">
        <v>81</v>
      </c>
      <c r="S167" s="3" t="s">
        <v>81</v>
      </c>
      <c r="T167" s="3" t="s">
        <v>81</v>
      </c>
      <c r="U167" s="3" t="s">
        <v>81</v>
      </c>
      <c r="V167" s="3" t="s">
        <v>81</v>
      </c>
      <c r="W167" s="3" t="s">
        <v>81</v>
      </c>
      <c r="X167" s="3" t="s">
        <v>81</v>
      </c>
      <c r="Y167" s="3" t="s">
        <v>81</v>
      </c>
      <c r="Z167" s="3" t="s">
        <v>81</v>
      </c>
      <c r="AA167" s="3" t="s">
        <v>81</v>
      </c>
      <c r="AB167" s="3" t="s">
        <v>81</v>
      </c>
      <c r="AC167" s="3" t="s">
        <v>81</v>
      </c>
      <c r="AD167" s="3" t="s">
        <v>81</v>
      </c>
      <c r="AE167" s="3" t="s">
        <v>81</v>
      </c>
      <c r="AF167" s="3" t="s">
        <v>81</v>
      </c>
      <c r="AG167" s="3" t="s">
        <v>81</v>
      </c>
      <c r="AH167" s="3" t="s">
        <v>81</v>
      </c>
      <c r="AI167" s="3" t="s">
        <v>81</v>
      </c>
      <c r="AJ167" s="3" t="s">
        <v>81</v>
      </c>
      <c r="AK167" s="3" t="s">
        <v>81</v>
      </c>
      <c r="AL167" s="3" t="s">
        <v>81</v>
      </c>
      <c r="AM167" s="3" t="s">
        <v>81</v>
      </c>
      <c r="AN167" s="3" t="s">
        <v>81</v>
      </c>
      <c r="AO167" s="3" t="s">
        <v>81</v>
      </c>
      <c r="AP167" s="3" t="s">
        <v>81</v>
      </c>
      <c r="AQ167" s="3" t="s">
        <v>81</v>
      </c>
      <c r="AR167" s="3" t="s">
        <v>81</v>
      </c>
      <c r="AS167" s="3" t="s">
        <v>81</v>
      </c>
      <c r="AT167" s="3" t="s">
        <v>81</v>
      </c>
      <c r="AU167" s="3" t="s">
        <v>81</v>
      </c>
      <c r="AV167" s="3" t="s">
        <v>81</v>
      </c>
      <c r="AW167" s="3" t="s">
        <v>81</v>
      </c>
      <c r="AX167" s="3" t="s">
        <v>81</v>
      </c>
      <c r="AY167" s="3" t="s">
        <v>81</v>
      </c>
      <c r="AZ167" s="3" t="s">
        <v>81</v>
      </c>
      <c r="BA167" s="3" t="s">
        <v>81</v>
      </c>
      <c r="BB167" s="3" t="s">
        <v>81</v>
      </c>
      <c r="BC167" s="3" t="s">
        <v>81</v>
      </c>
      <c r="BD167" s="3" t="s">
        <v>81</v>
      </c>
      <c r="BE167" s="3" t="s">
        <v>81</v>
      </c>
      <c r="BF167" s="3" t="s">
        <v>81</v>
      </c>
      <c r="BG167" s="3" t="s">
        <v>81</v>
      </c>
      <c r="BH167" s="3" t="s">
        <v>81</v>
      </c>
      <c r="BI167" s="3" t="s">
        <v>84</v>
      </c>
      <c r="BJ167" s="3" t="s">
        <v>84</v>
      </c>
      <c r="BK167" s="3" t="s">
        <v>84</v>
      </c>
      <c r="BL167" s="3" t="s">
        <v>84</v>
      </c>
      <c r="BM167" s="3" t="s">
        <v>84</v>
      </c>
      <c r="BN167" s="3" t="s">
        <v>82</v>
      </c>
      <c r="BO167" s="3" t="s">
        <v>84</v>
      </c>
      <c r="BP167" s="3" t="s">
        <v>87</v>
      </c>
      <c r="BQ167" s="3" t="s">
        <v>87</v>
      </c>
      <c r="BR167" s="3" t="s">
        <v>345</v>
      </c>
      <c r="BS167" s="3" t="s">
        <v>346</v>
      </c>
      <c r="BT167" s="3" t="s">
        <v>87</v>
      </c>
      <c r="BU167" s="3" t="s">
        <v>81</v>
      </c>
      <c r="BV167" s="3" t="s">
        <v>84</v>
      </c>
      <c r="BW167" s="3" t="s">
        <v>83</v>
      </c>
      <c r="BX167" s="3" t="s">
        <v>82</v>
      </c>
      <c r="BY167" s="3" t="s">
        <v>347</v>
      </c>
      <c r="BZ167" s="3" t="s">
        <v>93</v>
      </c>
      <c r="CA167" s="3"/>
      <c r="CB167" s="3"/>
      <c r="CC167" s="3"/>
      <c r="CD167" s="9">
        <v>51</v>
      </c>
      <c r="CE167" s="3"/>
      <c r="CF167" s="6"/>
      <c r="CG167" s="6"/>
      <c r="CH167" s="6"/>
    </row>
    <row r="168" spans="1:87" ht="13" hidden="1" x14ac:dyDescent="0.15">
      <c r="A168" s="3">
        <v>2235837473</v>
      </c>
      <c r="B168" s="3" t="s">
        <v>344</v>
      </c>
      <c r="C168" s="3" t="s">
        <v>344</v>
      </c>
      <c r="D168" s="3">
        <v>6</v>
      </c>
      <c r="E168" s="3">
        <v>6</v>
      </c>
      <c r="F168" s="3">
        <v>185.898</v>
      </c>
      <c r="G168" s="3">
        <v>2</v>
      </c>
      <c r="H168" s="3">
        <v>150.446</v>
      </c>
      <c r="I168" s="3">
        <v>34.698</v>
      </c>
      <c r="J168" s="3">
        <v>32.167000000000002</v>
      </c>
      <c r="K168" s="3">
        <v>29.251999999999999</v>
      </c>
      <c r="L168" s="3">
        <v>0.81599999999999995</v>
      </c>
      <c r="M168" s="3" t="s">
        <v>81</v>
      </c>
      <c r="N168" s="3" t="s">
        <v>81</v>
      </c>
      <c r="O168" s="3" t="s">
        <v>81</v>
      </c>
      <c r="P168" s="3" t="s">
        <v>81</v>
      </c>
      <c r="Q168" s="3">
        <v>227.03100000000001</v>
      </c>
      <c r="R168" s="3">
        <v>3</v>
      </c>
      <c r="S168" s="3">
        <v>152.49100000000001</v>
      </c>
      <c r="T168" s="3">
        <v>39.994999999999997</v>
      </c>
      <c r="U168" s="3">
        <v>51.094000000000001</v>
      </c>
      <c r="V168" s="3">
        <v>20.687999999999999</v>
      </c>
      <c r="W168" s="3">
        <v>16.291</v>
      </c>
      <c r="X168" s="3">
        <v>26.861000000000001</v>
      </c>
      <c r="Y168" s="3">
        <v>2.1850000000000001</v>
      </c>
      <c r="Z168" s="3" t="s">
        <v>81</v>
      </c>
      <c r="AA168" s="3" t="s">
        <v>81</v>
      </c>
      <c r="AB168" s="3">
        <v>194.97200000000001</v>
      </c>
      <c r="AC168" s="3">
        <v>2</v>
      </c>
      <c r="AD168" s="3">
        <v>151.67400000000001</v>
      </c>
      <c r="AE168" s="3">
        <v>41.972000000000001</v>
      </c>
      <c r="AF168" s="3">
        <v>40.518999999999998</v>
      </c>
      <c r="AG168" s="3">
        <v>27.652000000000001</v>
      </c>
      <c r="AH168" s="3">
        <v>1.772</v>
      </c>
      <c r="AI168" s="3" t="s">
        <v>81</v>
      </c>
      <c r="AJ168" s="3" t="s">
        <v>81</v>
      </c>
      <c r="AK168" s="3" t="s">
        <v>81</v>
      </c>
      <c r="AL168" s="3" t="s">
        <v>81</v>
      </c>
      <c r="AM168" s="3">
        <v>213.67</v>
      </c>
      <c r="AN168" s="3">
        <v>3</v>
      </c>
      <c r="AO168" s="3">
        <v>126.539</v>
      </c>
      <c r="AP168" s="3">
        <v>40.631999999999998</v>
      </c>
      <c r="AQ168" s="3">
        <v>62.262</v>
      </c>
      <c r="AR168" s="3">
        <v>29.3</v>
      </c>
      <c r="AS168" s="3">
        <v>22.257999999999999</v>
      </c>
      <c r="AT168" s="3" t="s">
        <v>81</v>
      </c>
      <c r="AU168" s="3">
        <v>0.64600000000000002</v>
      </c>
      <c r="AV168" s="3" t="s">
        <v>81</v>
      </c>
      <c r="AW168" s="3" t="s">
        <v>81</v>
      </c>
      <c r="AX168" s="3" t="s">
        <v>81</v>
      </c>
      <c r="AY168" s="3">
        <v>2</v>
      </c>
      <c r="AZ168" s="3">
        <v>137.65199999999999</v>
      </c>
      <c r="BA168" s="3">
        <v>36.54</v>
      </c>
      <c r="BB168" s="3">
        <v>52.162999999999997</v>
      </c>
      <c r="BC168" s="3" t="s">
        <v>81</v>
      </c>
      <c r="BD168" s="3" t="s">
        <v>81</v>
      </c>
      <c r="BE168" s="3" t="s">
        <v>81</v>
      </c>
      <c r="BF168" s="3" t="s">
        <v>81</v>
      </c>
      <c r="BG168" s="3" t="s">
        <v>81</v>
      </c>
      <c r="BH168" s="3" t="s">
        <v>81</v>
      </c>
      <c r="BI168" s="3" t="s">
        <v>84</v>
      </c>
      <c r="BJ168" s="3" t="s">
        <v>82</v>
      </c>
      <c r="BK168" s="3" t="s">
        <v>83</v>
      </c>
      <c r="BL168" s="3" t="s">
        <v>84</v>
      </c>
      <c r="BM168" s="3" t="s">
        <v>84</v>
      </c>
      <c r="BN168" s="3" t="s">
        <v>82</v>
      </c>
      <c r="BO168" s="3" t="s">
        <v>84</v>
      </c>
      <c r="BP168" s="3" t="s">
        <v>348</v>
      </c>
      <c r="BQ168" s="3" t="s">
        <v>349</v>
      </c>
      <c r="BR168" s="3" t="s">
        <v>350</v>
      </c>
      <c r="BS168" s="3" t="s">
        <v>350</v>
      </c>
      <c r="BT168" s="3" t="s">
        <v>98</v>
      </c>
      <c r="BU168" s="3" t="s">
        <v>106</v>
      </c>
      <c r="BV168" s="3" t="s">
        <v>84</v>
      </c>
      <c r="BW168" s="3" t="s">
        <v>83</v>
      </c>
      <c r="BX168" s="3" t="s">
        <v>82</v>
      </c>
      <c r="BZ168" s="3" t="s">
        <v>86</v>
      </c>
      <c r="CD168" s="9">
        <v>12</v>
      </c>
    </row>
    <row r="169" spans="1:87" ht="13" hidden="1" x14ac:dyDescent="0.15">
      <c r="A169" s="3">
        <v>2643318431</v>
      </c>
      <c r="B169" s="3" t="s">
        <v>344</v>
      </c>
      <c r="C169" s="3" t="s">
        <v>344</v>
      </c>
      <c r="D169" s="3">
        <v>10</v>
      </c>
      <c r="E169" s="3">
        <v>14</v>
      </c>
      <c r="F169" s="3">
        <v>106.896</v>
      </c>
      <c r="G169" s="3">
        <v>2</v>
      </c>
      <c r="H169" s="3">
        <v>88.873000000000005</v>
      </c>
      <c r="I169" s="3">
        <v>34.052999999999997</v>
      </c>
      <c r="J169" s="3">
        <v>16.875</v>
      </c>
      <c r="K169" s="3">
        <v>8.6020000000000003</v>
      </c>
      <c r="L169" s="3">
        <v>0.99199999999999999</v>
      </c>
      <c r="M169" s="3" t="s">
        <v>81</v>
      </c>
      <c r="N169" s="3" t="s">
        <v>81</v>
      </c>
      <c r="O169" s="3" t="s">
        <v>81</v>
      </c>
      <c r="P169" s="3" t="s">
        <v>81</v>
      </c>
      <c r="Q169" s="3">
        <v>95.518000000000001</v>
      </c>
      <c r="R169" s="3">
        <v>2</v>
      </c>
      <c r="S169" s="3">
        <v>72.311999999999998</v>
      </c>
      <c r="T169" s="3">
        <v>35.829000000000001</v>
      </c>
      <c r="U169" s="3">
        <v>15.333</v>
      </c>
      <c r="V169" s="3">
        <v>4.7880000000000003</v>
      </c>
      <c r="W169" s="3">
        <v>1.905</v>
      </c>
      <c r="X169" s="3" t="s">
        <v>81</v>
      </c>
      <c r="Y169" s="3" t="s">
        <v>81</v>
      </c>
      <c r="Z169" s="3" t="s">
        <v>81</v>
      </c>
      <c r="AA169" s="3" t="s">
        <v>81</v>
      </c>
      <c r="AB169" s="3">
        <v>130.685</v>
      </c>
      <c r="AC169" s="3">
        <v>2</v>
      </c>
      <c r="AD169" s="3">
        <v>112.11</v>
      </c>
      <c r="AE169" s="3">
        <v>27.942</v>
      </c>
      <c r="AF169" s="3">
        <v>11.956</v>
      </c>
      <c r="AG169" s="3">
        <v>8.2490000000000006</v>
      </c>
      <c r="AH169" s="3">
        <v>3.6749999999999998</v>
      </c>
      <c r="AI169" s="3" t="s">
        <v>81</v>
      </c>
      <c r="AJ169" s="3" t="s">
        <v>81</v>
      </c>
      <c r="AK169" s="3" t="s">
        <v>81</v>
      </c>
      <c r="AL169" s="3" t="s">
        <v>81</v>
      </c>
      <c r="AM169" s="3">
        <v>99.067999999999998</v>
      </c>
      <c r="AN169" s="3">
        <v>2</v>
      </c>
      <c r="AO169" s="3">
        <v>81.91</v>
      </c>
      <c r="AP169" s="3">
        <v>34.093000000000004</v>
      </c>
      <c r="AQ169" s="3">
        <v>13.430999999999999</v>
      </c>
      <c r="AR169" s="3">
        <v>6.7039999999999997</v>
      </c>
      <c r="AS169" s="3">
        <v>4.415</v>
      </c>
      <c r="AT169" s="3" t="s">
        <v>81</v>
      </c>
      <c r="AU169" s="3" t="s">
        <v>81</v>
      </c>
      <c r="AV169" s="3" t="s">
        <v>81</v>
      </c>
      <c r="AW169" s="3" t="s">
        <v>81</v>
      </c>
      <c r="AX169" s="3">
        <v>133.09700000000001</v>
      </c>
      <c r="AY169" s="3">
        <v>2</v>
      </c>
      <c r="AZ169" s="3">
        <v>112.285</v>
      </c>
      <c r="BA169" s="3">
        <v>28.239000000000001</v>
      </c>
      <c r="BB169" s="3">
        <v>13.760999999999999</v>
      </c>
      <c r="BC169" s="3">
        <v>7.9640000000000004</v>
      </c>
      <c r="BD169" s="3">
        <v>5.42</v>
      </c>
      <c r="BE169" s="3" t="s">
        <v>81</v>
      </c>
      <c r="BF169" s="3" t="s">
        <v>81</v>
      </c>
      <c r="BG169" s="3" t="s">
        <v>81</v>
      </c>
      <c r="BH169" s="3" t="s">
        <v>81</v>
      </c>
      <c r="BI169" s="3" t="s">
        <v>84</v>
      </c>
      <c r="BJ169" s="3" t="s">
        <v>82</v>
      </c>
      <c r="BK169" s="3" t="s">
        <v>83</v>
      </c>
      <c r="BL169" s="3" t="s">
        <v>84</v>
      </c>
      <c r="BM169" s="3" t="s">
        <v>84</v>
      </c>
      <c r="BN169" s="3" t="s">
        <v>82</v>
      </c>
      <c r="BO169" s="3" t="s">
        <v>84</v>
      </c>
      <c r="BP169" s="3" t="s">
        <v>87</v>
      </c>
      <c r="BQ169" s="3" t="s">
        <v>87</v>
      </c>
      <c r="BR169" s="3" t="s">
        <v>129</v>
      </c>
      <c r="BS169" s="3" t="s">
        <v>351</v>
      </c>
      <c r="BT169" s="3" t="s">
        <v>129</v>
      </c>
      <c r="BU169" s="3" t="s">
        <v>87</v>
      </c>
      <c r="BV169" s="3" t="s">
        <v>82</v>
      </c>
      <c r="BW169" s="3" t="s">
        <v>111</v>
      </c>
      <c r="BX169" s="3" t="s">
        <v>82</v>
      </c>
      <c r="BZ169" s="3" t="s">
        <v>86</v>
      </c>
      <c r="CD169" s="9">
        <v>32</v>
      </c>
    </row>
    <row r="170" spans="1:87" ht="13" x14ac:dyDescent="0.15">
      <c r="A170" s="3">
        <v>2625858594</v>
      </c>
      <c r="B170" s="3" t="s">
        <v>561</v>
      </c>
      <c r="C170" s="3" t="s">
        <v>561</v>
      </c>
      <c r="D170" s="3">
        <v>11</v>
      </c>
      <c r="E170" s="3">
        <v>28</v>
      </c>
      <c r="F170" s="3">
        <v>63.253</v>
      </c>
      <c r="G170" s="3">
        <v>0</v>
      </c>
      <c r="H170" s="3" t="s">
        <v>81</v>
      </c>
      <c r="I170" s="3" t="s">
        <v>81</v>
      </c>
      <c r="J170" s="3" t="s">
        <v>81</v>
      </c>
      <c r="K170" s="3" t="s">
        <v>81</v>
      </c>
      <c r="L170" s="3" t="s">
        <v>81</v>
      </c>
      <c r="M170" s="3" t="s">
        <v>81</v>
      </c>
      <c r="N170" s="3" t="s">
        <v>81</v>
      </c>
      <c r="O170" s="3" t="s">
        <v>81</v>
      </c>
      <c r="P170" s="3" t="s">
        <v>81</v>
      </c>
      <c r="Q170" s="3">
        <v>67.495999999999995</v>
      </c>
      <c r="R170" s="3">
        <v>0</v>
      </c>
      <c r="S170" s="3" t="s">
        <v>81</v>
      </c>
      <c r="T170" s="3" t="s">
        <v>81</v>
      </c>
      <c r="U170" s="3" t="s">
        <v>81</v>
      </c>
      <c r="V170" s="3" t="s">
        <v>81</v>
      </c>
      <c r="W170" s="3" t="s">
        <v>81</v>
      </c>
      <c r="X170" s="3" t="s">
        <v>81</v>
      </c>
      <c r="Y170" s="3" t="s">
        <v>81</v>
      </c>
      <c r="Z170" s="3" t="s">
        <v>81</v>
      </c>
      <c r="AA170" s="3" t="s">
        <v>81</v>
      </c>
      <c r="AB170" s="3">
        <v>63.136000000000003</v>
      </c>
      <c r="AC170" s="3">
        <v>0</v>
      </c>
      <c r="AD170" s="3" t="s">
        <v>81</v>
      </c>
      <c r="AE170" s="3" t="s">
        <v>81</v>
      </c>
      <c r="AF170" s="3" t="s">
        <v>81</v>
      </c>
      <c r="AG170" s="3" t="s">
        <v>81</v>
      </c>
      <c r="AH170" s="3" t="s">
        <v>81</v>
      </c>
      <c r="AI170" s="3" t="s">
        <v>81</v>
      </c>
      <c r="AJ170" s="3" t="s">
        <v>81</v>
      </c>
      <c r="AK170" s="3" t="s">
        <v>81</v>
      </c>
      <c r="AL170" s="3" t="s">
        <v>81</v>
      </c>
      <c r="AM170" s="3">
        <v>67.685000000000002</v>
      </c>
      <c r="AN170" s="3">
        <v>0</v>
      </c>
      <c r="AO170" s="3" t="s">
        <v>81</v>
      </c>
      <c r="AP170" s="3" t="s">
        <v>81</v>
      </c>
      <c r="AQ170" s="3" t="s">
        <v>81</v>
      </c>
      <c r="AR170" s="3" t="s">
        <v>81</v>
      </c>
      <c r="AS170" s="3" t="s">
        <v>81</v>
      </c>
      <c r="AT170" s="3" t="s">
        <v>81</v>
      </c>
      <c r="AU170" s="3" t="s">
        <v>81</v>
      </c>
      <c r="AV170" s="3" t="s">
        <v>81</v>
      </c>
      <c r="AW170" s="3" t="s">
        <v>81</v>
      </c>
      <c r="AX170" s="3">
        <v>67.284000000000006</v>
      </c>
      <c r="AY170" s="3">
        <v>0</v>
      </c>
      <c r="AZ170" s="3" t="s">
        <v>81</v>
      </c>
      <c r="BA170" s="3" t="s">
        <v>81</v>
      </c>
      <c r="BB170" s="3" t="s">
        <v>81</v>
      </c>
      <c r="BC170" s="3" t="s">
        <v>81</v>
      </c>
      <c r="BD170" s="3" t="s">
        <v>81</v>
      </c>
      <c r="BE170" s="3" t="s">
        <v>81</v>
      </c>
      <c r="BF170" s="3" t="s">
        <v>81</v>
      </c>
      <c r="BG170" s="3" t="s">
        <v>81</v>
      </c>
      <c r="BH170" s="3" t="s">
        <v>81</v>
      </c>
      <c r="BI170" s="3" t="s">
        <v>84</v>
      </c>
      <c r="BJ170" s="3" t="s">
        <v>82</v>
      </c>
      <c r="BK170" s="3" t="s">
        <v>83</v>
      </c>
      <c r="BL170" s="3" t="s">
        <v>84</v>
      </c>
      <c r="BM170" s="3" t="s">
        <v>84</v>
      </c>
      <c r="BN170" s="3" t="s">
        <v>82</v>
      </c>
      <c r="BO170" s="3" t="s">
        <v>84</v>
      </c>
      <c r="BP170" s="3" t="s">
        <v>414</v>
      </c>
      <c r="BQ170" s="3" t="s">
        <v>414</v>
      </c>
      <c r="BR170" s="3" t="s">
        <v>415</v>
      </c>
      <c r="BS170" s="3" t="s">
        <v>415</v>
      </c>
      <c r="BT170" s="3" t="s">
        <v>85</v>
      </c>
      <c r="BU170" s="3" t="s">
        <v>81</v>
      </c>
      <c r="BV170" s="3" t="s">
        <v>82</v>
      </c>
      <c r="BW170" s="3" t="s">
        <v>91</v>
      </c>
      <c r="BX170" s="3" t="s">
        <v>82</v>
      </c>
      <c r="BY170" s="3" t="s">
        <v>416</v>
      </c>
      <c r="BZ170" s="3" t="s">
        <v>86</v>
      </c>
      <c r="CA170" s="3"/>
      <c r="CB170" s="3" t="s">
        <v>84</v>
      </c>
      <c r="CC170" s="3"/>
      <c r="CD170" s="9">
        <v>26</v>
      </c>
      <c r="CE170" s="3"/>
      <c r="CF170" s="6"/>
      <c r="CG170" s="6"/>
      <c r="CH170" s="6"/>
    </row>
    <row r="171" spans="1:87" ht="13" x14ac:dyDescent="0.15">
      <c r="A171" s="3">
        <v>2643330572</v>
      </c>
      <c r="B171" s="3" t="s">
        <v>302</v>
      </c>
      <c r="C171" s="3" t="s">
        <v>302</v>
      </c>
      <c r="D171" s="3">
        <v>5</v>
      </c>
      <c r="E171" s="3">
        <v>6</v>
      </c>
      <c r="F171" s="3">
        <v>10.67</v>
      </c>
      <c r="G171" s="3">
        <v>0</v>
      </c>
      <c r="H171" s="3" t="s">
        <v>81</v>
      </c>
      <c r="I171" s="3" t="s">
        <v>81</v>
      </c>
      <c r="J171" s="3" t="s">
        <v>81</v>
      </c>
      <c r="K171" s="3" t="s">
        <v>81</v>
      </c>
      <c r="L171" s="3" t="s">
        <v>81</v>
      </c>
      <c r="M171" s="3" t="s">
        <v>81</v>
      </c>
      <c r="N171" s="3" t="s">
        <v>81</v>
      </c>
      <c r="O171" s="3" t="s">
        <v>81</v>
      </c>
      <c r="P171" s="3" t="s">
        <v>81</v>
      </c>
      <c r="Q171" s="3">
        <v>10.913</v>
      </c>
      <c r="R171" s="3">
        <v>0</v>
      </c>
      <c r="S171" s="3" t="s">
        <v>81</v>
      </c>
      <c r="T171" s="3" t="s">
        <v>81</v>
      </c>
      <c r="U171" s="3" t="s">
        <v>81</v>
      </c>
      <c r="V171" s="3" t="s">
        <v>81</v>
      </c>
      <c r="W171" s="3" t="s">
        <v>81</v>
      </c>
      <c r="X171" s="3" t="s">
        <v>81</v>
      </c>
      <c r="Y171" s="3" t="s">
        <v>81</v>
      </c>
      <c r="Z171" s="3" t="s">
        <v>81</v>
      </c>
      <c r="AA171" s="3" t="s">
        <v>81</v>
      </c>
      <c r="AB171" s="3">
        <v>7.8079999999999998</v>
      </c>
      <c r="AC171" s="3">
        <v>0</v>
      </c>
      <c r="AD171" s="3" t="s">
        <v>81</v>
      </c>
      <c r="AE171" s="3" t="s">
        <v>81</v>
      </c>
      <c r="AF171" s="3" t="s">
        <v>81</v>
      </c>
      <c r="AG171" s="3" t="s">
        <v>81</v>
      </c>
      <c r="AH171" s="3" t="s">
        <v>81</v>
      </c>
      <c r="AI171" s="3" t="s">
        <v>81</v>
      </c>
      <c r="AJ171" s="3" t="s">
        <v>81</v>
      </c>
      <c r="AK171" s="3" t="s">
        <v>81</v>
      </c>
      <c r="AL171" s="3" t="s">
        <v>81</v>
      </c>
      <c r="AM171" s="3">
        <v>11.462</v>
      </c>
      <c r="AN171" s="3">
        <v>0</v>
      </c>
      <c r="AO171" s="3" t="s">
        <v>81</v>
      </c>
      <c r="AP171" s="3" t="s">
        <v>81</v>
      </c>
      <c r="AQ171" s="3" t="s">
        <v>81</v>
      </c>
      <c r="AR171" s="3" t="s">
        <v>81</v>
      </c>
      <c r="AS171" s="3" t="s">
        <v>81</v>
      </c>
      <c r="AT171" s="3" t="s">
        <v>81</v>
      </c>
      <c r="AU171" s="3" t="s">
        <v>81</v>
      </c>
      <c r="AV171" s="3" t="s">
        <v>81</v>
      </c>
      <c r="AW171" s="3" t="s">
        <v>81</v>
      </c>
      <c r="AX171" s="3">
        <v>6.6379999999999999</v>
      </c>
      <c r="AY171" s="3">
        <v>0</v>
      </c>
      <c r="AZ171" s="3" t="s">
        <v>81</v>
      </c>
      <c r="BA171" s="3" t="s">
        <v>81</v>
      </c>
      <c r="BB171" s="3" t="s">
        <v>81</v>
      </c>
      <c r="BC171" s="3" t="s">
        <v>81</v>
      </c>
      <c r="BD171" s="3" t="s">
        <v>81</v>
      </c>
      <c r="BE171" s="3" t="s">
        <v>81</v>
      </c>
      <c r="BF171" s="3" t="s">
        <v>81</v>
      </c>
      <c r="BG171" s="3" t="s">
        <v>81</v>
      </c>
      <c r="BH171" s="3" t="s">
        <v>81</v>
      </c>
      <c r="BI171" s="3" t="s">
        <v>82</v>
      </c>
      <c r="BJ171" s="3" t="s">
        <v>84</v>
      </c>
      <c r="BK171" s="3" t="s">
        <v>82</v>
      </c>
      <c r="BL171" s="3" t="s">
        <v>84</v>
      </c>
      <c r="BM171" s="3" t="s">
        <v>84</v>
      </c>
      <c r="BN171" s="3" t="s">
        <v>82</v>
      </c>
      <c r="BO171" s="3" t="s">
        <v>82</v>
      </c>
      <c r="BP171" s="3" t="s">
        <v>81</v>
      </c>
      <c r="BQ171" s="3" t="s">
        <v>81</v>
      </c>
      <c r="BR171" s="3" t="s">
        <v>81</v>
      </c>
      <c r="BS171" s="3" t="s">
        <v>81</v>
      </c>
      <c r="BT171" s="3" t="s">
        <v>81</v>
      </c>
      <c r="BU171" s="3" t="s">
        <v>81</v>
      </c>
      <c r="BV171" s="3" t="s">
        <v>84</v>
      </c>
      <c r="BW171" s="3" t="s">
        <v>83</v>
      </c>
      <c r="BX171" s="3" t="s">
        <v>82</v>
      </c>
      <c r="BY171" s="3"/>
      <c r="BZ171" s="3" t="s">
        <v>86</v>
      </c>
      <c r="CA171" s="3"/>
      <c r="CB171" s="3" t="s">
        <v>84</v>
      </c>
      <c r="CC171" s="3"/>
      <c r="CD171" s="9">
        <v>6</v>
      </c>
      <c r="CE171" s="3"/>
      <c r="CF171" s="6"/>
      <c r="CG171" s="6"/>
      <c r="CH171" s="6"/>
    </row>
    <row r="172" spans="1:87" ht="13" x14ac:dyDescent="0.15">
      <c r="A172" s="3">
        <v>1847936596</v>
      </c>
      <c r="B172" s="3" t="s">
        <v>309</v>
      </c>
      <c r="C172" s="3" t="s">
        <v>309</v>
      </c>
      <c r="D172" s="3">
        <v>3</v>
      </c>
      <c r="E172" s="3">
        <v>3</v>
      </c>
      <c r="F172" s="3">
        <v>167.48500000000001</v>
      </c>
      <c r="G172" s="3">
        <v>3</v>
      </c>
      <c r="H172" s="3">
        <v>66.647999999999996</v>
      </c>
      <c r="I172" s="3">
        <v>19.128</v>
      </c>
      <c r="J172" s="3">
        <v>46.524999999999999</v>
      </c>
      <c r="K172" s="3">
        <v>12.513</v>
      </c>
      <c r="L172" s="3">
        <v>34.116</v>
      </c>
      <c r="M172" s="3">
        <v>9.5939999999999994</v>
      </c>
      <c r="N172" s="3">
        <v>16.175000000000001</v>
      </c>
      <c r="O172" s="3" t="s">
        <v>81</v>
      </c>
      <c r="P172" s="3" t="s">
        <v>81</v>
      </c>
      <c r="Q172" s="3">
        <v>142.328</v>
      </c>
      <c r="R172" s="3">
        <v>3</v>
      </c>
      <c r="S172" s="3">
        <v>64.085999999999999</v>
      </c>
      <c r="T172" s="3" t="s">
        <v>81</v>
      </c>
      <c r="U172" s="3">
        <v>42.375999999999998</v>
      </c>
      <c r="V172" s="3">
        <v>12.766</v>
      </c>
      <c r="W172" s="3">
        <v>29.18</v>
      </c>
      <c r="X172" s="3">
        <v>10.039999999999999</v>
      </c>
      <c r="Y172" s="3">
        <v>3.367</v>
      </c>
      <c r="Z172" s="3" t="s">
        <v>81</v>
      </c>
      <c r="AA172" s="3" t="s">
        <v>81</v>
      </c>
      <c r="AB172" s="3">
        <v>140.904</v>
      </c>
      <c r="AC172" s="3">
        <v>3</v>
      </c>
      <c r="AD172" s="3">
        <v>62.261000000000003</v>
      </c>
      <c r="AE172" s="3">
        <v>15.076000000000001</v>
      </c>
      <c r="AF172" s="3">
        <v>41.756</v>
      </c>
      <c r="AG172" s="3">
        <v>13.433999999999999</v>
      </c>
      <c r="AH172" s="3">
        <v>34.929000000000002</v>
      </c>
      <c r="AI172" s="3" t="s">
        <v>81</v>
      </c>
      <c r="AJ172" s="3" t="s">
        <v>81</v>
      </c>
      <c r="AK172" s="3" t="s">
        <v>81</v>
      </c>
      <c r="AL172" s="3" t="s">
        <v>81</v>
      </c>
      <c r="AM172" s="3" t="s">
        <v>81</v>
      </c>
      <c r="AN172" s="3" t="s">
        <v>81</v>
      </c>
      <c r="AO172" s="3" t="s">
        <v>81</v>
      </c>
      <c r="AP172" s="3" t="s">
        <v>81</v>
      </c>
      <c r="AQ172" s="3" t="s">
        <v>81</v>
      </c>
      <c r="AR172" s="3" t="s">
        <v>81</v>
      </c>
      <c r="AS172" s="3" t="s">
        <v>81</v>
      </c>
      <c r="AT172" s="3" t="s">
        <v>81</v>
      </c>
      <c r="AU172" s="3" t="s">
        <v>81</v>
      </c>
      <c r="AV172" s="3" t="s">
        <v>81</v>
      </c>
      <c r="AW172" s="3" t="s">
        <v>81</v>
      </c>
      <c r="AX172" s="3" t="s">
        <v>81</v>
      </c>
      <c r="AY172" s="3" t="s">
        <v>81</v>
      </c>
      <c r="AZ172" s="3" t="s">
        <v>81</v>
      </c>
      <c r="BA172" s="3" t="s">
        <v>81</v>
      </c>
      <c r="BB172" s="3" t="s">
        <v>81</v>
      </c>
      <c r="BC172" s="3" t="s">
        <v>81</v>
      </c>
      <c r="BD172" s="3" t="s">
        <v>81</v>
      </c>
      <c r="BE172" s="3" t="s">
        <v>81</v>
      </c>
      <c r="BF172" s="3" t="s">
        <v>81</v>
      </c>
      <c r="BG172" s="3" t="s">
        <v>81</v>
      </c>
      <c r="BH172" s="3" t="s">
        <v>81</v>
      </c>
      <c r="BI172" s="3" t="s">
        <v>84</v>
      </c>
      <c r="BJ172" s="3" t="s">
        <v>84</v>
      </c>
      <c r="BK172" s="3" t="s">
        <v>82</v>
      </c>
      <c r="BL172" s="3" t="s">
        <v>84</v>
      </c>
      <c r="BM172" s="3" t="s">
        <v>84</v>
      </c>
      <c r="BN172" s="3" t="s">
        <v>82</v>
      </c>
      <c r="BO172" s="3" t="s">
        <v>84</v>
      </c>
      <c r="BP172" s="3" t="s">
        <v>133</v>
      </c>
      <c r="BQ172" s="3" t="s">
        <v>133</v>
      </c>
      <c r="BR172" s="3" t="s">
        <v>129</v>
      </c>
      <c r="BS172" s="3" t="s">
        <v>129</v>
      </c>
      <c r="BT172" s="3" t="s">
        <v>87</v>
      </c>
      <c r="BU172" s="3" t="s">
        <v>129</v>
      </c>
      <c r="BV172" s="3" t="s">
        <v>82</v>
      </c>
      <c r="BW172" s="3" t="s">
        <v>91</v>
      </c>
      <c r="BX172" s="3" t="s">
        <v>84</v>
      </c>
      <c r="BY172" s="3" t="s">
        <v>310</v>
      </c>
      <c r="BZ172" s="3" t="s">
        <v>93</v>
      </c>
      <c r="CB172" s="3" t="s">
        <v>84</v>
      </c>
      <c r="CD172" s="9"/>
      <c r="CE172" s="9"/>
      <c r="CF172" s="9"/>
    </row>
    <row r="173" spans="1:87" ht="13" x14ac:dyDescent="0.15">
      <c r="A173" s="3">
        <v>2625862353</v>
      </c>
      <c r="B173" s="3" t="s">
        <v>309</v>
      </c>
      <c r="C173" s="3" t="s">
        <v>309</v>
      </c>
      <c r="D173" s="3">
        <v>2</v>
      </c>
      <c r="E173" s="3">
        <v>2</v>
      </c>
      <c r="F173" s="3">
        <v>59.671999999999997</v>
      </c>
      <c r="G173" s="3">
        <v>2</v>
      </c>
      <c r="H173" s="3">
        <v>37.362000000000002</v>
      </c>
      <c r="I173" s="3">
        <v>30.408000000000001</v>
      </c>
      <c r="J173" s="3">
        <v>20.917000000000002</v>
      </c>
      <c r="K173" s="3">
        <v>20.024000000000001</v>
      </c>
      <c r="L173" s="3">
        <v>0.67</v>
      </c>
      <c r="M173" s="3" t="s">
        <v>81</v>
      </c>
      <c r="N173" s="3" t="s">
        <v>81</v>
      </c>
      <c r="O173" s="3" t="s">
        <v>81</v>
      </c>
      <c r="P173" s="3" t="s">
        <v>81</v>
      </c>
      <c r="Q173" s="3">
        <v>64.197999999999993</v>
      </c>
      <c r="R173" s="3">
        <v>2</v>
      </c>
      <c r="S173" s="3">
        <v>47.82</v>
      </c>
      <c r="T173" s="3">
        <v>25.81</v>
      </c>
      <c r="U173" s="3">
        <v>15.832000000000001</v>
      </c>
      <c r="V173" s="3">
        <v>15.968999999999999</v>
      </c>
      <c r="W173" s="3">
        <v>0.51500000000000001</v>
      </c>
      <c r="X173" s="3" t="s">
        <v>81</v>
      </c>
      <c r="Y173" s="3" t="s">
        <v>81</v>
      </c>
      <c r="Z173" s="3" t="s">
        <v>81</v>
      </c>
      <c r="AA173" s="3" t="s">
        <v>81</v>
      </c>
      <c r="AB173" s="3" t="s">
        <v>81</v>
      </c>
      <c r="AC173" s="3" t="s">
        <v>81</v>
      </c>
      <c r="AD173" s="3" t="s">
        <v>81</v>
      </c>
      <c r="AE173" s="3" t="s">
        <v>81</v>
      </c>
      <c r="AF173" s="3" t="s">
        <v>81</v>
      </c>
      <c r="AG173" s="3" t="s">
        <v>81</v>
      </c>
      <c r="AH173" s="3" t="s">
        <v>81</v>
      </c>
      <c r="AI173" s="3" t="s">
        <v>81</v>
      </c>
      <c r="AJ173" s="3" t="s">
        <v>81</v>
      </c>
      <c r="AK173" s="3" t="s">
        <v>81</v>
      </c>
      <c r="AL173" s="3" t="s">
        <v>81</v>
      </c>
      <c r="AM173" s="3" t="s">
        <v>81</v>
      </c>
      <c r="AN173" s="3" t="s">
        <v>81</v>
      </c>
      <c r="AO173" s="3" t="s">
        <v>81</v>
      </c>
      <c r="AP173" s="3" t="s">
        <v>81</v>
      </c>
      <c r="AQ173" s="3" t="s">
        <v>81</v>
      </c>
      <c r="AR173" s="3" t="s">
        <v>81</v>
      </c>
      <c r="AS173" s="3" t="s">
        <v>81</v>
      </c>
      <c r="AT173" s="3" t="s">
        <v>81</v>
      </c>
      <c r="AU173" s="3" t="s">
        <v>81</v>
      </c>
      <c r="AV173" s="3" t="s">
        <v>81</v>
      </c>
      <c r="AW173" s="3" t="s">
        <v>81</v>
      </c>
      <c r="AX173" s="3" t="s">
        <v>81</v>
      </c>
      <c r="AY173" s="3" t="s">
        <v>81</v>
      </c>
      <c r="AZ173" s="3" t="s">
        <v>81</v>
      </c>
      <c r="BA173" s="3" t="s">
        <v>81</v>
      </c>
      <c r="BB173" s="3" t="s">
        <v>81</v>
      </c>
      <c r="BC173" s="3" t="s">
        <v>81</v>
      </c>
      <c r="BD173" s="3" t="s">
        <v>81</v>
      </c>
      <c r="BE173" s="3" t="s">
        <v>81</v>
      </c>
      <c r="BF173" s="3" t="s">
        <v>81</v>
      </c>
      <c r="BG173" s="3" t="s">
        <v>81</v>
      </c>
      <c r="BH173" s="3" t="s">
        <v>81</v>
      </c>
      <c r="BI173" s="3" t="s">
        <v>84</v>
      </c>
      <c r="BJ173" s="3" t="s">
        <v>82</v>
      </c>
      <c r="BK173" s="3" t="s">
        <v>83</v>
      </c>
      <c r="BL173" s="3" t="s">
        <v>84</v>
      </c>
      <c r="BM173" s="3" t="s">
        <v>84</v>
      </c>
      <c r="BN173" s="3" t="s">
        <v>82</v>
      </c>
      <c r="BO173" s="3" t="s">
        <v>84</v>
      </c>
      <c r="BP173" s="3" t="s">
        <v>311</v>
      </c>
      <c r="BQ173" s="3" t="s">
        <v>311</v>
      </c>
      <c r="BR173" s="3" t="s">
        <v>311</v>
      </c>
      <c r="BS173" s="3" t="s">
        <v>311</v>
      </c>
      <c r="BT173" s="3" t="s">
        <v>87</v>
      </c>
      <c r="BU173" s="3" t="s">
        <v>129</v>
      </c>
      <c r="BV173" s="3" t="s">
        <v>84</v>
      </c>
      <c r="BW173" s="3" t="s">
        <v>83</v>
      </c>
      <c r="BX173" s="3" t="s">
        <v>82</v>
      </c>
      <c r="BY173" s="3" t="s">
        <v>312</v>
      </c>
      <c r="BZ173" s="3" t="s">
        <v>86</v>
      </c>
      <c r="CB173" s="3" t="s">
        <v>84</v>
      </c>
      <c r="CD173" s="9">
        <v>4</v>
      </c>
      <c r="CE173" s="9">
        <v>2</v>
      </c>
      <c r="CF173" s="9"/>
    </row>
    <row r="174" spans="1:87" ht="13" x14ac:dyDescent="0.15">
      <c r="A174" s="3">
        <v>2643334497</v>
      </c>
      <c r="B174" s="3" t="s">
        <v>309</v>
      </c>
      <c r="C174" s="3" t="s">
        <v>309</v>
      </c>
      <c r="D174" s="3">
        <v>2</v>
      </c>
      <c r="E174" s="3">
        <v>3</v>
      </c>
      <c r="F174" s="3">
        <v>90.468999999999994</v>
      </c>
      <c r="G174" s="3">
        <v>2</v>
      </c>
      <c r="H174" s="3">
        <v>46.491999999999997</v>
      </c>
      <c r="I174" s="3">
        <v>23.972000000000001</v>
      </c>
      <c r="J174" s="3">
        <v>41.64</v>
      </c>
      <c r="K174" s="3">
        <v>17.422999999999998</v>
      </c>
      <c r="L174" s="3">
        <v>2.4359999999999999</v>
      </c>
      <c r="M174" s="3" t="s">
        <v>81</v>
      </c>
      <c r="N174" s="3" t="s">
        <v>81</v>
      </c>
      <c r="O174" s="3" t="s">
        <v>81</v>
      </c>
      <c r="P174" s="3" t="s">
        <v>81</v>
      </c>
      <c r="Q174" s="3">
        <v>94.625</v>
      </c>
      <c r="R174" s="3">
        <v>2</v>
      </c>
      <c r="S174" s="3">
        <v>47.381999999999998</v>
      </c>
      <c r="T174" s="3">
        <v>29.391999999999999</v>
      </c>
      <c r="U174" s="3">
        <v>44.189</v>
      </c>
      <c r="V174" s="3">
        <v>18.414000000000001</v>
      </c>
      <c r="W174" s="3">
        <v>2.8610000000000002</v>
      </c>
      <c r="X174" s="3" t="s">
        <v>81</v>
      </c>
      <c r="Y174" s="3" t="s">
        <v>81</v>
      </c>
      <c r="Z174" s="3" t="s">
        <v>81</v>
      </c>
      <c r="AA174" s="3" t="s">
        <v>81</v>
      </c>
      <c r="AB174" s="3">
        <v>78.132000000000005</v>
      </c>
      <c r="AC174" s="3">
        <v>2</v>
      </c>
      <c r="AD174" s="3">
        <v>39.460999999999999</v>
      </c>
      <c r="AE174" s="3">
        <v>26.562000000000001</v>
      </c>
      <c r="AF174" s="3">
        <v>37.122</v>
      </c>
      <c r="AG174" s="3">
        <v>20.683</v>
      </c>
      <c r="AH174" s="3">
        <v>1.448</v>
      </c>
      <c r="AI174" s="3" t="s">
        <v>81</v>
      </c>
      <c r="AJ174" s="3" t="s">
        <v>81</v>
      </c>
      <c r="AK174" s="3" t="s">
        <v>81</v>
      </c>
      <c r="AL174" s="3" t="s">
        <v>81</v>
      </c>
      <c r="AM174" s="3" t="s">
        <v>81</v>
      </c>
      <c r="AN174" s="3" t="s">
        <v>81</v>
      </c>
      <c r="AO174" s="3" t="s">
        <v>81</v>
      </c>
      <c r="AP174" s="3" t="s">
        <v>81</v>
      </c>
      <c r="AQ174" s="3" t="s">
        <v>81</v>
      </c>
      <c r="AR174" s="3" t="s">
        <v>81</v>
      </c>
      <c r="AS174" s="3" t="s">
        <v>81</v>
      </c>
      <c r="AT174" s="3" t="s">
        <v>81</v>
      </c>
      <c r="AU174" s="3" t="s">
        <v>81</v>
      </c>
      <c r="AV174" s="3" t="s">
        <v>81</v>
      </c>
      <c r="AW174" s="3" t="s">
        <v>81</v>
      </c>
      <c r="AX174" s="3" t="s">
        <v>81</v>
      </c>
      <c r="AY174" s="3" t="s">
        <v>81</v>
      </c>
      <c r="AZ174" s="3" t="s">
        <v>81</v>
      </c>
      <c r="BA174" s="3" t="s">
        <v>81</v>
      </c>
      <c r="BB174" s="3" t="s">
        <v>81</v>
      </c>
      <c r="BC174" s="3" t="s">
        <v>81</v>
      </c>
      <c r="BD174" s="3" t="s">
        <v>81</v>
      </c>
      <c r="BE174" s="3" t="s">
        <v>81</v>
      </c>
      <c r="BF174" s="3" t="s">
        <v>81</v>
      </c>
      <c r="BG174" s="3" t="s">
        <v>81</v>
      </c>
      <c r="BH174" s="3" t="s">
        <v>81</v>
      </c>
      <c r="BI174" s="3" t="s">
        <v>84</v>
      </c>
      <c r="BJ174" s="3" t="s">
        <v>82</v>
      </c>
      <c r="BK174" s="3" t="s">
        <v>83</v>
      </c>
      <c r="BL174" s="3" t="s">
        <v>84</v>
      </c>
      <c r="BM174" s="3" t="s">
        <v>84</v>
      </c>
      <c r="BN174" s="3" t="s">
        <v>82</v>
      </c>
      <c r="BO174" s="3" t="s">
        <v>82</v>
      </c>
      <c r="BP174" s="3" t="s">
        <v>313</v>
      </c>
      <c r="BQ174" s="3" t="s">
        <v>313</v>
      </c>
      <c r="BR174" s="3" t="s">
        <v>313</v>
      </c>
      <c r="BS174" s="3" t="s">
        <v>313</v>
      </c>
      <c r="BT174" s="3" t="s">
        <v>98</v>
      </c>
      <c r="BU174" s="3" t="s">
        <v>87</v>
      </c>
      <c r="BV174" s="3" t="s">
        <v>82</v>
      </c>
      <c r="BW174" s="3" t="s">
        <v>91</v>
      </c>
      <c r="BX174" s="3" t="s">
        <v>82</v>
      </c>
      <c r="BZ174" s="3" t="s">
        <v>86</v>
      </c>
      <c r="CB174" s="3" t="s">
        <v>84</v>
      </c>
      <c r="CD174" s="9">
        <v>6</v>
      </c>
      <c r="CE174" s="9">
        <v>6</v>
      </c>
      <c r="CF174" s="9"/>
    </row>
    <row r="175" spans="1:87" ht="13" x14ac:dyDescent="0.15">
      <c r="A175" s="3">
        <v>1228503366</v>
      </c>
      <c r="B175" s="3" t="s">
        <v>309</v>
      </c>
      <c r="C175" s="3" t="s">
        <v>309</v>
      </c>
      <c r="D175" s="3">
        <v>3</v>
      </c>
      <c r="E175" s="3">
        <v>4</v>
      </c>
      <c r="F175" s="3">
        <v>273.45499999999998</v>
      </c>
      <c r="G175" s="3">
        <v>4</v>
      </c>
      <c r="H175" s="3">
        <v>86.802999999999997</v>
      </c>
      <c r="I175" s="3">
        <v>64.853999999999999</v>
      </c>
      <c r="J175" s="3">
        <v>59.088000000000001</v>
      </c>
      <c r="K175" s="3">
        <v>61.406999999999996</v>
      </c>
      <c r="L175" s="3">
        <v>51.345999999999997</v>
      </c>
      <c r="M175" s="3">
        <v>51.231000000000002</v>
      </c>
      <c r="N175" s="3">
        <v>31.305</v>
      </c>
      <c r="O175" s="3">
        <v>47.075000000000003</v>
      </c>
      <c r="P175" s="3">
        <v>53.670999999999999</v>
      </c>
      <c r="Q175" s="3">
        <v>222.494</v>
      </c>
      <c r="R175" s="3">
        <v>3</v>
      </c>
      <c r="S175" s="3">
        <v>71.012</v>
      </c>
      <c r="T175" s="3">
        <v>60.381</v>
      </c>
      <c r="U175" s="3">
        <v>54.935000000000002</v>
      </c>
      <c r="V175" s="3">
        <v>51.436999999999998</v>
      </c>
      <c r="W175" s="3">
        <v>34.643999999999998</v>
      </c>
      <c r="X175" s="3">
        <v>47.468000000000004</v>
      </c>
      <c r="Y175" s="3">
        <v>58.042000000000002</v>
      </c>
      <c r="Z175" s="3" t="s">
        <v>81</v>
      </c>
      <c r="AA175" s="3" t="s">
        <v>81</v>
      </c>
      <c r="AB175" s="3">
        <v>282.47199999999998</v>
      </c>
      <c r="AC175" s="3">
        <v>3</v>
      </c>
      <c r="AD175" s="3">
        <v>90.921999999999997</v>
      </c>
      <c r="AE175" s="3">
        <v>65.296999999999997</v>
      </c>
      <c r="AF175" s="3">
        <v>71.457999999999998</v>
      </c>
      <c r="AG175" s="3">
        <v>61.96</v>
      </c>
      <c r="AH175" s="3">
        <v>50.149000000000001</v>
      </c>
      <c r="AI175" s="3">
        <v>56.718000000000004</v>
      </c>
      <c r="AJ175" s="3">
        <v>69.734999999999999</v>
      </c>
      <c r="AK175" s="3" t="s">
        <v>81</v>
      </c>
      <c r="AL175" s="3" t="s">
        <v>81</v>
      </c>
      <c r="AM175" s="3">
        <v>264.13</v>
      </c>
      <c r="AN175" s="3">
        <v>3</v>
      </c>
      <c r="AO175" s="3">
        <v>76.790000000000006</v>
      </c>
      <c r="AP175" s="3">
        <v>56.225000000000001</v>
      </c>
      <c r="AQ175" s="3">
        <v>66.831000000000003</v>
      </c>
      <c r="AR175" s="3">
        <v>56.277999999999999</v>
      </c>
      <c r="AS175" s="3">
        <v>47.024000000000001</v>
      </c>
      <c r="AT175" s="3">
        <v>40.756999999999998</v>
      </c>
      <c r="AU175" s="3">
        <v>71.010999999999996</v>
      </c>
      <c r="AV175" s="3" t="s">
        <v>81</v>
      </c>
      <c r="AW175" s="3" t="s">
        <v>81</v>
      </c>
      <c r="AX175" s="3" t="s">
        <v>81</v>
      </c>
      <c r="AY175" s="3" t="s">
        <v>81</v>
      </c>
      <c r="AZ175" s="3" t="s">
        <v>81</v>
      </c>
      <c r="BA175" s="3" t="s">
        <v>81</v>
      </c>
      <c r="BB175" s="3" t="s">
        <v>81</v>
      </c>
      <c r="BC175" s="3" t="s">
        <v>81</v>
      </c>
      <c r="BD175" s="3" t="s">
        <v>81</v>
      </c>
      <c r="BE175" s="3" t="s">
        <v>81</v>
      </c>
      <c r="BF175" s="3" t="s">
        <v>81</v>
      </c>
      <c r="BG175" s="3" t="s">
        <v>81</v>
      </c>
      <c r="BH175" s="3" t="s">
        <v>81</v>
      </c>
      <c r="BI175" s="3" t="s">
        <v>84</v>
      </c>
      <c r="BJ175" s="3" t="s">
        <v>84</v>
      </c>
      <c r="BK175" s="3" t="s">
        <v>84</v>
      </c>
      <c r="BL175" s="3" t="s">
        <v>84</v>
      </c>
      <c r="BM175" s="3" t="s">
        <v>84</v>
      </c>
      <c r="BN175" s="3" t="s">
        <v>82</v>
      </c>
      <c r="BO175" s="3" t="s">
        <v>82</v>
      </c>
      <c r="BP175" s="3" t="s">
        <v>133</v>
      </c>
      <c r="BQ175" s="3" t="s">
        <v>133</v>
      </c>
      <c r="BR175" s="3" t="s">
        <v>133</v>
      </c>
      <c r="BS175" s="3" t="s">
        <v>133</v>
      </c>
      <c r="BT175" s="3" t="s">
        <v>87</v>
      </c>
      <c r="BU175" s="3" t="s">
        <v>129</v>
      </c>
      <c r="BV175" s="3" t="s">
        <v>82</v>
      </c>
      <c r="BW175" s="3" t="s">
        <v>91</v>
      </c>
      <c r="BX175" s="3" t="s">
        <v>82</v>
      </c>
      <c r="BZ175" s="3" t="s">
        <v>86</v>
      </c>
      <c r="CB175" s="3" t="s">
        <v>84</v>
      </c>
      <c r="CD175" s="9"/>
      <c r="CE175" s="9"/>
      <c r="CF175" s="9"/>
    </row>
    <row r="176" spans="1:87" ht="13" x14ac:dyDescent="0.15">
      <c r="A176" s="3">
        <v>1319824351</v>
      </c>
      <c r="B176" s="3" t="s">
        <v>314</v>
      </c>
      <c r="C176" s="3" t="s">
        <v>315</v>
      </c>
      <c r="D176" s="3">
        <v>19</v>
      </c>
      <c r="E176" s="3">
        <v>22</v>
      </c>
      <c r="F176" s="3">
        <v>28.933</v>
      </c>
      <c r="G176" s="3">
        <v>0</v>
      </c>
      <c r="H176" s="3" t="s">
        <v>81</v>
      </c>
      <c r="I176" s="3" t="s">
        <v>81</v>
      </c>
      <c r="J176" s="3" t="s">
        <v>81</v>
      </c>
      <c r="K176" s="3" t="s">
        <v>81</v>
      </c>
      <c r="L176" s="3" t="s">
        <v>81</v>
      </c>
      <c r="M176" s="3" t="s">
        <v>81</v>
      </c>
      <c r="N176" s="3" t="s">
        <v>81</v>
      </c>
      <c r="O176" s="3" t="s">
        <v>81</v>
      </c>
      <c r="P176" s="3" t="s">
        <v>81</v>
      </c>
      <c r="Q176" s="3">
        <v>26.866</v>
      </c>
      <c r="R176" s="3">
        <v>0</v>
      </c>
      <c r="S176" s="3" t="s">
        <v>81</v>
      </c>
      <c r="T176" s="3" t="s">
        <v>81</v>
      </c>
      <c r="U176" s="3" t="s">
        <v>81</v>
      </c>
      <c r="V176" s="3" t="s">
        <v>81</v>
      </c>
      <c r="W176" s="3" t="s">
        <v>81</v>
      </c>
      <c r="X176" s="3" t="s">
        <v>81</v>
      </c>
      <c r="Y176" s="3" t="s">
        <v>81</v>
      </c>
      <c r="Z176" s="3" t="s">
        <v>81</v>
      </c>
      <c r="AA176" s="3" t="s">
        <v>81</v>
      </c>
      <c r="AB176" s="3">
        <v>26.946999999999999</v>
      </c>
      <c r="AC176" s="3">
        <v>0</v>
      </c>
      <c r="AD176" s="3" t="s">
        <v>81</v>
      </c>
      <c r="AE176" s="3" t="s">
        <v>81</v>
      </c>
      <c r="AF176" s="3" t="s">
        <v>81</v>
      </c>
      <c r="AG176" s="3" t="s">
        <v>81</v>
      </c>
      <c r="AH176" s="3" t="s">
        <v>81</v>
      </c>
      <c r="AI176" s="3" t="s">
        <v>81</v>
      </c>
      <c r="AJ176" s="3" t="s">
        <v>81</v>
      </c>
      <c r="AK176" s="3" t="s">
        <v>81</v>
      </c>
      <c r="AL176" s="3" t="s">
        <v>81</v>
      </c>
      <c r="AM176" s="3">
        <v>26.009</v>
      </c>
      <c r="AN176" s="3">
        <v>0</v>
      </c>
      <c r="AO176" s="3" t="s">
        <v>81</v>
      </c>
      <c r="AP176" s="3" t="s">
        <v>81</v>
      </c>
      <c r="AQ176" s="3" t="s">
        <v>81</v>
      </c>
      <c r="AR176" s="3" t="s">
        <v>81</v>
      </c>
      <c r="AS176" s="3" t="s">
        <v>81</v>
      </c>
      <c r="AT176" s="3" t="s">
        <v>81</v>
      </c>
      <c r="AU176" s="3" t="s">
        <v>81</v>
      </c>
      <c r="AV176" s="3" t="s">
        <v>81</v>
      </c>
      <c r="AW176" s="3" t="s">
        <v>81</v>
      </c>
      <c r="AX176" s="3">
        <v>29.992999999999999</v>
      </c>
      <c r="AY176" s="3">
        <v>0</v>
      </c>
      <c r="AZ176" s="3" t="s">
        <v>81</v>
      </c>
      <c r="BA176" s="3" t="s">
        <v>81</v>
      </c>
      <c r="BB176" s="3" t="s">
        <v>81</v>
      </c>
      <c r="BC176" s="3" t="s">
        <v>81</v>
      </c>
      <c r="BD176" s="3" t="s">
        <v>81</v>
      </c>
      <c r="BE176" s="3" t="s">
        <v>81</v>
      </c>
      <c r="BF176" s="3" t="s">
        <v>81</v>
      </c>
      <c r="BG176" s="3" t="s">
        <v>81</v>
      </c>
      <c r="BH176" s="3" t="s">
        <v>81</v>
      </c>
      <c r="BI176" s="3" t="s">
        <v>84</v>
      </c>
      <c r="BJ176" s="3" t="s">
        <v>84</v>
      </c>
      <c r="BK176" s="3" t="s">
        <v>84</v>
      </c>
      <c r="BL176" s="3" t="s">
        <v>82</v>
      </c>
      <c r="BM176" s="3" t="s">
        <v>83</v>
      </c>
      <c r="BN176" s="3" t="s">
        <v>82</v>
      </c>
      <c r="BO176" s="3" t="s">
        <v>83</v>
      </c>
      <c r="BP176" s="3" t="s">
        <v>83</v>
      </c>
      <c r="BQ176" s="3" t="s">
        <v>83</v>
      </c>
      <c r="BR176" s="3" t="s">
        <v>83</v>
      </c>
      <c r="BS176" s="3" t="s">
        <v>83</v>
      </c>
      <c r="BT176" s="3" t="s">
        <v>83</v>
      </c>
      <c r="BU176" s="3" t="s">
        <v>83</v>
      </c>
      <c r="BV176" s="3" t="s">
        <v>83</v>
      </c>
      <c r="BW176" s="3" t="s">
        <v>83</v>
      </c>
      <c r="BX176" s="3" t="s">
        <v>83</v>
      </c>
      <c r="BY176" s="3" t="s">
        <v>316</v>
      </c>
      <c r="BZ176" s="3" t="s">
        <v>86</v>
      </c>
      <c r="CB176" s="3" t="s">
        <v>84</v>
      </c>
      <c r="CD176" s="9">
        <v>22</v>
      </c>
      <c r="CE176" s="9"/>
      <c r="CG176">
        <v>21</v>
      </c>
    </row>
    <row r="177" spans="1:87" ht="13" x14ac:dyDescent="0.15">
      <c r="A177" s="3">
        <v>1228321575</v>
      </c>
      <c r="B177" s="3" t="s">
        <v>315</v>
      </c>
      <c r="C177" s="3" t="s">
        <v>315</v>
      </c>
      <c r="D177" s="3">
        <v>9</v>
      </c>
      <c r="E177" s="3">
        <v>11</v>
      </c>
      <c r="F177" s="3">
        <v>28.518999999999998</v>
      </c>
      <c r="G177" s="3">
        <v>0</v>
      </c>
      <c r="H177" s="3" t="s">
        <v>81</v>
      </c>
      <c r="I177" s="3" t="s">
        <v>81</v>
      </c>
      <c r="J177" s="3" t="s">
        <v>81</v>
      </c>
      <c r="K177" s="3" t="s">
        <v>81</v>
      </c>
      <c r="L177" s="3" t="s">
        <v>81</v>
      </c>
      <c r="M177" s="3" t="s">
        <v>81</v>
      </c>
      <c r="N177" s="3" t="s">
        <v>81</v>
      </c>
      <c r="O177" s="3" t="s">
        <v>81</v>
      </c>
      <c r="P177" s="3" t="s">
        <v>81</v>
      </c>
      <c r="Q177" s="3">
        <v>21.247</v>
      </c>
      <c r="R177" s="3">
        <v>0</v>
      </c>
      <c r="S177" s="3" t="s">
        <v>81</v>
      </c>
      <c r="T177" s="3" t="s">
        <v>81</v>
      </c>
      <c r="U177" s="3" t="s">
        <v>81</v>
      </c>
      <c r="V177" s="3" t="s">
        <v>81</v>
      </c>
      <c r="W177" s="3" t="s">
        <v>81</v>
      </c>
      <c r="X177" s="3" t="s">
        <v>81</v>
      </c>
      <c r="Y177" s="3" t="s">
        <v>81</v>
      </c>
      <c r="Z177" s="3" t="s">
        <v>81</v>
      </c>
      <c r="AA177" s="3" t="s">
        <v>81</v>
      </c>
      <c r="AB177" s="3">
        <v>26.701000000000001</v>
      </c>
      <c r="AC177" s="3">
        <v>0</v>
      </c>
      <c r="AD177" s="3" t="s">
        <v>81</v>
      </c>
      <c r="AE177" s="3" t="s">
        <v>81</v>
      </c>
      <c r="AF177" s="3" t="s">
        <v>81</v>
      </c>
      <c r="AG177" s="3" t="s">
        <v>81</v>
      </c>
      <c r="AH177" s="3" t="s">
        <v>81</v>
      </c>
      <c r="AI177" s="3" t="s">
        <v>81</v>
      </c>
      <c r="AJ177" s="3" t="s">
        <v>81</v>
      </c>
      <c r="AK177" s="3" t="s">
        <v>81</v>
      </c>
      <c r="AL177" s="3" t="s">
        <v>81</v>
      </c>
      <c r="AM177" s="3">
        <v>21.663</v>
      </c>
      <c r="AN177" s="3">
        <v>0</v>
      </c>
      <c r="AO177" s="3" t="s">
        <v>81</v>
      </c>
      <c r="AP177" s="3" t="s">
        <v>81</v>
      </c>
      <c r="AQ177" s="3" t="s">
        <v>81</v>
      </c>
      <c r="AR177" s="3" t="s">
        <v>81</v>
      </c>
      <c r="AS177" s="3" t="s">
        <v>81</v>
      </c>
      <c r="AT177" s="3" t="s">
        <v>81</v>
      </c>
      <c r="AU177" s="3" t="s">
        <v>81</v>
      </c>
      <c r="AV177" s="3" t="s">
        <v>81</v>
      </c>
      <c r="AW177" s="3" t="s">
        <v>81</v>
      </c>
      <c r="AX177" s="3" t="s">
        <v>81</v>
      </c>
      <c r="AY177" s="3" t="s">
        <v>81</v>
      </c>
      <c r="AZ177" s="3" t="s">
        <v>81</v>
      </c>
      <c r="BA177" s="3" t="s">
        <v>81</v>
      </c>
      <c r="BB177" s="3" t="s">
        <v>81</v>
      </c>
      <c r="BC177" s="3" t="s">
        <v>81</v>
      </c>
      <c r="BD177" s="3" t="s">
        <v>81</v>
      </c>
      <c r="BE177" s="3" t="s">
        <v>81</v>
      </c>
      <c r="BF177" s="3" t="s">
        <v>81</v>
      </c>
      <c r="BG177" s="3" t="s">
        <v>81</v>
      </c>
      <c r="BH177" s="3" t="s">
        <v>81</v>
      </c>
      <c r="BI177" s="3" t="s">
        <v>82</v>
      </c>
      <c r="BJ177" s="3" t="s">
        <v>82</v>
      </c>
      <c r="BK177" s="3" t="s">
        <v>83</v>
      </c>
      <c r="BL177" s="3" t="s">
        <v>84</v>
      </c>
      <c r="BM177" s="3" t="s">
        <v>84</v>
      </c>
      <c r="BN177" s="3" t="s">
        <v>84</v>
      </c>
      <c r="BO177" s="3" t="s">
        <v>82</v>
      </c>
      <c r="BP177" s="3" t="s">
        <v>87</v>
      </c>
      <c r="BQ177" s="3" t="s">
        <v>87</v>
      </c>
      <c r="BR177" s="3" t="s">
        <v>87</v>
      </c>
      <c r="BS177" s="3" t="s">
        <v>87</v>
      </c>
      <c r="BT177" s="3" t="s">
        <v>87</v>
      </c>
      <c r="BU177" s="3" t="s">
        <v>81</v>
      </c>
      <c r="BV177" s="3" t="s">
        <v>84</v>
      </c>
      <c r="BW177" s="3" t="s">
        <v>83</v>
      </c>
      <c r="BX177" s="3" t="s">
        <v>82</v>
      </c>
      <c r="BY177" s="3" t="s">
        <v>317</v>
      </c>
      <c r="BZ177" s="3" t="s">
        <v>93</v>
      </c>
      <c r="CB177" s="3" t="s">
        <v>84</v>
      </c>
      <c r="CD177" s="9">
        <v>10</v>
      </c>
      <c r="CE177" s="9"/>
      <c r="CI177" s="7"/>
    </row>
    <row r="178" spans="1:87" ht="13" x14ac:dyDescent="0.15">
      <c r="A178" s="3">
        <v>1322146849</v>
      </c>
      <c r="B178" s="3" t="s">
        <v>315</v>
      </c>
      <c r="C178" s="3" t="s">
        <v>315</v>
      </c>
      <c r="D178" s="3">
        <v>5</v>
      </c>
      <c r="E178" s="3">
        <v>8</v>
      </c>
      <c r="F178" s="3">
        <v>16.991</v>
      </c>
      <c r="G178" s="3">
        <v>0</v>
      </c>
      <c r="H178" s="3" t="s">
        <v>81</v>
      </c>
      <c r="I178" s="3" t="s">
        <v>81</v>
      </c>
      <c r="J178" s="3" t="s">
        <v>81</v>
      </c>
      <c r="K178" s="3" t="s">
        <v>81</v>
      </c>
      <c r="L178" s="3" t="s">
        <v>81</v>
      </c>
      <c r="M178" s="3" t="s">
        <v>81</v>
      </c>
      <c r="N178" s="3" t="s">
        <v>81</v>
      </c>
      <c r="O178" s="3" t="s">
        <v>81</v>
      </c>
      <c r="P178" s="3" t="s">
        <v>81</v>
      </c>
      <c r="Q178" s="3">
        <v>21.699000000000002</v>
      </c>
      <c r="R178" s="3">
        <v>0</v>
      </c>
      <c r="S178" s="3" t="s">
        <v>81</v>
      </c>
      <c r="T178" s="3" t="s">
        <v>81</v>
      </c>
      <c r="U178" s="3" t="s">
        <v>81</v>
      </c>
      <c r="V178" s="3" t="s">
        <v>81</v>
      </c>
      <c r="W178" s="3" t="s">
        <v>81</v>
      </c>
      <c r="X178" s="3" t="s">
        <v>81</v>
      </c>
      <c r="Y178" s="3" t="s">
        <v>81</v>
      </c>
      <c r="Z178" s="3" t="s">
        <v>81</v>
      </c>
      <c r="AA178" s="3" t="s">
        <v>81</v>
      </c>
      <c r="AB178" s="3">
        <v>21.82</v>
      </c>
      <c r="AC178" s="3">
        <v>0</v>
      </c>
      <c r="AD178" s="3" t="s">
        <v>81</v>
      </c>
      <c r="AE178" s="3" t="s">
        <v>81</v>
      </c>
      <c r="AF178" s="3" t="s">
        <v>81</v>
      </c>
      <c r="AG178" s="3" t="s">
        <v>81</v>
      </c>
      <c r="AH178" s="3" t="s">
        <v>81</v>
      </c>
      <c r="AI178" s="3" t="s">
        <v>81</v>
      </c>
      <c r="AJ178" s="3" t="s">
        <v>81</v>
      </c>
      <c r="AK178" s="3" t="s">
        <v>81</v>
      </c>
      <c r="AL178" s="3" t="s">
        <v>81</v>
      </c>
      <c r="AM178" s="3">
        <v>20.827000000000002</v>
      </c>
      <c r="AN178" s="3">
        <v>0</v>
      </c>
      <c r="AO178" s="3" t="s">
        <v>81</v>
      </c>
      <c r="AP178" s="3" t="s">
        <v>81</v>
      </c>
      <c r="AQ178" s="3" t="s">
        <v>81</v>
      </c>
      <c r="AR178" s="3" t="s">
        <v>81</v>
      </c>
      <c r="AS178" s="3" t="s">
        <v>81</v>
      </c>
      <c r="AT178" s="3" t="s">
        <v>81</v>
      </c>
      <c r="AU178" s="3" t="s">
        <v>81</v>
      </c>
      <c r="AV178" s="3" t="s">
        <v>81</v>
      </c>
      <c r="AW178" s="3" t="s">
        <v>81</v>
      </c>
      <c r="AX178" s="3">
        <v>20.895</v>
      </c>
      <c r="AY178" s="3">
        <v>0</v>
      </c>
      <c r="AZ178" s="3" t="s">
        <v>81</v>
      </c>
      <c r="BA178" s="3" t="s">
        <v>81</v>
      </c>
      <c r="BB178" s="3" t="s">
        <v>81</v>
      </c>
      <c r="BC178" s="3" t="s">
        <v>81</v>
      </c>
      <c r="BD178" s="3" t="s">
        <v>81</v>
      </c>
      <c r="BE178" s="3" t="s">
        <v>81</v>
      </c>
      <c r="BF178" s="3" t="s">
        <v>81</v>
      </c>
      <c r="BG178" s="3" t="s">
        <v>81</v>
      </c>
      <c r="BH178" s="3" t="s">
        <v>81</v>
      </c>
      <c r="BI178" s="3" t="s">
        <v>82</v>
      </c>
      <c r="BJ178" s="3" t="s">
        <v>82</v>
      </c>
      <c r="BK178" s="3" t="s">
        <v>83</v>
      </c>
      <c r="BL178" s="3" t="s">
        <v>84</v>
      </c>
      <c r="BM178" s="3" t="s">
        <v>84</v>
      </c>
      <c r="BN178" s="3" t="s">
        <v>84</v>
      </c>
      <c r="BO178" s="3" t="s">
        <v>82</v>
      </c>
      <c r="BP178" s="3" t="s">
        <v>87</v>
      </c>
      <c r="BQ178" s="3" t="s">
        <v>87</v>
      </c>
      <c r="BR178" s="3" t="s">
        <v>85</v>
      </c>
      <c r="BS178" s="3" t="s">
        <v>85</v>
      </c>
      <c r="BT178" s="3" t="s">
        <v>87</v>
      </c>
      <c r="BU178" s="3" t="s">
        <v>85</v>
      </c>
      <c r="BV178" s="3" t="s">
        <v>82</v>
      </c>
      <c r="BW178" s="3" t="s">
        <v>91</v>
      </c>
      <c r="BX178" s="3" t="s">
        <v>82</v>
      </c>
      <c r="BZ178" s="3" t="s">
        <v>86</v>
      </c>
      <c r="CB178" s="3" t="s">
        <v>84</v>
      </c>
      <c r="CD178" s="9">
        <v>10</v>
      </c>
      <c r="CE178" s="9">
        <v>8</v>
      </c>
      <c r="CI178" s="5"/>
    </row>
    <row r="179" spans="1:87" ht="13" hidden="1" x14ac:dyDescent="0.15">
      <c r="A179" s="3">
        <v>1228409226</v>
      </c>
      <c r="B179" s="3" t="s">
        <v>367</v>
      </c>
      <c r="C179" s="3" t="s">
        <v>367</v>
      </c>
      <c r="D179" s="3">
        <v>2</v>
      </c>
      <c r="E179" s="3">
        <v>3</v>
      </c>
      <c r="F179" s="3" t="s">
        <v>81</v>
      </c>
      <c r="G179" s="3">
        <v>1</v>
      </c>
      <c r="H179" s="3">
        <v>22.146999999999998</v>
      </c>
      <c r="I179" s="3">
        <v>12.162000000000001</v>
      </c>
      <c r="J179" s="3" t="s">
        <v>81</v>
      </c>
      <c r="K179" s="3" t="s">
        <v>81</v>
      </c>
      <c r="L179" s="3" t="s">
        <v>81</v>
      </c>
      <c r="M179" s="3" t="s">
        <v>81</v>
      </c>
      <c r="N179" s="3" t="s">
        <v>81</v>
      </c>
      <c r="O179" s="3" t="s">
        <v>81</v>
      </c>
      <c r="P179" s="3" t="s">
        <v>81</v>
      </c>
      <c r="Q179" s="3" t="s">
        <v>81</v>
      </c>
      <c r="R179" s="3">
        <v>1</v>
      </c>
      <c r="S179" s="3" t="s">
        <v>81</v>
      </c>
      <c r="T179" s="3" t="s">
        <v>81</v>
      </c>
      <c r="U179" s="3" t="s">
        <v>81</v>
      </c>
      <c r="V179" s="3" t="s">
        <v>81</v>
      </c>
      <c r="W179" s="3" t="s">
        <v>81</v>
      </c>
      <c r="X179" s="3" t="s">
        <v>81</v>
      </c>
      <c r="Y179" s="3" t="s">
        <v>81</v>
      </c>
      <c r="Z179" s="3" t="s">
        <v>81</v>
      </c>
      <c r="AA179" s="3" t="s">
        <v>81</v>
      </c>
      <c r="AB179" s="3" t="s">
        <v>81</v>
      </c>
      <c r="AC179" s="3">
        <v>1</v>
      </c>
      <c r="AD179" s="3" t="s">
        <v>81</v>
      </c>
      <c r="AE179" s="3" t="s">
        <v>81</v>
      </c>
      <c r="AF179" s="3" t="s">
        <v>81</v>
      </c>
      <c r="AG179" s="3" t="s">
        <v>81</v>
      </c>
      <c r="AH179" s="3" t="s">
        <v>81</v>
      </c>
      <c r="AI179" s="3" t="s">
        <v>81</v>
      </c>
      <c r="AJ179" s="3" t="s">
        <v>81</v>
      </c>
      <c r="AK179" s="3" t="s">
        <v>81</v>
      </c>
      <c r="AL179" s="3" t="s">
        <v>81</v>
      </c>
      <c r="AM179" s="3" t="s">
        <v>81</v>
      </c>
      <c r="AN179" s="3" t="s">
        <v>81</v>
      </c>
      <c r="AO179" s="3" t="s">
        <v>81</v>
      </c>
      <c r="AP179" s="3" t="s">
        <v>81</v>
      </c>
      <c r="AQ179" s="3" t="s">
        <v>81</v>
      </c>
      <c r="AR179" s="3" t="s">
        <v>81</v>
      </c>
      <c r="AS179" s="3" t="s">
        <v>81</v>
      </c>
      <c r="AT179" s="3" t="s">
        <v>81</v>
      </c>
      <c r="AU179" s="3" t="s">
        <v>81</v>
      </c>
      <c r="AV179" s="3" t="s">
        <v>81</v>
      </c>
      <c r="AW179" s="3" t="s">
        <v>81</v>
      </c>
      <c r="AX179" s="3" t="s">
        <v>81</v>
      </c>
      <c r="AY179" s="3" t="s">
        <v>81</v>
      </c>
      <c r="AZ179" s="3" t="s">
        <v>81</v>
      </c>
      <c r="BA179" s="3" t="s">
        <v>81</v>
      </c>
      <c r="BB179" s="3" t="s">
        <v>81</v>
      </c>
      <c r="BC179" s="3" t="s">
        <v>81</v>
      </c>
      <c r="BD179" s="3" t="s">
        <v>81</v>
      </c>
      <c r="BE179" s="3" t="s">
        <v>81</v>
      </c>
      <c r="BF179" s="3" t="s">
        <v>81</v>
      </c>
      <c r="BG179" s="3" t="s">
        <v>81</v>
      </c>
      <c r="BH179" s="3" t="s">
        <v>81</v>
      </c>
      <c r="BI179" s="3" t="s">
        <v>84</v>
      </c>
      <c r="BJ179" s="3" t="s">
        <v>82</v>
      </c>
      <c r="BK179" s="3" t="s">
        <v>83</v>
      </c>
      <c r="BL179" s="3" t="s">
        <v>84</v>
      </c>
      <c r="BM179" s="3" t="s">
        <v>84</v>
      </c>
      <c r="BN179" s="3" t="s">
        <v>82</v>
      </c>
      <c r="BO179" s="3" t="s">
        <v>82</v>
      </c>
      <c r="BP179" s="3" t="s">
        <v>218</v>
      </c>
      <c r="BQ179" s="3" t="s">
        <v>218</v>
      </c>
      <c r="BR179" s="3" t="s">
        <v>98</v>
      </c>
      <c r="BS179" s="3" t="s">
        <v>98</v>
      </c>
      <c r="BT179" s="3" t="s">
        <v>85</v>
      </c>
      <c r="BU179" s="3" t="s">
        <v>98</v>
      </c>
      <c r="BV179" s="3" t="s">
        <v>82</v>
      </c>
      <c r="BW179" s="3" t="s">
        <v>111</v>
      </c>
      <c r="BX179" s="3" t="s">
        <v>82</v>
      </c>
      <c r="BY179" s="3" t="s">
        <v>368</v>
      </c>
      <c r="BZ179" s="3" t="s">
        <v>93</v>
      </c>
      <c r="CA179" s="3" t="s">
        <v>232</v>
      </c>
      <c r="CB179" s="3"/>
      <c r="CC179" s="3"/>
      <c r="CD179" s="9">
        <v>5</v>
      </c>
      <c r="CE179" s="9"/>
      <c r="CF179" s="9"/>
      <c r="CG179" s="5"/>
      <c r="CH179" s="5"/>
    </row>
    <row r="180" spans="1:87" ht="13" hidden="1" x14ac:dyDescent="0.15">
      <c r="A180" s="3">
        <v>1228419381</v>
      </c>
      <c r="B180" s="3" t="s">
        <v>367</v>
      </c>
      <c r="C180" s="3" t="s">
        <v>367</v>
      </c>
      <c r="D180" s="3">
        <v>3</v>
      </c>
      <c r="E180" s="3">
        <v>2</v>
      </c>
      <c r="F180" s="3">
        <v>23.225000000000001</v>
      </c>
      <c r="G180" s="3">
        <v>1</v>
      </c>
      <c r="H180" s="3">
        <v>12.689</v>
      </c>
      <c r="I180" s="3">
        <v>12.779</v>
      </c>
      <c r="J180" s="3">
        <v>10.316000000000001</v>
      </c>
      <c r="K180" s="3" t="s">
        <v>81</v>
      </c>
      <c r="L180" s="3" t="s">
        <v>81</v>
      </c>
      <c r="M180" s="3" t="s">
        <v>81</v>
      </c>
      <c r="N180" s="3" t="s">
        <v>81</v>
      </c>
      <c r="O180" s="3" t="s">
        <v>81</v>
      </c>
      <c r="P180" s="3" t="s">
        <v>81</v>
      </c>
      <c r="Q180" s="3">
        <v>18.641999999999999</v>
      </c>
      <c r="R180" s="3">
        <v>1</v>
      </c>
      <c r="S180" s="3">
        <v>10.717000000000001</v>
      </c>
      <c r="T180" s="3">
        <v>13.521000000000001</v>
      </c>
      <c r="U180" s="3">
        <v>7.83</v>
      </c>
      <c r="V180" s="3" t="s">
        <v>81</v>
      </c>
      <c r="W180" s="3" t="s">
        <v>81</v>
      </c>
      <c r="X180" s="3" t="s">
        <v>81</v>
      </c>
      <c r="Y180" s="3" t="s">
        <v>81</v>
      </c>
      <c r="Z180" s="3" t="s">
        <v>81</v>
      </c>
      <c r="AA180" s="3" t="s">
        <v>81</v>
      </c>
      <c r="AB180" s="3" t="s">
        <v>81</v>
      </c>
      <c r="AC180" s="3">
        <v>0</v>
      </c>
      <c r="AD180" s="3" t="s">
        <v>81</v>
      </c>
      <c r="AE180" s="3" t="s">
        <v>81</v>
      </c>
      <c r="AF180" s="3" t="s">
        <v>81</v>
      </c>
      <c r="AG180" s="3" t="s">
        <v>81</v>
      </c>
      <c r="AH180" s="3" t="s">
        <v>81</v>
      </c>
      <c r="AI180" s="3" t="s">
        <v>81</v>
      </c>
      <c r="AJ180" s="3" t="s">
        <v>81</v>
      </c>
      <c r="AK180" s="3" t="s">
        <v>81</v>
      </c>
      <c r="AL180" s="3" t="s">
        <v>81</v>
      </c>
      <c r="AM180" s="3" t="s">
        <v>81</v>
      </c>
      <c r="AN180" s="3" t="s">
        <v>81</v>
      </c>
      <c r="AO180" s="3" t="s">
        <v>81</v>
      </c>
      <c r="AP180" s="3" t="s">
        <v>81</v>
      </c>
      <c r="AQ180" s="3" t="s">
        <v>81</v>
      </c>
      <c r="AR180" s="3" t="s">
        <v>81</v>
      </c>
      <c r="AS180" s="3" t="s">
        <v>81</v>
      </c>
      <c r="AT180" s="3" t="s">
        <v>81</v>
      </c>
      <c r="AU180" s="3" t="s">
        <v>81</v>
      </c>
      <c r="AV180" s="3" t="s">
        <v>81</v>
      </c>
      <c r="AW180" s="3" t="s">
        <v>81</v>
      </c>
      <c r="AX180" s="3" t="s">
        <v>81</v>
      </c>
      <c r="AY180" s="3" t="s">
        <v>81</v>
      </c>
      <c r="AZ180" s="3" t="s">
        <v>81</v>
      </c>
      <c r="BA180" s="3" t="s">
        <v>81</v>
      </c>
      <c r="BB180" s="3" t="s">
        <v>81</v>
      </c>
      <c r="BC180" s="3" t="s">
        <v>81</v>
      </c>
      <c r="BD180" s="3" t="s">
        <v>81</v>
      </c>
      <c r="BE180" s="3" t="s">
        <v>81</v>
      </c>
      <c r="BF180" s="3" t="s">
        <v>81</v>
      </c>
      <c r="BG180" s="3" t="s">
        <v>81</v>
      </c>
      <c r="BH180" s="3" t="s">
        <v>81</v>
      </c>
      <c r="BI180" s="3" t="s">
        <v>84</v>
      </c>
      <c r="BJ180" s="3" t="s">
        <v>82</v>
      </c>
      <c r="BK180" s="3" t="s">
        <v>83</v>
      </c>
      <c r="BL180" s="3" t="s">
        <v>84</v>
      </c>
      <c r="BM180" s="3" t="s">
        <v>84</v>
      </c>
      <c r="BN180" s="3" t="s">
        <v>82</v>
      </c>
      <c r="BO180" s="3" t="s">
        <v>82</v>
      </c>
      <c r="BP180" s="3" t="s">
        <v>369</v>
      </c>
      <c r="BQ180" s="3" t="s">
        <v>369</v>
      </c>
      <c r="BR180" s="3" t="s">
        <v>98</v>
      </c>
      <c r="BS180" s="3" t="s">
        <v>370</v>
      </c>
      <c r="BT180" s="3" t="s">
        <v>85</v>
      </c>
      <c r="BU180" s="3" t="s">
        <v>98</v>
      </c>
      <c r="BV180" s="3" t="s">
        <v>82</v>
      </c>
      <c r="BW180" s="3" t="s">
        <v>111</v>
      </c>
      <c r="BX180" s="3" t="s">
        <v>82</v>
      </c>
      <c r="BY180" s="3" t="s">
        <v>371</v>
      </c>
      <c r="BZ180" s="3" t="s">
        <v>93</v>
      </c>
      <c r="CD180" s="9">
        <v>5</v>
      </c>
      <c r="CE180" s="9"/>
      <c r="CF180" s="9"/>
    </row>
    <row r="181" spans="1:87" ht="13" x14ac:dyDescent="0.15">
      <c r="A181" s="3">
        <v>2625858318</v>
      </c>
      <c r="B181" s="3" t="s">
        <v>315</v>
      </c>
      <c r="C181" s="3" t="s">
        <v>315</v>
      </c>
      <c r="D181" s="3">
        <v>13</v>
      </c>
      <c r="E181" s="3">
        <v>14</v>
      </c>
      <c r="F181" s="3">
        <v>29.945</v>
      </c>
      <c r="G181" s="3">
        <v>0</v>
      </c>
      <c r="H181" s="3" t="s">
        <v>81</v>
      </c>
      <c r="I181" s="3" t="s">
        <v>81</v>
      </c>
      <c r="J181" s="3" t="s">
        <v>81</v>
      </c>
      <c r="K181" s="3" t="s">
        <v>81</v>
      </c>
      <c r="L181" s="3" t="s">
        <v>81</v>
      </c>
      <c r="M181" s="3" t="s">
        <v>81</v>
      </c>
      <c r="N181" s="3" t="s">
        <v>81</v>
      </c>
      <c r="O181" s="3" t="s">
        <v>81</v>
      </c>
      <c r="P181" s="3" t="s">
        <v>81</v>
      </c>
      <c r="Q181" s="3">
        <v>32.191000000000003</v>
      </c>
      <c r="R181" s="3">
        <v>0</v>
      </c>
      <c r="S181" s="3" t="s">
        <v>81</v>
      </c>
      <c r="T181" s="3" t="s">
        <v>81</v>
      </c>
      <c r="U181" s="3" t="s">
        <v>81</v>
      </c>
      <c r="V181" s="3" t="s">
        <v>81</v>
      </c>
      <c r="W181" s="3" t="s">
        <v>81</v>
      </c>
      <c r="X181" s="3" t="s">
        <v>81</v>
      </c>
      <c r="Y181" s="3" t="s">
        <v>81</v>
      </c>
      <c r="Z181" s="3" t="s">
        <v>81</v>
      </c>
      <c r="AA181" s="3" t="s">
        <v>81</v>
      </c>
      <c r="AB181" s="3">
        <v>29.789000000000001</v>
      </c>
      <c r="AC181" s="3">
        <v>0</v>
      </c>
      <c r="AD181" s="3" t="s">
        <v>81</v>
      </c>
      <c r="AE181" s="3" t="s">
        <v>81</v>
      </c>
      <c r="AF181" s="3" t="s">
        <v>81</v>
      </c>
      <c r="AG181" s="3" t="s">
        <v>81</v>
      </c>
      <c r="AH181" s="3" t="s">
        <v>81</v>
      </c>
      <c r="AI181" s="3" t="s">
        <v>81</v>
      </c>
      <c r="AJ181" s="3" t="s">
        <v>81</v>
      </c>
      <c r="AK181" s="3" t="s">
        <v>81</v>
      </c>
      <c r="AL181" s="3" t="s">
        <v>81</v>
      </c>
      <c r="AM181" s="3">
        <v>29.21</v>
      </c>
      <c r="AN181" s="3">
        <v>0</v>
      </c>
      <c r="AO181" s="3" t="s">
        <v>81</v>
      </c>
      <c r="AP181" s="3" t="s">
        <v>81</v>
      </c>
      <c r="AQ181" s="3" t="s">
        <v>81</v>
      </c>
      <c r="AR181" s="3" t="s">
        <v>81</v>
      </c>
      <c r="AS181" s="3" t="s">
        <v>81</v>
      </c>
      <c r="AT181" s="3" t="s">
        <v>81</v>
      </c>
      <c r="AU181" s="3" t="s">
        <v>81</v>
      </c>
      <c r="AV181" s="3" t="s">
        <v>81</v>
      </c>
      <c r="AW181" s="3" t="s">
        <v>81</v>
      </c>
      <c r="AX181" s="3">
        <v>27.847999999999999</v>
      </c>
      <c r="AY181" s="3">
        <v>0</v>
      </c>
      <c r="AZ181" s="3" t="s">
        <v>81</v>
      </c>
      <c r="BA181" s="3" t="s">
        <v>81</v>
      </c>
      <c r="BB181" s="3" t="s">
        <v>81</v>
      </c>
      <c r="BC181" s="3" t="s">
        <v>81</v>
      </c>
      <c r="BD181" s="3" t="s">
        <v>81</v>
      </c>
      <c r="BE181" s="3" t="s">
        <v>81</v>
      </c>
      <c r="BF181" s="3" t="s">
        <v>81</v>
      </c>
      <c r="BG181" s="3" t="s">
        <v>81</v>
      </c>
      <c r="BH181" s="3" t="s">
        <v>81</v>
      </c>
      <c r="BI181" s="3" t="s">
        <v>82</v>
      </c>
      <c r="BJ181" s="3" t="s">
        <v>82</v>
      </c>
      <c r="BK181" s="3" t="s">
        <v>83</v>
      </c>
      <c r="BL181" s="3" t="s">
        <v>84</v>
      </c>
      <c r="BM181" s="3" t="s">
        <v>84</v>
      </c>
      <c r="BN181" s="3" t="s">
        <v>82</v>
      </c>
      <c r="BO181" s="3" t="s">
        <v>82</v>
      </c>
      <c r="BP181" s="3" t="s">
        <v>218</v>
      </c>
      <c r="BQ181" s="3" t="s">
        <v>218</v>
      </c>
      <c r="BR181" s="3" t="s">
        <v>218</v>
      </c>
      <c r="BS181" s="3" t="s">
        <v>218</v>
      </c>
      <c r="BT181" s="3" t="s">
        <v>85</v>
      </c>
      <c r="BU181" s="3" t="s">
        <v>81</v>
      </c>
      <c r="BV181" s="3" t="s">
        <v>82</v>
      </c>
      <c r="BW181" s="3" t="s">
        <v>91</v>
      </c>
      <c r="BX181" s="3" t="s">
        <v>82</v>
      </c>
      <c r="BZ181" s="3" t="s">
        <v>86</v>
      </c>
      <c r="CB181" s="3" t="s">
        <v>84</v>
      </c>
      <c r="CD181" s="9">
        <v>15</v>
      </c>
      <c r="CE181" s="9"/>
    </row>
    <row r="182" spans="1:87" ht="13" x14ac:dyDescent="0.15">
      <c r="A182" s="3">
        <v>2625895494</v>
      </c>
      <c r="B182" s="3" t="s">
        <v>320</v>
      </c>
      <c r="C182" s="3" t="s">
        <v>320</v>
      </c>
      <c r="D182" s="3" t="s">
        <v>81</v>
      </c>
      <c r="E182" s="3">
        <v>7</v>
      </c>
      <c r="F182" s="3">
        <v>8.5289999999999999</v>
      </c>
      <c r="G182" s="3">
        <v>1</v>
      </c>
      <c r="H182" s="3">
        <v>4.2910000000000004</v>
      </c>
      <c r="I182" s="3">
        <v>5.6639999999999997</v>
      </c>
      <c r="J182" s="3">
        <v>5.0659999999999998</v>
      </c>
      <c r="K182" s="3" t="s">
        <v>81</v>
      </c>
      <c r="L182" s="3" t="s">
        <v>81</v>
      </c>
      <c r="M182" s="3" t="s">
        <v>81</v>
      </c>
      <c r="N182" s="3" t="s">
        <v>81</v>
      </c>
      <c r="O182" s="3" t="s">
        <v>81</v>
      </c>
      <c r="P182" s="3" t="s">
        <v>81</v>
      </c>
      <c r="Q182" s="3">
        <v>11.272</v>
      </c>
      <c r="R182" s="3">
        <v>1</v>
      </c>
      <c r="S182" s="3">
        <v>3.706</v>
      </c>
      <c r="T182" s="3">
        <v>9.6920000000000002</v>
      </c>
      <c r="U182" s="3">
        <v>7.633</v>
      </c>
      <c r="V182" s="3" t="s">
        <v>81</v>
      </c>
      <c r="W182" s="3" t="s">
        <v>81</v>
      </c>
      <c r="X182" s="3" t="s">
        <v>81</v>
      </c>
      <c r="Y182" s="3" t="s">
        <v>81</v>
      </c>
      <c r="Z182" s="3" t="s">
        <v>81</v>
      </c>
      <c r="AA182" s="3" t="s">
        <v>81</v>
      </c>
      <c r="AB182" s="3">
        <v>11.763999999999999</v>
      </c>
      <c r="AC182" s="3">
        <v>1</v>
      </c>
      <c r="AD182" s="3">
        <v>4.8419999999999996</v>
      </c>
      <c r="AE182" s="3">
        <v>11.606999999999999</v>
      </c>
      <c r="AF182" s="3">
        <v>6.5049999999999999</v>
      </c>
      <c r="AG182" s="3" t="s">
        <v>81</v>
      </c>
      <c r="AH182" s="3" t="s">
        <v>81</v>
      </c>
      <c r="AI182" s="3" t="s">
        <v>81</v>
      </c>
      <c r="AJ182" s="3" t="s">
        <v>81</v>
      </c>
      <c r="AK182" s="3" t="s">
        <v>81</v>
      </c>
      <c r="AL182" s="3" t="s">
        <v>81</v>
      </c>
      <c r="AM182" s="3" t="s">
        <v>81</v>
      </c>
      <c r="AN182" s="3" t="s">
        <v>81</v>
      </c>
      <c r="AO182" s="3" t="s">
        <v>81</v>
      </c>
      <c r="AP182" s="3" t="s">
        <v>81</v>
      </c>
      <c r="AQ182" s="3" t="s">
        <v>81</v>
      </c>
      <c r="AR182" s="3" t="s">
        <v>81</v>
      </c>
      <c r="AS182" s="3" t="s">
        <v>81</v>
      </c>
      <c r="AT182" s="3" t="s">
        <v>81</v>
      </c>
      <c r="AU182" s="3" t="s">
        <v>81</v>
      </c>
      <c r="AV182" s="3" t="s">
        <v>81</v>
      </c>
      <c r="AW182" s="3" t="s">
        <v>81</v>
      </c>
      <c r="AX182" s="3" t="s">
        <v>81</v>
      </c>
      <c r="AY182" s="3" t="s">
        <v>81</v>
      </c>
      <c r="AZ182" s="3" t="s">
        <v>81</v>
      </c>
      <c r="BA182" s="3" t="s">
        <v>81</v>
      </c>
      <c r="BB182" s="3" t="s">
        <v>81</v>
      </c>
      <c r="BC182" s="3" t="s">
        <v>81</v>
      </c>
      <c r="BD182" s="3" t="s">
        <v>81</v>
      </c>
      <c r="BE182" s="3" t="s">
        <v>81</v>
      </c>
      <c r="BF182" s="3" t="s">
        <v>81</v>
      </c>
      <c r="BG182" s="3" t="s">
        <v>81</v>
      </c>
      <c r="BH182" s="3" t="s">
        <v>81</v>
      </c>
      <c r="BI182" s="3" t="s">
        <v>84</v>
      </c>
      <c r="BJ182" s="3" t="s">
        <v>82</v>
      </c>
      <c r="BK182" s="3" t="s">
        <v>83</v>
      </c>
      <c r="BL182" s="3" t="s">
        <v>84</v>
      </c>
      <c r="BM182" s="3" t="s">
        <v>84</v>
      </c>
      <c r="BN182" s="3" t="s">
        <v>82</v>
      </c>
      <c r="BO182" s="3" t="s">
        <v>82</v>
      </c>
      <c r="BP182" s="3" t="s">
        <v>321</v>
      </c>
      <c r="BQ182" s="3" t="s">
        <v>321</v>
      </c>
      <c r="BR182" s="3" t="s">
        <v>98</v>
      </c>
      <c r="BS182" s="3" t="s">
        <v>98</v>
      </c>
      <c r="BT182" s="3" t="s">
        <v>98</v>
      </c>
      <c r="BU182" s="3" t="s">
        <v>81</v>
      </c>
      <c r="BV182" s="3" t="s">
        <v>84</v>
      </c>
      <c r="BW182" s="3" t="s">
        <v>83</v>
      </c>
      <c r="BX182" s="3" t="s">
        <v>84</v>
      </c>
      <c r="BY182" s="3" t="s">
        <v>322</v>
      </c>
      <c r="BZ182" s="3" t="s">
        <v>86</v>
      </c>
      <c r="CA182" s="3"/>
      <c r="CB182" s="3" t="s">
        <v>84</v>
      </c>
      <c r="CC182" s="3"/>
      <c r="CD182" s="9">
        <v>6</v>
      </c>
      <c r="CE182" s="9">
        <v>7</v>
      </c>
      <c r="CF182" s="5"/>
      <c r="CG182" s="5"/>
      <c r="CH182" s="5"/>
    </row>
    <row r="183" spans="1:87" ht="13" x14ac:dyDescent="0.15">
      <c r="A183" s="3">
        <v>1318752169</v>
      </c>
      <c r="B183" s="3" t="s">
        <v>320</v>
      </c>
      <c r="C183" s="3" t="s">
        <v>320</v>
      </c>
      <c r="D183" s="3" t="s">
        <v>81</v>
      </c>
      <c r="E183" s="3">
        <v>4</v>
      </c>
      <c r="F183" s="3">
        <v>18.623000000000001</v>
      </c>
      <c r="G183" s="3">
        <v>1</v>
      </c>
      <c r="H183" s="3" t="s">
        <v>81</v>
      </c>
      <c r="I183" s="3" t="s">
        <v>81</v>
      </c>
      <c r="J183" s="3" t="s">
        <v>81</v>
      </c>
      <c r="K183" s="3" t="s">
        <v>81</v>
      </c>
      <c r="L183" s="3" t="s">
        <v>81</v>
      </c>
      <c r="M183" s="3" t="s">
        <v>81</v>
      </c>
      <c r="N183" s="3" t="s">
        <v>81</v>
      </c>
      <c r="O183" s="3" t="s">
        <v>81</v>
      </c>
      <c r="P183" s="3" t="s">
        <v>81</v>
      </c>
      <c r="Q183" s="3">
        <v>10.739000000000001</v>
      </c>
      <c r="R183" s="3">
        <v>1</v>
      </c>
      <c r="S183" s="3" t="s">
        <v>81</v>
      </c>
      <c r="T183" s="3" t="s">
        <v>81</v>
      </c>
      <c r="U183" s="3" t="s">
        <v>81</v>
      </c>
      <c r="V183" s="3" t="s">
        <v>81</v>
      </c>
      <c r="W183" s="3" t="s">
        <v>81</v>
      </c>
      <c r="X183" s="3" t="s">
        <v>81</v>
      </c>
      <c r="Y183" s="3" t="s">
        <v>81</v>
      </c>
      <c r="Z183" s="3" t="s">
        <v>81</v>
      </c>
      <c r="AA183" s="3" t="s">
        <v>81</v>
      </c>
      <c r="AB183" s="3">
        <v>24.468</v>
      </c>
      <c r="AC183" s="3">
        <v>1</v>
      </c>
      <c r="AD183" s="3" t="s">
        <v>81</v>
      </c>
      <c r="AE183" s="3" t="s">
        <v>81</v>
      </c>
      <c r="AF183" s="3" t="s">
        <v>81</v>
      </c>
      <c r="AG183" s="3" t="s">
        <v>81</v>
      </c>
      <c r="AH183" s="3" t="s">
        <v>81</v>
      </c>
      <c r="AI183" s="3" t="s">
        <v>81</v>
      </c>
      <c r="AJ183" s="3" t="s">
        <v>81</v>
      </c>
      <c r="AK183" s="3" t="s">
        <v>81</v>
      </c>
      <c r="AL183" s="3" t="s">
        <v>81</v>
      </c>
      <c r="AM183" s="3">
        <v>10.775</v>
      </c>
      <c r="AN183" s="3">
        <v>1</v>
      </c>
      <c r="AO183" s="3">
        <v>7.36</v>
      </c>
      <c r="AP183" s="3">
        <v>7.91</v>
      </c>
      <c r="AQ183" s="3">
        <v>5.141</v>
      </c>
      <c r="AR183" s="3" t="s">
        <v>81</v>
      </c>
      <c r="AS183" s="3" t="s">
        <v>81</v>
      </c>
      <c r="AT183" s="3" t="s">
        <v>81</v>
      </c>
      <c r="AU183" s="3" t="s">
        <v>81</v>
      </c>
      <c r="AV183" s="3" t="s">
        <v>81</v>
      </c>
      <c r="AW183" s="3" t="s">
        <v>81</v>
      </c>
      <c r="AX183" s="3" t="s">
        <v>81</v>
      </c>
      <c r="AY183" s="3" t="s">
        <v>81</v>
      </c>
      <c r="AZ183" s="3" t="s">
        <v>81</v>
      </c>
      <c r="BA183" s="3" t="s">
        <v>81</v>
      </c>
      <c r="BB183" s="3" t="s">
        <v>81</v>
      </c>
      <c r="BC183" s="3" t="s">
        <v>81</v>
      </c>
      <c r="BD183" s="3" t="s">
        <v>81</v>
      </c>
      <c r="BE183" s="3" t="s">
        <v>81</v>
      </c>
      <c r="BF183" s="3" t="s">
        <v>81</v>
      </c>
      <c r="BG183" s="3" t="s">
        <v>81</v>
      </c>
      <c r="BH183" s="3" t="s">
        <v>81</v>
      </c>
      <c r="BI183" s="3" t="s">
        <v>84</v>
      </c>
      <c r="BJ183" s="3" t="s">
        <v>82</v>
      </c>
      <c r="BK183" s="3" t="s">
        <v>83</v>
      </c>
      <c r="BL183" s="3" t="s">
        <v>84</v>
      </c>
      <c r="BM183" s="3" t="s">
        <v>84</v>
      </c>
      <c r="BN183" s="3" t="s">
        <v>82</v>
      </c>
      <c r="BO183" s="3" t="s">
        <v>82</v>
      </c>
      <c r="BP183" s="3" t="s">
        <v>263</v>
      </c>
      <c r="BQ183" s="3" t="s">
        <v>263</v>
      </c>
      <c r="BR183" s="3" t="s">
        <v>263</v>
      </c>
      <c r="BS183" s="3" t="s">
        <v>263</v>
      </c>
      <c r="BT183" s="3" t="s">
        <v>98</v>
      </c>
      <c r="BU183" s="3" t="s">
        <v>81</v>
      </c>
      <c r="BV183" s="3" t="s">
        <v>84</v>
      </c>
      <c r="BW183" s="3" t="s">
        <v>83</v>
      </c>
      <c r="BX183" s="3" t="s">
        <v>84</v>
      </c>
      <c r="BY183" s="3" t="s">
        <v>322</v>
      </c>
      <c r="BZ183" s="3" t="s">
        <v>86</v>
      </c>
      <c r="CB183" s="3" t="s">
        <v>84</v>
      </c>
      <c r="CD183" s="9">
        <v>6</v>
      </c>
      <c r="CE183" s="9"/>
    </row>
    <row r="184" spans="1:87" ht="13" x14ac:dyDescent="0.15">
      <c r="A184" s="3">
        <v>1847938673</v>
      </c>
      <c r="B184" s="3" t="s">
        <v>323</v>
      </c>
      <c r="C184" s="3" t="s">
        <v>323</v>
      </c>
      <c r="D184" s="3">
        <v>10</v>
      </c>
      <c r="E184" s="3">
        <v>12</v>
      </c>
      <c r="F184" s="3">
        <v>20.149000000000001</v>
      </c>
      <c r="G184" s="3">
        <v>0</v>
      </c>
      <c r="H184" s="3" t="s">
        <v>81</v>
      </c>
      <c r="I184" s="3" t="s">
        <v>81</v>
      </c>
      <c r="J184" s="3" t="s">
        <v>81</v>
      </c>
      <c r="K184" s="3" t="s">
        <v>81</v>
      </c>
      <c r="L184" s="3" t="s">
        <v>81</v>
      </c>
      <c r="M184" s="3" t="s">
        <v>81</v>
      </c>
      <c r="N184" s="3" t="s">
        <v>81</v>
      </c>
      <c r="O184" s="3" t="s">
        <v>81</v>
      </c>
      <c r="P184" s="3" t="s">
        <v>81</v>
      </c>
      <c r="Q184" s="3">
        <v>22.823</v>
      </c>
      <c r="R184" s="3">
        <v>0</v>
      </c>
      <c r="S184" s="3" t="s">
        <v>81</v>
      </c>
      <c r="T184" s="3" t="s">
        <v>81</v>
      </c>
      <c r="U184" s="3" t="s">
        <v>81</v>
      </c>
      <c r="V184" s="3" t="s">
        <v>81</v>
      </c>
      <c r="W184" s="3" t="s">
        <v>81</v>
      </c>
      <c r="X184" s="3" t="s">
        <v>81</v>
      </c>
      <c r="Y184" s="3" t="s">
        <v>81</v>
      </c>
      <c r="Z184" s="3" t="s">
        <v>81</v>
      </c>
      <c r="AA184" s="3" t="s">
        <v>81</v>
      </c>
      <c r="AB184" s="3">
        <v>21.58</v>
      </c>
      <c r="AC184" s="3">
        <v>0</v>
      </c>
      <c r="AD184" s="3" t="s">
        <v>81</v>
      </c>
      <c r="AE184" s="3" t="s">
        <v>81</v>
      </c>
      <c r="AF184" s="3" t="s">
        <v>81</v>
      </c>
      <c r="AG184" s="3" t="s">
        <v>81</v>
      </c>
      <c r="AH184" s="3" t="s">
        <v>81</v>
      </c>
      <c r="AI184" s="3" t="s">
        <v>81</v>
      </c>
      <c r="AJ184" s="3" t="s">
        <v>81</v>
      </c>
      <c r="AK184" s="3" t="s">
        <v>81</v>
      </c>
      <c r="AL184" s="3" t="s">
        <v>81</v>
      </c>
      <c r="AM184" s="3">
        <v>21.742999999999999</v>
      </c>
      <c r="AN184" s="3">
        <v>0</v>
      </c>
      <c r="AO184" s="3" t="s">
        <v>81</v>
      </c>
      <c r="AP184" s="3" t="s">
        <v>81</v>
      </c>
      <c r="AQ184" s="3" t="s">
        <v>81</v>
      </c>
      <c r="AR184" s="3" t="s">
        <v>81</v>
      </c>
      <c r="AS184" s="3" t="s">
        <v>81</v>
      </c>
      <c r="AT184" s="3" t="s">
        <v>81</v>
      </c>
      <c r="AU184" s="3" t="s">
        <v>81</v>
      </c>
      <c r="AV184" s="3" t="s">
        <v>81</v>
      </c>
      <c r="AW184" s="3" t="s">
        <v>81</v>
      </c>
      <c r="AX184" s="3" t="s">
        <v>81</v>
      </c>
      <c r="AY184" s="3">
        <v>0</v>
      </c>
      <c r="AZ184" s="3" t="s">
        <v>81</v>
      </c>
      <c r="BA184" s="3" t="s">
        <v>81</v>
      </c>
      <c r="BB184" s="3" t="s">
        <v>81</v>
      </c>
      <c r="BC184" s="3" t="s">
        <v>81</v>
      </c>
      <c r="BD184" s="3" t="s">
        <v>81</v>
      </c>
      <c r="BE184" s="3" t="s">
        <v>81</v>
      </c>
      <c r="BF184" s="3" t="s">
        <v>81</v>
      </c>
      <c r="BG184" s="3" t="s">
        <v>81</v>
      </c>
      <c r="BH184" s="3" t="s">
        <v>81</v>
      </c>
      <c r="BI184" s="3" t="s">
        <v>84</v>
      </c>
      <c r="BJ184" s="3" t="s">
        <v>82</v>
      </c>
      <c r="BK184" s="3" t="s">
        <v>83</v>
      </c>
      <c r="BL184" s="3" t="s">
        <v>84</v>
      </c>
      <c r="BM184" s="3" t="s">
        <v>84</v>
      </c>
      <c r="BN184" s="3" t="s">
        <v>84</v>
      </c>
      <c r="BO184" s="3" t="s">
        <v>84</v>
      </c>
      <c r="BP184" s="3" t="s">
        <v>87</v>
      </c>
      <c r="BQ184" s="3" t="s">
        <v>87</v>
      </c>
      <c r="BR184" s="3" t="s">
        <v>87</v>
      </c>
      <c r="BS184" s="3" t="s">
        <v>87</v>
      </c>
      <c r="BT184" s="3" t="s">
        <v>87</v>
      </c>
      <c r="BU184" s="3" t="s">
        <v>81</v>
      </c>
      <c r="BV184" s="3" t="s">
        <v>82</v>
      </c>
      <c r="BW184" s="3" t="s">
        <v>111</v>
      </c>
      <c r="BX184" s="3" t="s">
        <v>82</v>
      </c>
      <c r="BY184" s="3" t="s">
        <v>324</v>
      </c>
      <c r="BZ184" s="3" t="s">
        <v>93</v>
      </c>
      <c r="CA184" s="3" t="s">
        <v>103</v>
      </c>
      <c r="CB184" s="3" t="s">
        <v>84</v>
      </c>
      <c r="CC184" s="3"/>
      <c r="CD184" s="9">
        <v>12</v>
      </c>
      <c r="CE184" s="9">
        <v>2</v>
      </c>
      <c r="CF184" s="4"/>
      <c r="CG184" s="4"/>
      <c r="CH184" s="4"/>
    </row>
    <row r="185" spans="1:87" ht="13" x14ac:dyDescent="0.15">
      <c r="A185" s="3">
        <v>1847936610</v>
      </c>
      <c r="B185" s="3" t="s">
        <v>325</v>
      </c>
      <c r="C185" s="3" t="s">
        <v>325</v>
      </c>
      <c r="D185" s="3">
        <v>3</v>
      </c>
      <c r="E185" s="3">
        <v>2</v>
      </c>
      <c r="F185" s="3">
        <v>37.33</v>
      </c>
      <c r="G185" s="3">
        <v>0</v>
      </c>
      <c r="H185" s="3" t="s">
        <v>81</v>
      </c>
      <c r="I185" s="3" t="s">
        <v>81</v>
      </c>
      <c r="J185" s="3" t="s">
        <v>81</v>
      </c>
      <c r="K185" s="3" t="s">
        <v>81</v>
      </c>
      <c r="L185" s="3" t="s">
        <v>81</v>
      </c>
      <c r="M185" s="3" t="s">
        <v>81</v>
      </c>
      <c r="N185" s="3" t="s">
        <v>81</v>
      </c>
      <c r="O185" s="3" t="s">
        <v>81</v>
      </c>
      <c r="P185" s="3" t="s">
        <v>81</v>
      </c>
      <c r="Q185" s="3">
        <v>37.697000000000003</v>
      </c>
      <c r="R185" s="3">
        <v>0</v>
      </c>
      <c r="S185" s="3" t="s">
        <v>81</v>
      </c>
      <c r="T185" s="3" t="s">
        <v>81</v>
      </c>
      <c r="U185" s="3" t="s">
        <v>81</v>
      </c>
      <c r="V185" s="3" t="s">
        <v>81</v>
      </c>
      <c r="W185" s="3" t="s">
        <v>81</v>
      </c>
      <c r="X185" s="3" t="s">
        <v>81</v>
      </c>
      <c r="Y185" s="3" t="s">
        <v>81</v>
      </c>
      <c r="Z185" s="3" t="s">
        <v>81</v>
      </c>
      <c r="AA185" s="3" t="s">
        <v>81</v>
      </c>
      <c r="AB185" s="3" t="s">
        <v>81</v>
      </c>
      <c r="AC185" s="3" t="s">
        <v>81</v>
      </c>
      <c r="AD185" s="3" t="s">
        <v>81</v>
      </c>
      <c r="AE185" s="3" t="s">
        <v>81</v>
      </c>
      <c r="AF185" s="3" t="s">
        <v>81</v>
      </c>
      <c r="AG185" s="3" t="s">
        <v>81</v>
      </c>
      <c r="AH185" s="3" t="s">
        <v>81</v>
      </c>
      <c r="AI185" s="3" t="s">
        <v>81</v>
      </c>
      <c r="AJ185" s="3" t="s">
        <v>81</v>
      </c>
      <c r="AK185" s="3" t="s">
        <v>81</v>
      </c>
      <c r="AL185" s="3" t="s">
        <v>81</v>
      </c>
      <c r="AM185" s="3" t="s">
        <v>81</v>
      </c>
      <c r="AN185" s="3" t="s">
        <v>81</v>
      </c>
      <c r="AO185" s="3" t="s">
        <v>81</v>
      </c>
      <c r="AP185" s="3" t="s">
        <v>81</v>
      </c>
      <c r="AQ185" s="3" t="s">
        <v>81</v>
      </c>
      <c r="AR185" s="3" t="s">
        <v>81</v>
      </c>
      <c r="AS185" s="3" t="s">
        <v>81</v>
      </c>
      <c r="AT185" s="3" t="s">
        <v>81</v>
      </c>
      <c r="AU185" s="3" t="s">
        <v>81</v>
      </c>
      <c r="AV185" s="3" t="s">
        <v>81</v>
      </c>
      <c r="AW185" s="3" t="s">
        <v>81</v>
      </c>
      <c r="AX185" s="3" t="s">
        <v>81</v>
      </c>
      <c r="AY185" s="3" t="s">
        <v>81</v>
      </c>
      <c r="AZ185" s="3" t="s">
        <v>81</v>
      </c>
      <c r="BA185" s="3" t="s">
        <v>81</v>
      </c>
      <c r="BB185" s="3" t="s">
        <v>81</v>
      </c>
      <c r="BC185" s="3" t="s">
        <v>81</v>
      </c>
      <c r="BD185" s="3" t="s">
        <v>81</v>
      </c>
      <c r="BE185" s="3" t="s">
        <v>81</v>
      </c>
      <c r="BF185" s="3" t="s">
        <v>81</v>
      </c>
      <c r="BG185" s="3" t="s">
        <v>81</v>
      </c>
      <c r="BH185" s="3" t="s">
        <v>81</v>
      </c>
      <c r="BI185" s="3" t="s">
        <v>84</v>
      </c>
      <c r="BJ185" s="3" t="s">
        <v>84</v>
      </c>
      <c r="BK185" s="3" t="s">
        <v>82</v>
      </c>
      <c r="BL185" s="3" t="s">
        <v>84</v>
      </c>
      <c r="BM185" s="3" t="s">
        <v>84</v>
      </c>
      <c r="BN185" s="3" t="s">
        <v>84</v>
      </c>
      <c r="BO185" s="3" t="s">
        <v>84</v>
      </c>
      <c r="BP185" s="3" t="s">
        <v>218</v>
      </c>
      <c r="BQ185" s="3" t="s">
        <v>218</v>
      </c>
      <c r="BR185" s="3" t="s">
        <v>326</v>
      </c>
      <c r="BS185" s="3" t="s">
        <v>327</v>
      </c>
      <c r="BT185" s="3" t="s">
        <v>85</v>
      </c>
      <c r="BU185" s="3" t="s">
        <v>98</v>
      </c>
      <c r="BV185" s="3" t="s">
        <v>84</v>
      </c>
      <c r="BW185" s="3" t="s">
        <v>83</v>
      </c>
      <c r="BX185" s="3" t="s">
        <v>82</v>
      </c>
      <c r="BZ185" s="3" t="s">
        <v>93</v>
      </c>
      <c r="CB185" s="3" t="s">
        <v>84</v>
      </c>
      <c r="CD185" s="9">
        <v>2</v>
      </c>
      <c r="CE185" s="9">
        <v>2</v>
      </c>
      <c r="CF185" s="9">
        <v>2</v>
      </c>
      <c r="CI185" s="6"/>
    </row>
    <row r="186" spans="1:87" ht="13" x14ac:dyDescent="0.15">
      <c r="A186" s="3">
        <v>1319276233</v>
      </c>
      <c r="B186" s="3" t="s">
        <v>325</v>
      </c>
      <c r="C186" s="3" t="s">
        <v>325</v>
      </c>
      <c r="D186" s="3">
        <v>6</v>
      </c>
      <c r="E186" s="3">
        <v>6</v>
      </c>
      <c r="F186" s="3">
        <v>21.518000000000001</v>
      </c>
      <c r="G186" s="3">
        <v>0</v>
      </c>
      <c r="H186" s="3" t="s">
        <v>81</v>
      </c>
      <c r="I186" s="3" t="s">
        <v>81</v>
      </c>
      <c r="J186" s="3" t="s">
        <v>81</v>
      </c>
      <c r="K186" s="3" t="s">
        <v>81</v>
      </c>
      <c r="L186" s="3" t="s">
        <v>81</v>
      </c>
      <c r="M186" s="3" t="s">
        <v>81</v>
      </c>
      <c r="N186" s="3" t="s">
        <v>81</v>
      </c>
      <c r="O186" s="3" t="s">
        <v>81</v>
      </c>
      <c r="P186" s="3" t="s">
        <v>81</v>
      </c>
      <c r="Q186" s="3">
        <v>24.213000000000001</v>
      </c>
      <c r="R186" s="3">
        <v>0</v>
      </c>
      <c r="S186" s="3" t="s">
        <v>81</v>
      </c>
      <c r="T186" s="3" t="s">
        <v>81</v>
      </c>
      <c r="U186" s="3" t="s">
        <v>81</v>
      </c>
      <c r="V186" s="3" t="s">
        <v>81</v>
      </c>
      <c r="W186" s="3" t="s">
        <v>81</v>
      </c>
      <c r="X186" s="3" t="s">
        <v>81</v>
      </c>
      <c r="Y186" s="3" t="s">
        <v>81</v>
      </c>
      <c r="Z186" s="3" t="s">
        <v>81</v>
      </c>
      <c r="AA186" s="3" t="s">
        <v>81</v>
      </c>
      <c r="AB186" s="3">
        <v>25.771999999999998</v>
      </c>
      <c r="AC186" s="3">
        <v>0</v>
      </c>
      <c r="AD186" s="3" t="s">
        <v>81</v>
      </c>
      <c r="AE186" s="3" t="s">
        <v>81</v>
      </c>
      <c r="AF186" s="3" t="s">
        <v>81</v>
      </c>
      <c r="AG186" s="3" t="s">
        <v>81</v>
      </c>
      <c r="AH186" s="3" t="s">
        <v>81</v>
      </c>
      <c r="AI186" s="3" t="s">
        <v>81</v>
      </c>
      <c r="AJ186" s="3" t="s">
        <v>81</v>
      </c>
      <c r="AK186" s="3" t="s">
        <v>81</v>
      </c>
      <c r="AL186" s="3" t="s">
        <v>81</v>
      </c>
      <c r="AM186" s="3">
        <v>24.562999999999999</v>
      </c>
      <c r="AN186" s="3">
        <v>0</v>
      </c>
      <c r="AO186" s="3" t="s">
        <v>81</v>
      </c>
      <c r="AP186" s="3" t="s">
        <v>81</v>
      </c>
      <c r="AQ186" s="3" t="s">
        <v>81</v>
      </c>
      <c r="AR186" s="3" t="s">
        <v>81</v>
      </c>
      <c r="AS186" s="3" t="s">
        <v>81</v>
      </c>
      <c r="AT186" s="3" t="s">
        <v>81</v>
      </c>
      <c r="AU186" s="3" t="s">
        <v>81</v>
      </c>
      <c r="AV186" s="3" t="s">
        <v>81</v>
      </c>
      <c r="AW186" s="3" t="s">
        <v>81</v>
      </c>
      <c r="AX186" s="3">
        <v>24.274999999999999</v>
      </c>
      <c r="AY186" s="3">
        <v>0</v>
      </c>
      <c r="AZ186" s="3" t="s">
        <v>81</v>
      </c>
      <c r="BA186" s="3" t="s">
        <v>81</v>
      </c>
      <c r="BB186" s="3" t="s">
        <v>81</v>
      </c>
      <c r="BC186" s="3" t="s">
        <v>81</v>
      </c>
      <c r="BD186" s="3" t="s">
        <v>81</v>
      </c>
      <c r="BE186" s="3" t="s">
        <v>81</v>
      </c>
      <c r="BF186" s="3" t="s">
        <v>81</v>
      </c>
      <c r="BG186" s="3" t="s">
        <v>81</v>
      </c>
      <c r="BH186" s="3" t="s">
        <v>81</v>
      </c>
      <c r="BI186" s="3" t="s">
        <v>84</v>
      </c>
      <c r="BJ186" s="3" t="s">
        <v>82</v>
      </c>
      <c r="BK186" s="3" t="s">
        <v>83</v>
      </c>
      <c r="BL186" s="3" t="s">
        <v>84</v>
      </c>
      <c r="BM186" s="3" t="s">
        <v>84</v>
      </c>
      <c r="BN186" s="3" t="s">
        <v>82</v>
      </c>
      <c r="BO186" s="3" t="s">
        <v>84</v>
      </c>
      <c r="BP186" s="3" t="s">
        <v>113</v>
      </c>
      <c r="BQ186" s="3" t="s">
        <v>85</v>
      </c>
      <c r="BR186" s="3" t="s">
        <v>98</v>
      </c>
      <c r="BS186" s="3" t="s">
        <v>328</v>
      </c>
      <c r="BT186" s="3" t="s">
        <v>98</v>
      </c>
      <c r="BU186" s="3" t="s">
        <v>87</v>
      </c>
      <c r="BV186" s="3" t="s">
        <v>84</v>
      </c>
      <c r="BW186" s="3" t="s">
        <v>83</v>
      </c>
      <c r="BX186" s="3" t="s">
        <v>82</v>
      </c>
      <c r="BZ186" s="3" t="s">
        <v>86</v>
      </c>
      <c r="CB186" s="3" t="s">
        <v>84</v>
      </c>
      <c r="CD186" s="9">
        <v>3</v>
      </c>
      <c r="CE186" s="9">
        <v>6</v>
      </c>
      <c r="CF186" s="9"/>
    </row>
    <row r="187" spans="1:87" ht="13" x14ac:dyDescent="0.15">
      <c r="A187" s="3">
        <v>2625844535</v>
      </c>
      <c r="B187" s="3" t="s">
        <v>325</v>
      </c>
      <c r="C187" s="3" t="s">
        <v>325</v>
      </c>
      <c r="D187" s="3">
        <v>4</v>
      </c>
      <c r="E187" s="3">
        <v>4</v>
      </c>
      <c r="F187" s="3">
        <v>22.390999999999998</v>
      </c>
      <c r="G187" s="3">
        <v>0</v>
      </c>
      <c r="H187" s="3" t="s">
        <v>81</v>
      </c>
      <c r="I187" s="3" t="s">
        <v>81</v>
      </c>
      <c r="J187" s="3" t="s">
        <v>81</v>
      </c>
      <c r="K187" s="3" t="s">
        <v>81</v>
      </c>
      <c r="L187" s="3" t="s">
        <v>81</v>
      </c>
      <c r="M187" s="3" t="s">
        <v>81</v>
      </c>
      <c r="N187" s="3" t="s">
        <v>81</v>
      </c>
      <c r="O187" s="3" t="s">
        <v>81</v>
      </c>
      <c r="P187" s="3" t="s">
        <v>81</v>
      </c>
      <c r="Q187" s="3">
        <v>24.303999999999998</v>
      </c>
      <c r="R187" s="3">
        <v>0</v>
      </c>
      <c r="S187" s="3" t="s">
        <v>81</v>
      </c>
      <c r="T187" s="3" t="s">
        <v>81</v>
      </c>
      <c r="U187" s="3" t="s">
        <v>81</v>
      </c>
      <c r="V187" s="3" t="s">
        <v>81</v>
      </c>
      <c r="W187" s="3" t="s">
        <v>81</v>
      </c>
      <c r="X187" s="3" t="s">
        <v>81</v>
      </c>
      <c r="Y187" s="3" t="s">
        <v>81</v>
      </c>
      <c r="Z187" s="3" t="s">
        <v>81</v>
      </c>
      <c r="AA187" s="3" t="s">
        <v>81</v>
      </c>
      <c r="AB187" s="3">
        <v>21.838999999999999</v>
      </c>
      <c r="AC187" s="3">
        <v>0</v>
      </c>
      <c r="AD187" s="3" t="s">
        <v>81</v>
      </c>
      <c r="AE187" s="3" t="s">
        <v>81</v>
      </c>
      <c r="AF187" s="3" t="s">
        <v>81</v>
      </c>
      <c r="AG187" s="3" t="s">
        <v>81</v>
      </c>
      <c r="AH187" s="3" t="s">
        <v>81</v>
      </c>
      <c r="AI187" s="3" t="s">
        <v>81</v>
      </c>
      <c r="AJ187" s="3" t="s">
        <v>81</v>
      </c>
      <c r="AK187" s="3" t="s">
        <v>81</v>
      </c>
      <c r="AL187" s="3" t="s">
        <v>81</v>
      </c>
      <c r="AM187" s="3">
        <v>20.347999999999999</v>
      </c>
      <c r="AN187" s="3">
        <v>0</v>
      </c>
      <c r="AO187" s="3" t="s">
        <v>81</v>
      </c>
      <c r="AP187" s="3" t="s">
        <v>81</v>
      </c>
      <c r="AQ187" s="3" t="s">
        <v>81</v>
      </c>
      <c r="AR187" s="3" t="s">
        <v>81</v>
      </c>
      <c r="AS187" s="3" t="s">
        <v>81</v>
      </c>
      <c r="AT187" s="3" t="s">
        <v>81</v>
      </c>
      <c r="AU187" s="3" t="s">
        <v>81</v>
      </c>
      <c r="AV187" s="3" t="s">
        <v>81</v>
      </c>
      <c r="AW187" s="3" t="s">
        <v>81</v>
      </c>
      <c r="AX187" s="3" t="s">
        <v>81</v>
      </c>
      <c r="AY187" s="3" t="s">
        <v>81</v>
      </c>
      <c r="AZ187" s="3" t="s">
        <v>81</v>
      </c>
      <c r="BA187" s="3" t="s">
        <v>81</v>
      </c>
      <c r="BB187" s="3" t="s">
        <v>81</v>
      </c>
      <c r="BC187" s="3" t="s">
        <v>81</v>
      </c>
      <c r="BD187" s="3" t="s">
        <v>81</v>
      </c>
      <c r="BE187" s="3" t="s">
        <v>81</v>
      </c>
      <c r="BF187" s="3" t="s">
        <v>81</v>
      </c>
      <c r="BG187" s="3" t="s">
        <v>81</v>
      </c>
      <c r="BH187" s="3" t="s">
        <v>81</v>
      </c>
      <c r="BI187" s="3" t="s">
        <v>84</v>
      </c>
      <c r="BJ187" s="3" t="s">
        <v>82</v>
      </c>
      <c r="BK187" s="3" t="s">
        <v>83</v>
      </c>
      <c r="BL187" s="3" t="s">
        <v>84</v>
      </c>
      <c r="BM187" s="3" t="s">
        <v>84</v>
      </c>
      <c r="BN187" s="3" t="s">
        <v>84</v>
      </c>
      <c r="BO187" s="3" t="s">
        <v>83</v>
      </c>
      <c r="BP187" s="3" t="s">
        <v>81</v>
      </c>
      <c r="BQ187" s="3" t="s">
        <v>81</v>
      </c>
      <c r="BR187" s="3" t="s">
        <v>81</v>
      </c>
      <c r="BS187" s="3" t="s">
        <v>81</v>
      </c>
      <c r="BT187" s="3" t="s">
        <v>81</v>
      </c>
      <c r="BU187" s="3" t="s">
        <v>81</v>
      </c>
      <c r="BV187" s="3" t="s">
        <v>84</v>
      </c>
      <c r="BW187" s="3" t="s">
        <v>83</v>
      </c>
      <c r="BX187" s="3" t="s">
        <v>82</v>
      </c>
      <c r="BZ187" s="3" t="s">
        <v>86</v>
      </c>
      <c r="CB187" s="3" t="s">
        <v>84</v>
      </c>
      <c r="CD187" s="9">
        <v>4</v>
      </c>
      <c r="CE187" s="9">
        <v>3</v>
      </c>
      <c r="CF187" s="9">
        <v>3</v>
      </c>
      <c r="CI187" s="6"/>
    </row>
    <row r="188" spans="1:87" ht="13" x14ac:dyDescent="0.15">
      <c r="A188" s="3">
        <v>2625844535</v>
      </c>
      <c r="B188" s="3" t="s">
        <v>325</v>
      </c>
      <c r="C188" s="3" t="s">
        <v>325</v>
      </c>
      <c r="D188" s="3">
        <v>4</v>
      </c>
      <c r="E188" s="3">
        <v>4</v>
      </c>
      <c r="F188" s="3">
        <v>27.341000000000001</v>
      </c>
      <c r="G188" s="3">
        <v>0</v>
      </c>
      <c r="H188" s="3" t="s">
        <v>81</v>
      </c>
      <c r="I188" s="3" t="s">
        <v>81</v>
      </c>
      <c r="J188" s="3" t="s">
        <v>81</v>
      </c>
      <c r="K188" s="3" t="s">
        <v>81</v>
      </c>
      <c r="L188" s="3" t="s">
        <v>81</v>
      </c>
      <c r="M188" s="3" t="s">
        <v>81</v>
      </c>
      <c r="N188" s="3" t="s">
        <v>81</v>
      </c>
      <c r="O188" s="3" t="s">
        <v>81</v>
      </c>
      <c r="P188" s="3" t="s">
        <v>81</v>
      </c>
      <c r="Q188" s="3">
        <v>27.091000000000001</v>
      </c>
      <c r="R188" s="3">
        <v>0</v>
      </c>
      <c r="S188" s="3" t="s">
        <v>81</v>
      </c>
      <c r="T188" s="3" t="s">
        <v>81</v>
      </c>
      <c r="U188" s="3" t="s">
        <v>81</v>
      </c>
      <c r="V188" s="3" t="s">
        <v>81</v>
      </c>
      <c r="W188" s="3" t="s">
        <v>81</v>
      </c>
      <c r="X188" s="3" t="s">
        <v>81</v>
      </c>
      <c r="Y188" s="3" t="s">
        <v>81</v>
      </c>
      <c r="Z188" s="3" t="s">
        <v>81</v>
      </c>
      <c r="AA188" s="3" t="s">
        <v>81</v>
      </c>
      <c r="AB188" s="3">
        <v>28.843</v>
      </c>
      <c r="AC188" s="3">
        <v>0</v>
      </c>
      <c r="AD188" s="3" t="s">
        <v>81</v>
      </c>
      <c r="AE188" s="3" t="s">
        <v>81</v>
      </c>
      <c r="AF188" s="3" t="s">
        <v>81</v>
      </c>
      <c r="AG188" s="3" t="s">
        <v>81</v>
      </c>
      <c r="AH188" s="3" t="s">
        <v>81</v>
      </c>
      <c r="AI188" s="3" t="s">
        <v>81</v>
      </c>
      <c r="AJ188" s="3" t="s">
        <v>81</v>
      </c>
      <c r="AK188" s="3" t="s">
        <v>81</v>
      </c>
      <c r="AL188" s="3" t="s">
        <v>81</v>
      </c>
      <c r="AM188" s="3">
        <v>26.622</v>
      </c>
      <c r="AN188" s="3">
        <v>0</v>
      </c>
      <c r="AO188" s="3" t="s">
        <v>81</v>
      </c>
      <c r="AP188" s="3" t="s">
        <v>81</v>
      </c>
      <c r="AQ188" s="3" t="s">
        <v>81</v>
      </c>
      <c r="AR188" s="3" t="s">
        <v>81</v>
      </c>
      <c r="AS188" s="3" t="s">
        <v>81</v>
      </c>
      <c r="AT188" s="3" t="s">
        <v>81</v>
      </c>
      <c r="AU188" s="3" t="s">
        <v>81</v>
      </c>
      <c r="AV188" s="3" t="s">
        <v>81</v>
      </c>
      <c r="AW188" s="3" t="s">
        <v>81</v>
      </c>
      <c r="AX188" s="3" t="s">
        <v>81</v>
      </c>
      <c r="AY188" s="3" t="s">
        <v>81</v>
      </c>
      <c r="AZ188" s="3" t="s">
        <v>81</v>
      </c>
      <c r="BA188" s="3" t="s">
        <v>81</v>
      </c>
      <c r="BB188" s="3" t="s">
        <v>81</v>
      </c>
      <c r="BC188" s="3" t="s">
        <v>81</v>
      </c>
      <c r="BD188" s="3" t="s">
        <v>81</v>
      </c>
      <c r="BE188" s="3" t="s">
        <v>81</v>
      </c>
      <c r="BF188" s="3" t="s">
        <v>81</v>
      </c>
      <c r="BG188" s="3" t="s">
        <v>81</v>
      </c>
      <c r="BH188" s="3" t="s">
        <v>81</v>
      </c>
      <c r="BI188" s="3" t="s">
        <v>84</v>
      </c>
      <c r="BJ188" s="3" t="s">
        <v>82</v>
      </c>
      <c r="BK188" s="3" t="s">
        <v>83</v>
      </c>
      <c r="BL188" s="3" t="s">
        <v>84</v>
      </c>
      <c r="BM188" s="3" t="s">
        <v>84</v>
      </c>
      <c r="BN188" s="3" t="s">
        <v>84</v>
      </c>
      <c r="BO188" s="3" t="s">
        <v>82</v>
      </c>
      <c r="BP188" s="3" t="s">
        <v>87</v>
      </c>
      <c r="BQ188" s="3" t="s">
        <v>87</v>
      </c>
      <c r="BR188" s="3" t="s">
        <v>98</v>
      </c>
      <c r="BS188" s="3" t="s">
        <v>98</v>
      </c>
      <c r="BT188" s="3" t="s">
        <v>98</v>
      </c>
      <c r="BU188" s="3" t="s">
        <v>87</v>
      </c>
      <c r="BV188" s="3" t="s">
        <v>84</v>
      </c>
      <c r="BW188" s="3" t="s">
        <v>83</v>
      </c>
      <c r="BX188" s="3" t="s">
        <v>82</v>
      </c>
      <c r="BZ188" s="3" t="s">
        <v>86</v>
      </c>
      <c r="CB188" s="3" t="s">
        <v>84</v>
      </c>
      <c r="CD188" s="9">
        <v>4</v>
      </c>
      <c r="CE188" s="9">
        <v>4</v>
      </c>
      <c r="CF188" s="9"/>
    </row>
    <row r="189" spans="1:87" ht="13" x14ac:dyDescent="0.15">
      <c r="A189" s="3">
        <v>2625851312</v>
      </c>
      <c r="B189" s="3" t="s">
        <v>333</v>
      </c>
      <c r="C189" s="3" t="s">
        <v>333</v>
      </c>
      <c r="D189" s="3">
        <v>8</v>
      </c>
      <c r="E189" s="3">
        <v>11</v>
      </c>
      <c r="F189" s="3">
        <v>67.456000000000003</v>
      </c>
      <c r="G189" s="3">
        <v>0</v>
      </c>
      <c r="H189" s="3" t="s">
        <v>81</v>
      </c>
      <c r="I189" s="3" t="s">
        <v>81</v>
      </c>
      <c r="J189" s="3" t="s">
        <v>81</v>
      </c>
      <c r="K189" s="3" t="s">
        <v>81</v>
      </c>
      <c r="L189" s="3" t="s">
        <v>81</v>
      </c>
      <c r="M189" s="3" t="s">
        <v>81</v>
      </c>
      <c r="N189" s="3" t="s">
        <v>81</v>
      </c>
      <c r="O189" s="3" t="s">
        <v>81</v>
      </c>
      <c r="P189" s="3" t="s">
        <v>81</v>
      </c>
      <c r="Q189" s="3">
        <v>73.98</v>
      </c>
      <c r="R189" s="3">
        <v>0</v>
      </c>
      <c r="S189" s="3" t="s">
        <v>81</v>
      </c>
      <c r="T189" s="3" t="s">
        <v>81</v>
      </c>
      <c r="U189" s="3" t="s">
        <v>81</v>
      </c>
      <c r="V189" s="3" t="s">
        <v>81</v>
      </c>
      <c r="W189" s="3" t="s">
        <v>81</v>
      </c>
      <c r="X189" s="3" t="s">
        <v>81</v>
      </c>
      <c r="Y189" s="3" t="s">
        <v>81</v>
      </c>
      <c r="Z189" s="3" t="s">
        <v>81</v>
      </c>
      <c r="AA189" s="3" t="s">
        <v>81</v>
      </c>
      <c r="AB189" s="3">
        <v>74.944999999999993</v>
      </c>
      <c r="AC189" s="3">
        <v>0</v>
      </c>
      <c r="AD189" s="3" t="s">
        <v>81</v>
      </c>
      <c r="AE189" s="3" t="s">
        <v>81</v>
      </c>
      <c r="AF189" s="3" t="s">
        <v>81</v>
      </c>
      <c r="AG189" s="3" t="s">
        <v>81</v>
      </c>
      <c r="AH189" s="3" t="s">
        <v>81</v>
      </c>
      <c r="AI189" s="3" t="s">
        <v>81</v>
      </c>
      <c r="AJ189" s="3" t="s">
        <v>81</v>
      </c>
      <c r="AK189" s="3" t="s">
        <v>81</v>
      </c>
      <c r="AL189" s="3" t="s">
        <v>81</v>
      </c>
      <c r="AM189" s="3">
        <v>59.777000000000001</v>
      </c>
      <c r="AN189" s="3">
        <v>0</v>
      </c>
      <c r="AO189" s="3" t="s">
        <v>81</v>
      </c>
      <c r="AP189" s="3" t="s">
        <v>81</v>
      </c>
      <c r="AQ189" s="3" t="s">
        <v>81</v>
      </c>
      <c r="AR189" s="3" t="s">
        <v>81</v>
      </c>
      <c r="AS189" s="3" t="s">
        <v>81</v>
      </c>
      <c r="AT189" s="3" t="s">
        <v>81</v>
      </c>
      <c r="AU189" s="3" t="s">
        <v>81</v>
      </c>
      <c r="AV189" s="3" t="s">
        <v>81</v>
      </c>
      <c r="AW189" s="3" t="s">
        <v>81</v>
      </c>
      <c r="AX189" s="3">
        <v>68.435000000000002</v>
      </c>
      <c r="AY189" s="3">
        <v>0</v>
      </c>
      <c r="AZ189" s="3" t="s">
        <v>81</v>
      </c>
      <c r="BA189" s="3" t="s">
        <v>81</v>
      </c>
      <c r="BB189" s="3" t="s">
        <v>81</v>
      </c>
      <c r="BC189" s="3" t="s">
        <v>81</v>
      </c>
      <c r="BD189" s="3" t="s">
        <v>81</v>
      </c>
      <c r="BE189" s="3" t="s">
        <v>81</v>
      </c>
      <c r="BF189" s="3" t="s">
        <v>81</v>
      </c>
      <c r="BG189" s="3" t="s">
        <v>81</v>
      </c>
      <c r="BH189" s="3" t="s">
        <v>81</v>
      </c>
      <c r="BI189" s="3" t="s">
        <v>84</v>
      </c>
      <c r="BJ189" s="3" t="s">
        <v>82</v>
      </c>
      <c r="BK189" s="3" t="s">
        <v>83</v>
      </c>
      <c r="BL189" s="3" t="s">
        <v>84</v>
      </c>
      <c r="BM189" s="3" t="s">
        <v>84</v>
      </c>
      <c r="BN189" s="3" t="s">
        <v>84</v>
      </c>
      <c r="BO189" s="3" t="s">
        <v>82</v>
      </c>
      <c r="BP189" s="3" t="s">
        <v>81</v>
      </c>
      <c r="BQ189" s="3" t="s">
        <v>81</v>
      </c>
      <c r="BR189" s="3" t="s">
        <v>81</v>
      </c>
      <c r="BS189" s="3" t="s">
        <v>81</v>
      </c>
      <c r="BT189" s="3" t="s">
        <v>81</v>
      </c>
      <c r="BU189" s="3" t="s">
        <v>81</v>
      </c>
      <c r="BV189" s="3" t="s">
        <v>82</v>
      </c>
      <c r="BW189" s="3" t="s">
        <v>91</v>
      </c>
      <c r="BX189" s="3" t="s">
        <v>82</v>
      </c>
      <c r="BY189" s="3" t="s">
        <v>173</v>
      </c>
      <c r="BZ189" s="3" t="s">
        <v>86</v>
      </c>
      <c r="CB189" s="3" t="s">
        <v>84</v>
      </c>
      <c r="CD189" s="9">
        <v>10</v>
      </c>
      <c r="CE189" s="9"/>
    </row>
    <row r="190" spans="1:87" ht="13" x14ac:dyDescent="0.15">
      <c r="A190" s="3">
        <v>2643355790</v>
      </c>
      <c r="B190" s="3" t="s">
        <v>333</v>
      </c>
      <c r="C190" s="3" t="s">
        <v>333</v>
      </c>
      <c r="D190" s="3">
        <v>9</v>
      </c>
      <c r="E190" s="3">
        <v>15</v>
      </c>
      <c r="F190" s="3">
        <v>66.331999999999994</v>
      </c>
      <c r="G190" s="3">
        <v>0</v>
      </c>
      <c r="H190" s="3" t="s">
        <v>81</v>
      </c>
      <c r="I190" s="3" t="s">
        <v>81</v>
      </c>
      <c r="J190" s="3" t="s">
        <v>81</v>
      </c>
      <c r="K190" s="3" t="s">
        <v>81</v>
      </c>
      <c r="L190" s="3" t="s">
        <v>81</v>
      </c>
      <c r="M190" s="3" t="s">
        <v>81</v>
      </c>
      <c r="N190" s="3" t="s">
        <v>81</v>
      </c>
      <c r="O190" s="3" t="s">
        <v>81</v>
      </c>
      <c r="P190" s="3" t="s">
        <v>81</v>
      </c>
      <c r="Q190" s="3">
        <v>55.701000000000001</v>
      </c>
      <c r="R190" s="3">
        <v>0</v>
      </c>
      <c r="S190" s="3" t="s">
        <v>81</v>
      </c>
      <c r="T190" s="3" t="s">
        <v>81</v>
      </c>
      <c r="U190" s="3" t="s">
        <v>81</v>
      </c>
      <c r="V190" s="3" t="s">
        <v>81</v>
      </c>
      <c r="W190" s="3" t="s">
        <v>81</v>
      </c>
      <c r="X190" s="3" t="s">
        <v>81</v>
      </c>
      <c r="Y190" s="3" t="s">
        <v>81</v>
      </c>
      <c r="Z190" s="3" t="s">
        <v>81</v>
      </c>
      <c r="AA190" s="3" t="s">
        <v>81</v>
      </c>
      <c r="AB190" s="3">
        <v>61.677</v>
      </c>
      <c r="AC190" s="3">
        <v>0</v>
      </c>
      <c r="AD190" s="3" t="s">
        <v>81</v>
      </c>
      <c r="AE190" s="3" t="s">
        <v>81</v>
      </c>
      <c r="AF190" s="3" t="s">
        <v>81</v>
      </c>
      <c r="AG190" s="3" t="s">
        <v>81</v>
      </c>
      <c r="AH190" s="3" t="s">
        <v>81</v>
      </c>
      <c r="AI190" s="3" t="s">
        <v>81</v>
      </c>
      <c r="AJ190" s="3" t="s">
        <v>81</v>
      </c>
      <c r="AK190" s="3" t="s">
        <v>81</v>
      </c>
      <c r="AL190" s="3" t="s">
        <v>81</v>
      </c>
      <c r="AM190" s="3">
        <v>63.162999999999997</v>
      </c>
      <c r="AN190" s="3">
        <v>0</v>
      </c>
      <c r="AO190" s="3" t="s">
        <v>81</v>
      </c>
      <c r="AP190" s="3" t="s">
        <v>81</v>
      </c>
      <c r="AQ190" s="3" t="s">
        <v>81</v>
      </c>
      <c r="AR190" s="3" t="s">
        <v>81</v>
      </c>
      <c r="AS190" s="3" t="s">
        <v>81</v>
      </c>
      <c r="AT190" s="3" t="s">
        <v>81</v>
      </c>
      <c r="AU190" s="3" t="s">
        <v>81</v>
      </c>
      <c r="AV190" s="3" t="s">
        <v>81</v>
      </c>
      <c r="AW190" s="3" t="s">
        <v>81</v>
      </c>
      <c r="AX190" s="3">
        <v>62.65</v>
      </c>
      <c r="AY190" s="3">
        <v>0</v>
      </c>
      <c r="AZ190" s="3" t="s">
        <v>81</v>
      </c>
      <c r="BA190" s="3" t="s">
        <v>81</v>
      </c>
      <c r="BB190" s="3" t="s">
        <v>81</v>
      </c>
      <c r="BC190" s="3" t="s">
        <v>81</v>
      </c>
      <c r="BD190" s="3" t="s">
        <v>81</v>
      </c>
      <c r="BE190" s="3" t="s">
        <v>81</v>
      </c>
      <c r="BF190" s="3" t="s">
        <v>81</v>
      </c>
      <c r="BG190" s="3" t="s">
        <v>81</v>
      </c>
      <c r="BH190" s="3" t="s">
        <v>81</v>
      </c>
      <c r="BI190" s="3" t="s">
        <v>84</v>
      </c>
      <c r="BJ190" s="3" t="s">
        <v>82</v>
      </c>
      <c r="BK190" s="3" t="s">
        <v>83</v>
      </c>
      <c r="BL190" s="3" t="s">
        <v>84</v>
      </c>
      <c r="BM190" s="3" t="s">
        <v>84</v>
      </c>
      <c r="BN190" s="3" t="s">
        <v>84</v>
      </c>
      <c r="BO190" s="3" t="s">
        <v>82</v>
      </c>
      <c r="BP190" s="3" t="s">
        <v>81</v>
      </c>
      <c r="BQ190" s="3" t="s">
        <v>81</v>
      </c>
      <c r="BR190" s="3" t="s">
        <v>81</v>
      </c>
      <c r="BS190" s="3" t="s">
        <v>81</v>
      </c>
      <c r="BT190" s="3" t="s">
        <v>81</v>
      </c>
      <c r="BU190" s="3" t="s">
        <v>81</v>
      </c>
      <c r="BV190" s="3" t="s">
        <v>82</v>
      </c>
      <c r="BW190" s="3" t="s">
        <v>91</v>
      </c>
      <c r="BX190" s="3" t="s">
        <v>82</v>
      </c>
      <c r="BY190" s="3" t="s">
        <v>173</v>
      </c>
      <c r="BZ190" s="3" t="s">
        <v>86</v>
      </c>
      <c r="CB190" s="3" t="s">
        <v>84</v>
      </c>
      <c r="CD190" s="9">
        <v>16</v>
      </c>
      <c r="CE190" s="9">
        <v>12</v>
      </c>
    </row>
    <row r="191" spans="1:87" ht="13" x14ac:dyDescent="0.15">
      <c r="A191" s="3">
        <v>2625856303</v>
      </c>
      <c r="B191" s="3" t="s">
        <v>337</v>
      </c>
      <c r="C191" s="3" t="s">
        <v>337</v>
      </c>
      <c r="D191" s="3" t="s">
        <v>81</v>
      </c>
      <c r="E191" s="3">
        <v>13</v>
      </c>
      <c r="F191" s="3">
        <v>22.72</v>
      </c>
      <c r="G191" s="3">
        <v>0</v>
      </c>
      <c r="H191" s="3" t="s">
        <v>81</v>
      </c>
      <c r="I191" s="3" t="s">
        <v>81</v>
      </c>
      <c r="J191" s="3" t="s">
        <v>81</v>
      </c>
      <c r="K191" s="3" t="s">
        <v>81</v>
      </c>
      <c r="L191" s="3" t="s">
        <v>81</v>
      </c>
      <c r="M191" s="3" t="s">
        <v>81</v>
      </c>
      <c r="N191" s="3" t="s">
        <v>81</v>
      </c>
      <c r="O191" s="3" t="s">
        <v>81</v>
      </c>
      <c r="P191" s="3" t="s">
        <v>81</v>
      </c>
      <c r="Q191" s="3">
        <v>20.719000000000001</v>
      </c>
      <c r="R191" s="3">
        <v>0</v>
      </c>
      <c r="S191" s="3" t="s">
        <v>81</v>
      </c>
      <c r="T191" s="3" t="s">
        <v>81</v>
      </c>
      <c r="U191" s="3" t="s">
        <v>81</v>
      </c>
      <c r="V191" s="3" t="s">
        <v>81</v>
      </c>
      <c r="W191" s="3" t="s">
        <v>81</v>
      </c>
      <c r="X191" s="3" t="s">
        <v>81</v>
      </c>
      <c r="Y191" s="3" t="s">
        <v>81</v>
      </c>
      <c r="Z191" s="3" t="s">
        <v>81</v>
      </c>
      <c r="AA191" s="3" t="s">
        <v>81</v>
      </c>
      <c r="AB191" s="3">
        <v>23.064</v>
      </c>
      <c r="AC191" s="3">
        <v>0</v>
      </c>
      <c r="AD191" s="3" t="s">
        <v>81</v>
      </c>
      <c r="AE191" s="3" t="s">
        <v>81</v>
      </c>
      <c r="AF191" s="3" t="s">
        <v>81</v>
      </c>
      <c r="AG191" s="3" t="s">
        <v>81</v>
      </c>
      <c r="AH191" s="3" t="s">
        <v>81</v>
      </c>
      <c r="AI191" s="3" t="s">
        <v>81</v>
      </c>
      <c r="AJ191" s="3" t="s">
        <v>81</v>
      </c>
      <c r="AK191" s="3" t="s">
        <v>81</v>
      </c>
      <c r="AL191" s="3" t="s">
        <v>81</v>
      </c>
      <c r="AM191" s="3">
        <v>19.843</v>
      </c>
      <c r="AN191" s="3">
        <v>0</v>
      </c>
      <c r="AO191" s="3" t="s">
        <v>81</v>
      </c>
      <c r="AP191" s="3" t="s">
        <v>81</v>
      </c>
      <c r="AQ191" s="3" t="s">
        <v>81</v>
      </c>
      <c r="AR191" s="3" t="s">
        <v>81</v>
      </c>
      <c r="AS191" s="3" t="s">
        <v>81</v>
      </c>
      <c r="AT191" s="3" t="s">
        <v>81</v>
      </c>
      <c r="AU191" s="3" t="s">
        <v>81</v>
      </c>
      <c r="AV191" s="3" t="s">
        <v>81</v>
      </c>
      <c r="AW191" s="3" t="s">
        <v>81</v>
      </c>
      <c r="AX191" s="3">
        <v>21.93</v>
      </c>
      <c r="AY191" s="3">
        <v>0</v>
      </c>
      <c r="AZ191" s="3" t="s">
        <v>81</v>
      </c>
      <c r="BA191" s="3" t="s">
        <v>81</v>
      </c>
      <c r="BB191" s="3" t="s">
        <v>81</v>
      </c>
      <c r="BC191" s="3" t="s">
        <v>81</v>
      </c>
      <c r="BD191" s="3" t="s">
        <v>81</v>
      </c>
      <c r="BE191" s="3" t="s">
        <v>81</v>
      </c>
      <c r="BF191" s="3" t="s">
        <v>81</v>
      </c>
      <c r="BG191" s="3" t="s">
        <v>81</v>
      </c>
      <c r="BH191" s="3" t="s">
        <v>81</v>
      </c>
      <c r="BI191" s="3" t="s">
        <v>82</v>
      </c>
      <c r="BJ191" s="3" t="s">
        <v>84</v>
      </c>
      <c r="BK191" s="3" t="s">
        <v>82</v>
      </c>
      <c r="BL191" s="3" t="s">
        <v>84</v>
      </c>
      <c r="BM191" s="3" t="s">
        <v>84</v>
      </c>
      <c r="BN191" s="3" t="s">
        <v>84</v>
      </c>
      <c r="BO191" s="3" t="s">
        <v>84</v>
      </c>
      <c r="BP191" s="3" t="s">
        <v>129</v>
      </c>
      <c r="BQ191" s="3" t="s">
        <v>129</v>
      </c>
      <c r="BR191" s="3" t="s">
        <v>129</v>
      </c>
      <c r="BS191" s="3" t="s">
        <v>129</v>
      </c>
      <c r="BT191" s="3" t="s">
        <v>129</v>
      </c>
      <c r="BU191" s="3" t="s">
        <v>81</v>
      </c>
      <c r="BV191" s="3" t="s">
        <v>83</v>
      </c>
      <c r="BW191" s="3" t="s">
        <v>83</v>
      </c>
      <c r="BX191" s="3" t="s">
        <v>82</v>
      </c>
      <c r="BY191" s="3" t="s">
        <v>338</v>
      </c>
      <c r="BZ191" s="3" t="s">
        <v>86</v>
      </c>
      <c r="CA191" s="3"/>
      <c r="CB191" s="3" t="s">
        <v>84</v>
      </c>
      <c r="CC191" s="3"/>
      <c r="CD191" s="9">
        <v>13</v>
      </c>
      <c r="CE191" s="3"/>
      <c r="CF191" s="6"/>
      <c r="CG191" s="6">
        <v>8</v>
      </c>
      <c r="CH191" s="6"/>
    </row>
    <row r="192" spans="1:87" ht="13" x14ac:dyDescent="0.15">
      <c r="A192" s="3">
        <v>2625876458</v>
      </c>
      <c r="B192" s="3" t="s">
        <v>337</v>
      </c>
      <c r="C192" s="3" t="s">
        <v>337</v>
      </c>
      <c r="D192" s="3" t="s">
        <v>81</v>
      </c>
      <c r="E192" s="3">
        <v>11</v>
      </c>
      <c r="F192" s="3">
        <v>35.497</v>
      </c>
      <c r="G192" s="3">
        <v>0</v>
      </c>
      <c r="H192" s="3" t="s">
        <v>81</v>
      </c>
      <c r="I192" s="3" t="s">
        <v>81</v>
      </c>
      <c r="J192" s="3" t="s">
        <v>81</v>
      </c>
      <c r="K192" s="3" t="s">
        <v>81</v>
      </c>
      <c r="L192" s="3" t="s">
        <v>81</v>
      </c>
      <c r="M192" s="3" t="s">
        <v>81</v>
      </c>
      <c r="N192" s="3" t="s">
        <v>81</v>
      </c>
      <c r="O192" s="3" t="s">
        <v>81</v>
      </c>
      <c r="P192" s="3" t="s">
        <v>81</v>
      </c>
      <c r="Q192" s="3">
        <v>34.930999999999997</v>
      </c>
      <c r="R192" s="3">
        <v>0</v>
      </c>
      <c r="S192" s="3" t="s">
        <v>81</v>
      </c>
      <c r="T192" s="3" t="s">
        <v>81</v>
      </c>
      <c r="U192" s="3" t="s">
        <v>81</v>
      </c>
      <c r="V192" s="3" t="s">
        <v>81</v>
      </c>
      <c r="W192" s="3" t="s">
        <v>81</v>
      </c>
      <c r="X192" s="3" t="s">
        <v>81</v>
      </c>
      <c r="Y192" s="3" t="s">
        <v>81</v>
      </c>
      <c r="Z192" s="3" t="s">
        <v>81</v>
      </c>
      <c r="AA192" s="3" t="s">
        <v>81</v>
      </c>
      <c r="AB192" s="3">
        <v>32.743000000000002</v>
      </c>
      <c r="AC192" s="3">
        <v>0</v>
      </c>
      <c r="AD192" s="3" t="s">
        <v>81</v>
      </c>
      <c r="AE192" s="3" t="s">
        <v>81</v>
      </c>
      <c r="AF192" s="3" t="s">
        <v>81</v>
      </c>
      <c r="AG192" s="3" t="s">
        <v>81</v>
      </c>
      <c r="AH192" s="3" t="s">
        <v>81</v>
      </c>
      <c r="AI192" s="3" t="s">
        <v>81</v>
      </c>
      <c r="AJ192" s="3" t="s">
        <v>81</v>
      </c>
      <c r="AK192" s="3" t="s">
        <v>81</v>
      </c>
      <c r="AL192" s="3" t="s">
        <v>81</v>
      </c>
      <c r="AM192" s="3">
        <v>35.414000000000001</v>
      </c>
      <c r="AN192" s="3">
        <v>0</v>
      </c>
      <c r="AO192" s="3" t="s">
        <v>81</v>
      </c>
      <c r="AP192" s="3" t="s">
        <v>81</v>
      </c>
      <c r="AQ192" s="3" t="s">
        <v>81</v>
      </c>
      <c r="AR192" s="3" t="s">
        <v>81</v>
      </c>
      <c r="AS192" s="3" t="s">
        <v>81</v>
      </c>
      <c r="AT192" s="3" t="s">
        <v>81</v>
      </c>
      <c r="AU192" s="3" t="s">
        <v>81</v>
      </c>
      <c r="AV192" s="3" t="s">
        <v>81</v>
      </c>
      <c r="AW192" s="3" t="s">
        <v>81</v>
      </c>
      <c r="AX192" s="3">
        <v>38.945</v>
      </c>
      <c r="AY192" s="3">
        <v>0</v>
      </c>
      <c r="AZ192" s="3" t="s">
        <v>81</v>
      </c>
      <c r="BA192" s="3" t="s">
        <v>81</v>
      </c>
      <c r="BB192" s="3" t="s">
        <v>81</v>
      </c>
      <c r="BC192" s="3" t="s">
        <v>81</v>
      </c>
      <c r="BD192" s="3" t="s">
        <v>81</v>
      </c>
      <c r="BE192" s="3" t="s">
        <v>81</v>
      </c>
      <c r="BF192" s="3" t="s">
        <v>81</v>
      </c>
      <c r="BG192" s="3" t="s">
        <v>81</v>
      </c>
      <c r="BH192" s="3" t="s">
        <v>81</v>
      </c>
      <c r="BI192" s="3" t="s">
        <v>82</v>
      </c>
      <c r="BJ192" s="3" t="s">
        <v>84</v>
      </c>
      <c r="BK192" s="3" t="s">
        <v>84</v>
      </c>
      <c r="BL192" s="3" t="s">
        <v>84</v>
      </c>
      <c r="BM192" s="3" t="s">
        <v>84</v>
      </c>
      <c r="BN192" s="3" t="s">
        <v>84</v>
      </c>
      <c r="BO192" s="3" t="s">
        <v>83</v>
      </c>
      <c r="BP192" s="3" t="s">
        <v>135</v>
      </c>
      <c r="BQ192" s="3" t="s">
        <v>135</v>
      </c>
      <c r="BR192" s="3" t="s">
        <v>135</v>
      </c>
      <c r="BS192" s="3" t="s">
        <v>135</v>
      </c>
      <c r="BT192" s="3" t="s">
        <v>98</v>
      </c>
      <c r="BU192" s="3" t="s">
        <v>129</v>
      </c>
      <c r="BV192" s="3" t="s">
        <v>83</v>
      </c>
      <c r="BW192" s="3" t="s">
        <v>83</v>
      </c>
      <c r="BX192" s="3" t="s">
        <v>82</v>
      </c>
      <c r="BY192" s="3" t="s">
        <v>338</v>
      </c>
      <c r="BZ192" s="3" t="s">
        <v>86</v>
      </c>
      <c r="CB192" s="3" t="s">
        <v>84</v>
      </c>
      <c r="CD192" s="9"/>
    </row>
    <row r="193" spans="1:87" ht="13" x14ac:dyDescent="0.15">
      <c r="A193" s="3">
        <v>2643357962</v>
      </c>
      <c r="B193" s="3" t="s">
        <v>337</v>
      </c>
      <c r="C193" s="3" t="s">
        <v>337</v>
      </c>
      <c r="D193" s="3" t="s">
        <v>81</v>
      </c>
      <c r="E193" s="3" t="s">
        <v>81</v>
      </c>
      <c r="F193" s="3">
        <v>22.38</v>
      </c>
      <c r="G193" s="3">
        <v>0</v>
      </c>
      <c r="H193" s="3" t="s">
        <v>81</v>
      </c>
      <c r="I193" s="3" t="s">
        <v>81</v>
      </c>
      <c r="J193" s="3" t="s">
        <v>81</v>
      </c>
      <c r="K193" s="3" t="s">
        <v>81</v>
      </c>
      <c r="L193" s="3" t="s">
        <v>81</v>
      </c>
      <c r="M193" s="3" t="s">
        <v>81</v>
      </c>
      <c r="N193" s="3" t="s">
        <v>81</v>
      </c>
      <c r="O193" s="3" t="s">
        <v>81</v>
      </c>
      <c r="P193" s="3" t="s">
        <v>81</v>
      </c>
      <c r="Q193" s="3">
        <v>20.373000000000001</v>
      </c>
      <c r="R193" s="3">
        <v>0</v>
      </c>
      <c r="S193" s="3" t="s">
        <v>81</v>
      </c>
      <c r="T193" s="3" t="s">
        <v>81</v>
      </c>
      <c r="U193" s="3" t="s">
        <v>81</v>
      </c>
      <c r="V193" s="3" t="s">
        <v>81</v>
      </c>
      <c r="W193" s="3" t="s">
        <v>81</v>
      </c>
      <c r="X193" s="3" t="s">
        <v>81</v>
      </c>
      <c r="Y193" s="3" t="s">
        <v>81</v>
      </c>
      <c r="Z193" s="3" t="s">
        <v>81</v>
      </c>
      <c r="AA193" s="3" t="s">
        <v>81</v>
      </c>
      <c r="AB193" s="3">
        <v>23.899000000000001</v>
      </c>
      <c r="AC193" s="3">
        <v>0</v>
      </c>
      <c r="AD193" s="3" t="s">
        <v>81</v>
      </c>
      <c r="AE193" s="3" t="s">
        <v>81</v>
      </c>
      <c r="AF193" s="3" t="s">
        <v>81</v>
      </c>
      <c r="AG193" s="3" t="s">
        <v>81</v>
      </c>
      <c r="AH193" s="3" t="s">
        <v>81</v>
      </c>
      <c r="AI193" s="3" t="s">
        <v>81</v>
      </c>
      <c r="AJ193" s="3" t="s">
        <v>81</v>
      </c>
      <c r="AK193" s="3" t="s">
        <v>81</v>
      </c>
      <c r="AL193" s="3" t="s">
        <v>81</v>
      </c>
      <c r="AM193" s="3">
        <v>23.545000000000002</v>
      </c>
      <c r="AN193" s="3">
        <v>0</v>
      </c>
      <c r="AO193" s="3" t="s">
        <v>81</v>
      </c>
      <c r="AP193" s="3" t="s">
        <v>81</v>
      </c>
      <c r="AQ193" s="3" t="s">
        <v>81</v>
      </c>
      <c r="AR193" s="3" t="s">
        <v>81</v>
      </c>
      <c r="AS193" s="3" t="s">
        <v>81</v>
      </c>
      <c r="AT193" s="3" t="s">
        <v>81</v>
      </c>
      <c r="AU193" s="3" t="s">
        <v>81</v>
      </c>
      <c r="AV193" s="3" t="s">
        <v>81</v>
      </c>
      <c r="AW193" s="3" t="s">
        <v>81</v>
      </c>
      <c r="AX193" s="3" t="s">
        <v>81</v>
      </c>
      <c r="AY193" s="3" t="s">
        <v>81</v>
      </c>
      <c r="AZ193" s="3" t="s">
        <v>81</v>
      </c>
      <c r="BA193" s="3" t="s">
        <v>81</v>
      </c>
      <c r="BB193" s="3" t="s">
        <v>81</v>
      </c>
      <c r="BC193" s="3" t="s">
        <v>81</v>
      </c>
      <c r="BD193" s="3" t="s">
        <v>81</v>
      </c>
      <c r="BE193" s="3" t="s">
        <v>81</v>
      </c>
      <c r="BF193" s="3" t="s">
        <v>81</v>
      </c>
      <c r="BG193" s="3" t="s">
        <v>81</v>
      </c>
      <c r="BH193" s="3" t="s">
        <v>81</v>
      </c>
      <c r="BI193" s="3" t="s">
        <v>82</v>
      </c>
      <c r="BJ193" s="3" t="s">
        <v>82</v>
      </c>
      <c r="BK193" s="3" t="s">
        <v>83</v>
      </c>
      <c r="BL193" s="3" t="s">
        <v>84</v>
      </c>
      <c r="BM193" s="3" t="s">
        <v>84</v>
      </c>
      <c r="BN193" s="3" t="s">
        <v>84</v>
      </c>
      <c r="BO193" s="3" t="s">
        <v>82</v>
      </c>
      <c r="BP193" s="3" t="s">
        <v>339</v>
      </c>
      <c r="BQ193" s="3" t="s">
        <v>339</v>
      </c>
      <c r="BR193" s="3" t="s">
        <v>339</v>
      </c>
      <c r="BS193" s="3" t="s">
        <v>339</v>
      </c>
      <c r="BT193" s="3" t="s">
        <v>98</v>
      </c>
      <c r="BU193" s="3" t="s">
        <v>106</v>
      </c>
      <c r="BV193" s="3" t="s">
        <v>82</v>
      </c>
      <c r="BW193" s="3" t="s">
        <v>111</v>
      </c>
      <c r="BX193" s="3" t="s">
        <v>82</v>
      </c>
      <c r="BY193" s="3" t="s">
        <v>340</v>
      </c>
      <c r="BZ193" s="3" t="s">
        <v>86</v>
      </c>
      <c r="CB193" s="3" t="s">
        <v>84</v>
      </c>
      <c r="CD193" s="9">
        <v>4</v>
      </c>
    </row>
    <row r="194" spans="1:87" ht="13" x14ac:dyDescent="0.15">
      <c r="A194" s="3">
        <v>2236021192</v>
      </c>
      <c r="B194" s="3" t="s">
        <v>354</v>
      </c>
      <c r="C194" s="3" t="s">
        <v>353</v>
      </c>
      <c r="D194" s="3">
        <v>12</v>
      </c>
      <c r="E194" s="3">
        <v>20</v>
      </c>
      <c r="F194" s="3">
        <v>39.1</v>
      </c>
      <c r="G194" s="3">
        <v>0</v>
      </c>
      <c r="H194" s="3" t="s">
        <v>81</v>
      </c>
      <c r="I194" s="3" t="s">
        <v>81</v>
      </c>
      <c r="J194" s="3" t="s">
        <v>81</v>
      </c>
      <c r="K194" s="3" t="s">
        <v>81</v>
      </c>
      <c r="L194" s="3" t="s">
        <v>81</v>
      </c>
      <c r="M194" s="3" t="s">
        <v>81</v>
      </c>
      <c r="N194" s="3" t="s">
        <v>81</v>
      </c>
      <c r="O194" s="3" t="s">
        <v>81</v>
      </c>
      <c r="P194" s="3" t="s">
        <v>81</v>
      </c>
      <c r="Q194" s="3">
        <v>33.298999999999999</v>
      </c>
      <c r="R194" s="3">
        <v>0</v>
      </c>
      <c r="S194" s="3" t="s">
        <v>81</v>
      </c>
      <c r="T194" s="3" t="s">
        <v>81</v>
      </c>
      <c r="U194" s="3" t="s">
        <v>81</v>
      </c>
      <c r="V194" s="3" t="s">
        <v>81</v>
      </c>
      <c r="W194" s="3" t="s">
        <v>81</v>
      </c>
      <c r="X194" s="3" t="s">
        <v>81</v>
      </c>
      <c r="Y194" s="3" t="s">
        <v>81</v>
      </c>
      <c r="Z194" s="3" t="s">
        <v>81</v>
      </c>
      <c r="AA194" s="3" t="s">
        <v>81</v>
      </c>
      <c r="AB194" s="3">
        <v>30.283000000000001</v>
      </c>
      <c r="AC194" s="3">
        <v>0</v>
      </c>
      <c r="AD194" s="3" t="s">
        <v>81</v>
      </c>
      <c r="AE194" s="3" t="s">
        <v>81</v>
      </c>
      <c r="AF194" s="3" t="s">
        <v>81</v>
      </c>
      <c r="AG194" s="3" t="s">
        <v>81</v>
      </c>
      <c r="AH194" s="3" t="s">
        <v>81</v>
      </c>
      <c r="AI194" s="3" t="s">
        <v>81</v>
      </c>
      <c r="AJ194" s="3" t="s">
        <v>81</v>
      </c>
      <c r="AK194" s="3" t="s">
        <v>81</v>
      </c>
      <c r="AL194" s="3" t="s">
        <v>81</v>
      </c>
      <c r="AM194" s="3">
        <v>26.609000000000002</v>
      </c>
      <c r="AN194" s="3">
        <v>0</v>
      </c>
      <c r="AO194" s="3" t="s">
        <v>81</v>
      </c>
      <c r="AP194" s="3" t="s">
        <v>81</v>
      </c>
      <c r="AQ194" s="3" t="s">
        <v>81</v>
      </c>
      <c r="AR194" s="3" t="s">
        <v>81</v>
      </c>
      <c r="AS194" s="3" t="s">
        <v>81</v>
      </c>
      <c r="AT194" s="3" t="s">
        <v>81</v>
      </c>
      <c r="AU194" s="3" t="s">
        <v>81</v>
      </c>
      <c r="AV194" s="3" t="s">
        <v>81</v>
      </c>
      <c r="AW194" s="3" t="s">
        <v>81</v>
      </c>
      <c r="AX194" s="3">
        <v>25.571999999999999</v>
      </c>
      <c r="AY194" s="3">
        <v>0</v>
      </c>
      <c r="AZ194" s="3" t="s">
        <v>81</v>
      </c>
      <c r="BA194" s="3" t="s">
        <v>81</v>
      </c>
      <c r="BB194" s="3" t="s">
        <v>81</v>
      </c>
      <c r="BC194" s="3" t="s">
        <v>81</v>
      </c>
      <c r="BD194" s="3" t="s">
        <v>81</v>
      </c>
      <c r="BE194" s="3" t="s">
        <v>81</v>
      </c>
      <c r="BF194" s="3" t="s">
        <v>81</v>
      </c>
      <c r="BG194" s="3" t="s">
        <v>81</v>
      </c>
      <c r="BH194" s="3" t="s">
        <v>81</v>
      </c>
      <c r="BI194" s="3" t="s">
        <v>84</v>
      </c>
      <c r="BJ194" s="3" t="s">
        <v>84</v>
      </c>
      <c r="BK194" s="3" t="s">
        <v>82</v>
      </c>
      <c r="BL194" s="3" t="s">
        <v>84</v>
      </c>
      <c r="BM194" s="3" t="s">
        <v>84</v>
      </c>
      <c r="BN194" s="3" t="s">
        <v>84</v>
      </c>
      <c r="BO194" s="3" t="s">
        <v>84</v>
      </c>
      <c r="BP194" s="3" t="s">
        <v>87</v>
      </c>
      <c r="BQ194" s="3" t="s">
        <v>87</v>
      </c>
      <c r="BR194" s="3" t="s">
        <v>85</v>
      </c>
      <c r="BS194" s="3" t="s">
        <v>355</v>
      </c>
      <c r="BT194" s="3" t="s">
        <v>87</v>
      </c>
      <c r="BU194" s="3" t="s">
        <v>85</v>
      </c>
      <c r="BV194" s="3" t="s">
        <v>82</v>
      </c>
      <c r="BW194" s="3" t="s">
        <v>91</v>
      </c>
      <c r="BX194" s="3" t="s">
        <v>82</v>
      </c>
      <c r="BY194" s="3" t="s">
        <v>356</v>
      </c>
      <c r="BZ194" s="3" t="s">
        <v>86</v>
      </c>
      <c r="CB194" s="3" t="s">
        <v>84</v>
      </c>
      <c r="CD194" s="9">
        <v>22</v>
      </c>
    </row>
    <row r="195" spans="1:87" ht="13" hidden="1" x14ac:dyDescent="0.15">
      <c r="A195" s="3">
        <v>1228433852</v>
      </c>
      <c r="B195" s="3" t="s">
        <v>406</v>
      </c>
      <c r="C195" s="3" t="s">
        <v>406</v>
      </c>
      <c r="D195" s="3">
        <v>29</v>
      </c>
      <c r="E195" s="3">
        <v>29</v>
      </c>
      <c r="F195" s="3">
        <v>21.718</v>
      </c>
      <c r="G195" s="3">
        <v>0</v>
      </c>
      <c r="H195" s="3" t="s">
        <v>81</v>
      </c>
      <c r="I195" s="3" t="s">
        <v>81</v>
      </c>
      <c r="J195" s="3" t="s">
        <v>81</v>
      </c>
      <c r="K195" s="3" t="s">
        <v>81</v>
      </c>
      <c r="L195" s="3" t="s">
        <v>81</v>
      </c>
      <c r="M195" s="3" t="s">
        <v>81</v>
      </c>
      <c r="N195" s="3" t="s">
        <v>81</v>
      </c>
      <c r="O195" s="3" t="s">
        <v>81</v>
      </c>
      <c r="P195" s="3" t="s">
        <v>81</v>
      </c>
      <c r="Q195" s="3">
        <v>21.498999999999999</v>
      </c>
      <c r="R195" s="3">
        <v>0</v>
      </c>
      <c r="S195" s="3" t="s">
        <v>81</v>
      </c>
      <c r="T195" s="3" t="s">
        <v>81</v>
      </c>
      <c r="U195" s="3" t="s">
        <v>81</v>
      </c>
      <c r="V195" s="3" t="s">
        <v>81</v>
      </c>
      <c r="W195" s="3" t="s">
        <v>81</v>
      </c>
      <c r="X195" s="3" t="s">
        <v>81</v>
      </c>
      <c r="Y195" s="3" t="s">
        <v>81</v>
      </c>
      <c r="Z195" s="3" t="s">
        <v>81</v>
      </c>
      <c r="AA195" s="3" t="s">
        <v>81</v>
      </c>
      <c r="AB195" s="3">
        <v>23.52</v>
      </c>
      <c r="AC195" s="3">
        <v>0</v>
      </c>
      <c r="AD195" s="3" t="s">
        <v>81</v>
      </c>
      <c r="AE195" s="3" t="s">
        <v>81</v>
      </c>
      <c r="AF195" s="3" t="s">
        <v>81</v>
      </c>
      <c r="AG195" s="3" t="s">
        <v>81</v>
      </c>
      <c r="AH195" s="3" t="s">
        <v>81</v>
      </c>
      <c r="AI195" s="3" t="s">
        <v>81</v>
      </c>
      <c r="AJ195" s="3" t="s">
        <v>81</v>
      </c>
      <c r="AK195" s="3" t="s">
        <v>81</v>
      </c>
      <c r="AL195" s="3" t="s">
        <v>81</v>
      </c>
      <c r="AM195" s="3">
        <v>20.748999999999999</v>
      </c>
      <c r="AN195" s="3">
        <v>0</v>
      </c>
      <c r="AO195" s="3" t="s">
        <v>81</v>
      </c>
      <c r="AP195" s="3" t="s">
        <v>81</v>
      </c>
      <c r="AQ195" s="3" t="s">
        <v>81</v>
      </c>
      <c r="AR195" s="3" t="s">
        <v>81</v>
      </c>
      <c r="AS195" s="3" t="s">
        <v>81</v>
      </c>
      <c r="AT195" s="3" t="s">
        <v>81</v>
      </c>
      <c r="AU195" s="3" t="s">
        <v>81</v>
      </c>
      <c r="AV195" s="3" t="s">
        <v>81</v>
      </c>
      <c r="AW195" s="3" t="s">
        <v>81</v>
      </c>
      <c r="AX195" s="3">
        <v>23.22</v>
      </c>
      <c r="AY195" s="3">
        <v>0</v>
      </c>
      <c r="AZ195" s="3" t="s">
        <v>81</v>
      </c>
      <c r="BA195" s="3" t="s">
        <v>81</v>
      </c>
      <c r="BB195" s="3" t="s">
        <v>81</v>
      </c>
      <c r="BC195" s="3" t="s">
        <v>81</v>
      </c>
      <c r="BD195" s="3" t="s">
        <v>81</v>
      </c>
      <c r="BE195" s="3" t="s">
        <v>81</v>
      </c>
      <c r="BF195" s="3" t="s">
        <v>81</v>
      </c>
      <c r="BG195" s="3" t="s">
        <v>81</v>
      </c>
      <c r="BH195" s="3" t="s">
        <v>81</v>
      </c>
      <c r="BI195" s="3" t="s">
        <v>82</v>
      </c>
      <c r="BJ195" s="3" t="s">
        <v>82</v>
      </c>
      <c r="BK195" s="3" t="s">
        <v>83</v>
      </c>
      <c r="BL195" s="3" t="s">
        <v>84</v>
      </c>
      <c r="BM195" s="3" t="s">
        <v>84</v>
      </c>
      <c r="BN195" s="3" t="s">
        <v>84</v>
      </c>
      <c r="BO195" s="3" t="s">
        <v>84</v>
      </c>
      <c r="BP195" s="3" t="s">
        <v>87</v>
      </c>
      <c r="BQ195" s="3" t="s">
        <v>87</v>
      </c>
      <c r="BR195" s="3" t="s">
        <v>407</v>
      </c>
      <c r="BS195" s="3" t="s">
        <v>407</v>
      </c>
      <c r="BT195" s="3" t="s">
        <v>87</v>
      </c>
      <c r="BU195" s="3" t="s">
        <v>205</v>
      </c>
      <c r="BV195" s="3" t="s">
        <v>82</v>
      </c>
      <c r="BW195" s="3" t="s">
        <v>91</v>
      </c>
      <c r="BX195" s="3" t="s">
        <v>82</v>
      </c>
      <c r="BY195" s="3" t="s">
        <v>408</v>
      </c>
      <c r="BZ195" s="3" t="s">
        <v>93</v>
      </c>
      <c r="CA195" s="3" t="s">
        <v>232</v>
      </c>
      <c r="CB195" s="3"/>
      <c r="CC195" s="3"/>
      <c r="CD195" s="9">
        <v>29</v>
      </c>
      <c r="CE195" s="3"/>
      <c r="CF195" s="6"/>
      <c r="CG195" s="6">
        <v>29</v>
      </c>
      <c r="CH195" s="6"/>
    </row>
    <row r="196" spans="1:87" ht="13" hidden="1" x14ac:dyDescent="0.15">
      <c r="A196" s="3">
        <v>2625857006</v>
      </c>
      <c r="B196" s="3" t="s">
        <v>406</v>
      </c>
      <c r="C196" s="3" t="s">
        <v>406</v>
      </c>
      <c r="D196" s="3" t="s">
        <v>81</v>
      </c>
      <c r="E196" s="3" t="s">
        <v>81</v>
      </c>
      <c r="F196" s="3">
        <v>40.621000000000002</v>
      </c>
      <c r="G196" s="3">
        <v>2</v>
      </c>
      <c r="H196" s="3">
        <v>12.907999999999999</v>
      </c>
      <c r="I196" s="3">
        <v>19.015000000000001</v>
      </c>
      <c r="J196" s="3">
        <v>20.055</v>
      </c>
      <c r="K196" s="3">
        <v>12.217000000000001</v>
      </c>
      <c r="L196" s="3">
        <v>6.44</v>
      </c>
      <c r="M196" s="3" t="s">
        <v>81</v>
      </c>
      <c r="N196" s="3" t="s">
        <v>81</v>
      </c>
      <c r="O196" s="3" t="s">
        <v>81</v>
      </c>
      <c r="P196" s="3" t="s">
        <v>81</v>
      </c>
      <c r="Q196" s="3">
        <v>39.421999999999997</v>
      </c>
      <c r="R196" s="3">
        <v>2</v>
      </c>
      <c r="S196" s="3">
        <v>14.238</v>
      </c>
      <c r="T196" s="3">
        <v>16.850000000000001</v>
      </c>
      <c r="U196" s="3">
        <v>13.151999999999999</v>
      </c>
      <c r="V196" s="3">
        <v>15.253</v>
      </c>
      <c r="W196" s="3">
        <v>8.84</v>
      </c>
      <c r="X196" s="3" t="s">
        <v>81</v>
      </c>
      <c r="Y196" s="3" t="s">
        <v>81</v>
      </c>
      <c r="Z196" s="3" t="s">
        <v>81</v>
      </c>
      <c r="AA196" s="3" t="s">
        <v>81</v>
      </c>
      <c r="AB196" s="3">
        <v>32.563000000000002</v>
      </c>
      <c r="AC196" s="3">
        <v>2</v>
      </c>
      <c r="AD196" s="3">
        <v>8.7349999999999994</v>
      </c>
      <c r="AE196" s="3">
        <v>18.41</v>
      </c>
      <c r="AF196" s="3">
        <v>12.757999999999999</v>
      </c>
      <c r="AG196" s="3">
        <v>16.381</v>
      </c>
      <c r="AH196" s="3">
        <v>9.6859999999999999</v>
      </c>
      <c r="AI196" s="3" t="s">
        <v>81</v>
      </c>
      <c r="AJ196" s="3" t="s">
        <v>81</v>
      </c>
      <c r="AK196" s="3" t="s">
        <v>81</v>
      </c>
      <c r="AL196" s="3" t="s">
        <v>81</v>
      </c>
      <c r="AM196" s="3">
        <v>33.048000000000002</v>
      </c>
      <c r="AN196" s="3">
        <v>2</v>
      </c>
      <c r="AO196" s="3">
        <v>8.2460000000000004</v>
      </c>
      <c r="AP196" s="3">
        <v>18.271000000000001</v>
      </c>
      <c r="AQ196" s="3">
        <v>19.195</v>
      </c>
      <c r="AR196" s="3">
        <v>11.975</v>
      </c>
      <c r="AS196" s="3">
        <v>4.6100000000000003</v>
      </c>
      <c r="AT196" s="3" t="s">
        <v>81</v>
      </c>
      <c r="AU196" s="3" t="s">
        <v>81</v>
      </c>
      <c r="AV196" s="3" t="s">
        <v>81</v>
      </c>
      <c r="AW196" s="3" t="s">
        <v>81</v>
      </c>
      <c r="AX196" s="3" t="s">
        <v>81</v>
      </c>
      <c r="AY196" s="3">
        <v>2</v>
      </c>
      <c r="AZ196" s="3" t="s">
        <v>81</v>
      </c>
      <c r="BA196" s="3" t="s">
        <v>81</v>
      </c>
      <c r="BB196" s="3" t="s">
        <v>81</v>
      </c>
      <c r="BC196" s="3" t="s">
        <v>81</v>
      </c>
      <c r="BD196" s="3" t="s">
        <v>81</v>
      </c>
      <c r="BE196" s="3" t="s">
        <v>81</v>
      </c>
      <c r="BF196" s="3" t="s">
        <v>81</v>
      </c>
      <c r="BG196" s="3" t="s">
        <v>81</v>
      </c>
      <c r="BH196" s="3" t="s">
        <v>81</v>
      </c>
      <c r="BI196" s="3" t="s">
        <v>84</v>
      </c>
      <c r="BJ196" s="3" t="s">
        <v>82</v>
      </c>
      <c r="BK196" s="3" t="s">
        <v>83</v>
      </c>
      <c r="BL196" s="3" t="s">
        <v>84</v>
      </c>
      <c r="BM196" s="3" t="s">
        <v>84</v>
      </c>
      <c r="BN196" s="3" t="s">
        <v>82</v>
      </c>
      <c r="BO196" s="3" t="s">
        <v>83</v>
      </c>
      <c r="BP196" s="3" t="s">
        <v>81</v>
      </c>
      <c r="BQ196" s="3" t="s">
        <v>81</v>
      </c>
      <c r="BR196" s="3" t="s">
        <v>81</v>
      </c>
      <c r="BS196" s="3" t="s">
        <v>81</v>
      </c>
      <c r="BT196" s="3" t="s">
        <v>81</v>
      </c>
      <c r="BU196" s="3" t="s">
        <v>81</v>
      </c>
      <c r="BV196" s="3" t="s">
        <v>82</v>
      </c>
      <c r="BW196" s="3" t="s">
        <v>91</v>
      </c>
      <c r="BX196" s="3" t="s">
        <v>82</v>
      </c>
      <c r="BY196" s="3" t="s">
        <v>409</v>
      </c>
      <c r="BZ196" s="3" t="s">
        <v>86</v>
      </c>
      <c r="CD196" s="9">
        <v>17</v>
      </c>
    </row>
    <row r="197" spans="1:87" ht="13" hidden="1" x14ac:dyDescent="0.15">
      <c r="A197" s="3">
        <v>2643352860</v>
      </c>
      <c r="B197" s="3" t="s">
        <v>406</v>
      </c>
      <c r="C197" s="3" t="s">
        <v>406</v>
      </c>
      <c r="D197" s="3">
        <v>7</v>
      </c>
      <c r="E197" s="3">
        <v>8</v>
      </c>
      <c r="F197" s="3">
        <v>55.14</v>
      </c>
      <c r="G197" s="3">
        <v>3</v>
      </c>
      <c r="H197" s="3">
        <v>14.34</v>
      </c>
      <c r="I197" s="3">
        <v>13.785</v>
      </c>
      <c r="J197" s="3">
        <v>10.984999999999999</v>
      </c>
      <c r="K197" s="3" t="s">
        <v>81</v>
      </c>
      <c r="L197" s="3">
        <v>7.6059999999999999</v>
      </c>
      <c r="M197" s="3">
        <v>10.84</v>
      </c>
      <c r="N197" s="3">
        <v>20.515999999999998</v>
      </c>
      <c r="O197" s="3" t="s">
        <v>81</v>
      </c>
      <c r="P197" s="3" t="s">
        <v>81</v>
      </c>
      <c r="Q197" s="3">
        <v>15.494999999999999</v>
      </c>
      <c r="R197" s="3">
        <v>0</v>
      </c>
      <c r="S197" s="3" t="s">
        <v>81</v>
      </c>
      <c r="T197" s="3" t="s">
        <v>81</v>
      </c>
      <c r="U197" s="3" t="s">
        <v>81</v>
      </c>
      <c r="V197" s="3" t="s">
        <v>81</v>
      </c>
      <c r="W197" s="3" t="s">
        <v>81</v>
      </c>
      <c r="X197" s="3" t="s">
        <v>81</v>
      </c>
      <c r="Y197" s="3" t="s">
        <v>81</v>
      </c>
      <c r="Z197" s="3" t="s">
        <v>81</v>
      </c>
      <c r="AA197" s="3" t="s">
        <v>81</v>
      </c>
      <c r="AB197" s="3">
        <v>49.69</v>
      </c>
      <c r="AC197" s="3">
        <v>3</v>
      </c>
      <c r="AD197" s="3">
        <v>6.9859999999999998</v>
      </c>
      <c r="AE197" s="3">
        <v>22.018999999999998</v>
      </c>
      <c r="AF197" s="3">
        <v>6.024</v>
      </c>
      <c r="AG197" s="3">
        <v>9.5730000000000004</v>
      </c>
      <c r="AH197" s="3">
        <v>7.6970000000000001</v>
      </c>
      <c r="AI197" s="3">
        <v>16.702999999999999</v>
      </c>
      <c r="AJ197" s="3">
        <v>29.068999999999999</v>
      </c>
      <c r="AK197" s="3" t="s">
        <v>81</v>
      </c>
      <c r="AL197" s="3" t="s">
        <v>81</v>
      </c>
      <c r="AM197" s="3">
        <v>26.346</v>
      </c>
      <c r="AN197" s="3">
        <v>2</v>
      </c>
      <c r="AO197" s="3" t="s">
        <v>81</v>
      </c>
      <c r="AP197" s="3" t="s">
        <v>81</v>
      </c>
      <c r="AQ197" s="3" t="s">
        <v>81</v>
      </c>
      <c r="AR197" s="3">
        <v>19.643000000000001</v>
      </c>
      <c r="AS197" s="3">
        <v>4.766</v>
      </c>
      <c r="AT197" s="3" t="s">
        <v>81</v>
      </c>
      <c r="AU197" s="3" t="s">
        <v>81</v>
      </c>
      <c r="AV197" s="3" t="s">
        <v>81</v>
      </c>
      <c r="AW197" s="3" t="s">
        <v>81</v>
      </c>
      <c r="AX197" s="3">
        <v>46.526000000000003</v>
      </c>
      <c r="AY197" s="3">
        <v>2</v>
      </c>
      <c r="AZ197" s="3">
        <v>10.36</v>
      </c>
      <c r="BA197" s="3" t="s">
        <v>81</v>
      </c>
      <c r="BB197" s="3">
        <v>9.6769999999999996</v>
      </c>
      <c r="BC197" s="3">
        <v>13.704000000000001</v>
      </c>
      <c r="BD197" s="3">
        <v>26.85</v>
      </c>
      <c r="BE197" s="3" t="s">
        <v>81</v>
      </c>
      <c r="BF197" s="3" t="s">
        <v>81</v>
      </c>
      <c r="BG197" s="3" t="s">
        <v>81</v>
      </c>
      <c r="BH197" s="3" t="s">
        <v>81</v>
      </c>
      <c r="BI197" s="3" t="s">
        <v>84</v>
      </c>
      <c r="BJ197" s="3" t="s">
        <v>82</v>
      </c>
      <c r="BK197" s="3" t="s">
        <v>83</v>
      </c>
      <c r="BL197" s="3" t="s">
        <v>84</v>
      </c>
      <c r="BM197" s="3" t="s">
        <v>84</v>
      </c>
      <c r="BN197" s="3" t="s">
        <v>82</v>
      </c>
      <c r="BO197" s="3" t="s">
        <v>84</v>
      </c>
      <c r="BP197" s="3" t="s">
        <v>410</v>
      </c>
      <c r="BQ197" s="3" t="s">
        <v>410</v>
      </c>
      <c r="BR197" s="3" t="s">
        <v>205</v>
      </c>
      <c r="BS197" s="3" t="s">
        <v>411</v>
      </c>
      <c r="BT197" s="3" t="s">
        <v>87</v>
      </c>
      <c r="BU197" s="3" t="s">
        <v>205</v>
      </c>
      <c r="BV197" s="3" t="s">
        <v>82</v>
      </c>
      <c r="BW197" s="3" t="s">
        <v>91</v>
      </c>
      <c r="BX197" s="3" t="s">
        <v>82</v>
      </c>
      <c r="BY197" s="3" t="s">
        <v>412</v>
      </c>
      <c r="BZ197" s="3" t="s">
        <v>86</v>
      </c>
      <c r="CD197" s="9">
        <v>14</v>
      </c>
    </row>
    <row r="198" spans="1:87" ht="13" x14ac:dyDescent="0.15">
      <c r="A198" s="3">
        <v>2643371841</v>
      </c>
      <c r="B198" s="3" t="s">
        <v>353</v>
      </c>
      <c r="C198" s="3" t="s">
        <v>353</v>
      </c>
      <c r="D198" s="3" t="s">
        <v>81</v>
      </c>
      <c r="E198" s="3" t="s">
        <v>81</v>
      </c>
      <c r="F198" s="3">
        <v>51.692</v>
      </c>
      <c r="G198" s="3">
        <v>0</v>
      </c>
      <c r="H198" s="3" t="s">
        <v>81</v>
      </c>
      <c r="I198" s="3" t="s">
        <v>81</v>
      </c>
      <c r="J198" s="3" t="s">
        <v>81</v>
      </c>
      <c r="K198" s="3" t="s">
        <v>81</v>
      </c>
      <c r="L198" s="3" t="s">
        <v>81</v>
      </c>
      <c r="M198" s="3" t="s">
        <v>81</v>
      </c>
      <c r="N198" s="3" t="s">
        <v>81</v>
      </c>
      <c r="O198" s="3" t="s">
        <v>81</v>
      </c>
      <c r="P198" s="3" t="s">
        <v>81</v>
      </c>
      <c r="Q198" s="3">
        <v>51.89</v>
      </c>
      <c r="R198" s="3">
        <v>0</v>
      </c>
      <c r="S198" s="3" t="s">
        <v>81</v>
      </c>
      <c r="T198" s="3" t="s">
        <v>81</v>
      </c>
      <c r="U198" s="3" t="s">
        <v>81</v>
      </c>
      <c r="V198" s="3" t="s">
        <v>81</v>
      </c>
      <c r="W198" s="3" t="s">
        <v>81</v>
      </c>
      <c r="X198" s="3" t="s">
        <v>81</v>
      </c>
      <c r="Y198" s="3" t="s">
        <v>81</v>
      </c>
      <c r="Z198" s="3" t="s">
        <v>81</v>
      </c>
      <c r="AA198" s="3" t="s">
        <v>81</v>
      </c>
      <c r="AB198" s="3">
        <v>46.372999999999998</v>
      </c>
      <c r="AC198" s="3">
        <v>0</v>
      </c>
      <c r="AD198" s="3" t="s">
        <v>81</v>
      </c>
      <c r="AE198" s="3" t="s">
        <v>81</v>
      </c>
      <c r="AF198" s="3" t="s">
        <v>81</v>
      </c>
      <c r="AG198" s="3" t="s">
        <v>81</v>
      </c>
      <c r="AH198" s="3" t="s">
        <v>81</v>
      </c>
      <c r="AI198" s="3" t="s">
        <v>81</v>
      </c>
      <c r="AJ198" s="3" t="s">
        <v>81</v>
      </c>
      <c r="AK198" s="3" t="s">
        <v>81</v>
      </c>
      <c r="AL198" s="3" t="s">
        <v>81</v>
      </c>
      <c r="AM198" s="3">
        <v>37.411000000000001</v>
      </c>
      <c r="AN198" s="3">
        <v>0</v>
      </c>
      <c r="AO198" s="3" t="s">
        <v>81</v>
      </c>
      <c r="AP198" s="3" t="s">
        <v>81</v>
      </c>
      <c r="AQ198" s="3" t="s">
        <v>81</v>
      </c>
      <c r="AR198" s="3" t="s">
        <v>81</v>
      </c>
      <c r="AS198" s="3" t="s">
        <v>81</v>
      </c>
      <c r="AT198" s="3" t="s">
        <v>81</v>
      </c>
      <c r="AU198" s="3" t="s">
        <v>81</v>
      </c>
      <c r="AV198" s="3" t="s">
        <v>81</v>
      </c>
      <c r="AW198" s="3" t="s">
        <v>81</v>
      </c>
      <c r="AX198" s="3">
        <v>34.551000000000002</v>
      </c>
      <c r="AY198" s="3">
        <v>0</v>
      </c>
      <c r="AZ198" s="3" t="s">
        <v>81</v>
      </c>
      <c r="BA198" s="3" t="s">
        <v>81</v>
      </c>
      <c r="BB198" s="3" t="s">
        <v>81</v>
      </c>
      <c r="BC198" s="3" t="s">
        <v>81</v>
      </c>
      <c r="BD198" s="3" t="s">
        <v>81</v>
      </c>
      <c r="BE198" s="3" t="s">
        <v>81</v>
      </c>
      <c r="BF198" s="3" t="s">
        <v>81</v>
      </c>
      <c r="BG198" s="3" t="s">
        <v>81</v>
      </c>
      <c r="BH198" s="3" t="s">
        <v>81</v>
      </c>
      <c r="BI198" s="3" t="s">
        <v>82</v>
      </c>
      <c r="BJ198" s="3" t="s">
        <v>82</v>
      </c>
      <c r="BK198" s="3" t="s">
        <v>83</v>
      </c>
      <c r="BL198" s="3" t="s">
        <v>84</v>
      </c>
      <c r="BM198" s="3" t="s">
        <v>84</v>
      </c>
      <c r="BN198" s="3"/>
      <c r="BO198" s="3" t="s">
        <v>84</v>
      </c>
      <c r="BP198" s="3" t="s">
        <v>357</v>
      </c>
      <c r="BQ198" s="3" t="s">
        <v>98</v>
      </c>
      <c r="BR198" s="3" t="s">
        <v>218</v>
      </c>
      <c r="BS198" s="3" t="s">
        <v>358</v>
      </c>
      <c r="BT198" s="3" t="s">
        <v>85</v>
      </c>
      <c r="BU198" s="3" t="s">
        <v>98</v>
      </c>
      <c r="BV198" s="3" t="s">
        <v>84</v>
      </c>
      <c r="BW198" s="3"/>
      <c r="BX198" s="3" t="s">
        <v>82</v>
      </c>
      <c r="BY198" s="3" t="s">
        <v>359</v>
      </c>
      <c r="BZ198" s="3" t="s">
        <v>86</v>
      </c>
      <c r="CB198" s="3" t="s">
        <v>84</v>
      </c>
      <c r="CD198" s="9">
        <v>37</v>
      </c>
    </row>
    <row r="199" spans="1:87" ht="13" x14ac:dyDescent="0.15">
      <c r="A199" s="3">
        <v>1228305113</v>
      </c>
      <c r="B199" s="3" t="s">
        <v>353</v>
      </c>
      <c r="C199" s="3" t="s">
        <v>353</v>
      </c>
      <c r="D199" s="3">
        <v>15</v>
      </c>
      <c r="E199" s="3">
        <v>25</v>
      </c>
      <c r="F199" s="3">
        <v>30.044</v>
      </c>
      <c r="G199" s="3">
        <v>0</v>
      </c>
      <c r="H199" s="3" t="s">
        <v>81</v>
      </c>
      <c r="I199" s="3" t="s">
        <v>81</v>
      </c>
      <c r="J199" s="3" t="s">
        <v>81</v>
      </c>
      <c r="K199" s="3" t="s">
        <v>81</v>
      </c>
      <c r="L199" s="3" t="s">
        <v>81</v>
      </c>
      <c r="M199" s="3" t="s">
        <v>81</v>
      </c>
      <c r="N199" s="3" t="s">
        <v>81</v>
      </c>
      <c r="O199" s="3" t="s">
        <v>81</v>
      </c>
      <c r="P199" s="3" t="s">
        <v>81</v>
      </c>
      <c r="Q199" s="3">
        <v>30.471</v>
      </c>
      <c r="R199" s="3">
        <v>0</v>
      </c>
      <c r="S199" s="3" t="s">
        <v>81</v>
      </c>
      <c r="T199" s="3" t="s">
        <v>81</v>
      </c>
      <c r="U199" s="3" t="s">
        <v>81</v>
      </c>
      <c r="V199" s="3" t="s">
        <v>81</v>
      </c>
      <c r="W199" s="3" t="s">
        <v>81</v>
      </c>
      <c r="X199" s="3" t="s">
        <v>81</v>
      </c>
      <c r="Y199" s="3" t="s">
        <v>81</v>
      </c>
      <c r="Z199" s="3" t="s">
        <v>81</v>
      </c>
      <c r="AA199" s="3" t="s">
        <v>81</v>
      </c>
      <c r="AB199" s="3">
        <v>29.513000000000002</v>
      </c>
      <c r="AC199" s="3">
        <v>0</v>
      </c>
      <c r="AD199" s="3" t="s">
        <v>81</v>
      </c>
      <c r="AE199" s="3" t="s">
        <v>81</v>
      </c>
      <c r="AF199" s="3" t="s">
        <v>81</v>
      </c>
      <c r="AG199" s="3" t="s">
        <v>81</v>
      </c>
      <c r="AH199" s="3" t="s">
        <v>81</v>
      </c>
      <c r="AI199" s="3" t="s">
        <v>81</v>
      </c>
      <c r="AJ199" s="3" t="s">
        <v>81</v>
      </c>
      <c r="AK199" s="3" t="s">
        <v>81</v>
      </c>
      <c r="AL199" s="3" t="s">
        <v>81</v>
      </c>
      <c r="AM199" s="3">
        <v>30.913</v>
      </c>
      <c r="AN199" s="3">
        <v>0</v>
      </c>
      <c r="AO199" s="3" t="s">
        <v>81</v>
      </c>
      <c r="AP199" s="3" t="s">
        <v>81</v>
      </c>
      <c r="AQ199" s="3" t="s">
        <v>81</v>
      </c>
      <c r="AR199" s="3" t="s">
        <v>81</v>
      </c>
      <c r="AS199" s="3" t="s">
        <v>81</v>
      </c>
      <c r="AT199" s="3" t="s">
        <v>81</v>
      </c>
      <c r="AU199" s="3" t="s">
        <v>81</v>
      </c>
      <c r="AV199" s="3" t="s">
        <v>81</v>
      </c>
      <c r="AW199" s="3" t="s">
        <v>81</v>
      </c>
      <c r="AX199" s="3">
        <v>27.690999999999999</v>
      </c>
      <c r="AY199" s="3">
        <v>0</v>
      </c>
      <c r="AZ199" s="3" t="s">
        <v>81</v>
      </c>
      <c r="BA199" s="3" t="s">
        <v>81</v>
      </c>
      <c r="BB199" s="3" t="s">
        <v>81</v>
      </c>
      <c r="BC199" s="3" t="s">
        <v>81</v>
      </c>
      <c r="BD199" s="3" t="s">
        <v>81</v>
      </c>
      <c r="BE199" s="3" t="s">
        <v>81</v>
      </c>
      <c r="BF199" s="3" t="s">
        <v>81</v>
      </c>
      <c r="BG199" s="3" t="s">
        <v>81</v>
      </c>
      <c r="BH199" s="3" t="s">
        <v>81</v>
      </c>
      <c r="BI199" s="3" t="s">
        <v>82</v>
      </c>
      <c r="BJ199" s="3" t="s">
        <v>82</v>
      </c>
      <c r="BK199" s="3" t="s">
        <v>83</v>
      </c>
      <c r="BL199" s="3" t="s">
        <v>84</v>
      </c>
      <c r="BM199" s="3" t="s">
        <v>84</v>
      </c>
      <c r="BN199" s="3" t="s">
        <v>84</v>
      </c>
      <c r="BO199" s="3" t="s">
        <v>84</v>
      </c>
      <c r="BP199" s="3" t="s">
        <v>218</v>
      </c>
      <c r="BQ199" s="3" t="s">
        <v>218</v>
      </c>
      <c r="BR199" s="3" t="s">
        <v>98</v>
      </c>
      <c r="BS199" s="3" t="s">
        <v>360</v>
      </c>
      <c r="BT199" s="3" t="s">
        <v>85</v>
      </c>
      <c r="BU199" s="3" t="s">
        <v>98</v>
      </c>
      <c r="BV199" s="3" t="s">
        <v>82</v>
      </c>
      <c r="BW199" s="3" t="s">
        <v>91</v>
      </c>
      <c r="BX199" s="3" t="s">
        <v>82</v>
      </c>
      <c r="BY199" s="3" t="s">
        <v>361</v>
      </c>
      <c r="BZ199" s="3" t="s">
        <v>93</v>
      </c>
      <c r="CB199" s="3" t="s">
        <v>84</v>
      </c>
      <c r="CD199" s="9">
        <v>23</v>
      </c>
    </row>
    <row r="200" spans="1:87" ht="13" x14ac:dyDescent="0.15">
      <c r="A200" s="3">
        <v>1228168719</v>
      </c>
      <c r="B200" s="3" t="s">
        <v>364</v>
      </c>
      <c r="C200" s="3" t="s">
        <v>364</v>
      </c>
      <c r="D200" s="3">
        <v>13</v>
      </c>
      <c r="E200" s="3">
        <v>24</v>
      </c>
      <c r="F200" s="3">
        <v>46.826999999999998</v>
      </c>
      <c r="G200" s="3">
        <v>0</v>
      </c>
      <c r="H200" s="3" t="s">
        <v>81</v>
      </c>
      <c r="I200" s="3" t="s">
        <v>81</v>
      </c>
      <c r="J200" s="3" t="s">
        <v>81</v>
      </c>
      <c r="K200" s="3" t="s">
        <v>81</v>
      </c>
      <c r="L200" s="3" t="s">
        <v>81</v>
      </c>
      <c r="M200" s="3" t="s">
        <v>81</v>
      </c>
      <c r="N200" s="3" t="s">
        <v>81</v>
      </c>
      <c r="O200" s="3" t="s">
        <v>81</v>
      </c>
      <c r="P200" s="3" t="s">
        <v>81</v>
      </c>
      <c r="Q200" s="3">
        <v>45.9</v>
      </c>
      <c r="R200" s="3">
        <v>0</v>
      </c>
      <c r="S200" s="3" t="s">
        <v>81</v>
      </c>
      <c r="T200" s="3" t="s">
        <v>81</v>
      </c>
      <c r="U200" s="3" t="s">
        <v>81</v>
      </c>
      <c r="V200" s="3" t="s">
        <v>81</v>
      </c>
      <c r="W200" s="3" t="s">
        <v>81</v>
      </c>
      <c r="X200" s="3" t="s">
        <v>81</v>
      </c>
      <c r="Y200" s="3" t="s">
        <v>81</v>
      </c>
      <c r="Z200" s="3" t="s">
        <v>81</v>
      </c>
      <c r="AA200" s="3" t="s">
        <v>81</v>
      </c>
      <c r="AB200" s="3">
        <v>49.808</v>
      </c>
      <c r="AC200" s="3">
        <v>0</v>
      </c>
      <c r="AD200" s="3" t="s">
        <v>81</v>
      </c>
      <c r="AE200" s="3" t="s">
        <v>81</v>
      </c>
      <c r="AF200" s="3" t="s">
        <v>81</v>
      </c>
      <c r="AG200" s="3" t="s">
        <v>81</v>
      </c>
      <c r="AH200" s="3" t="s">
        <v>81</v>
      </c>
      <c r="AI200" s="3" t="s">
        <v>81</v>
      </c>
      <c r="AJ200" s="3" t="s">
        <v>81</v>
      </c>
      <c r="AK200" s="3" t="s">
        <v>81</v>
      </c>
      <c r="AL200" s="3" t="s">
        <v>81</v>
      </c>
      <c r="AM200" s="3">
        <v>43.930999999999997</v>
      </c>
      <c r="AN200" s="3">
        <v>0</v>
      </c>
      <c r="AO200" s="3" t="s">
        <v>81</v>
      </c>
      <c r="AP200" s="3" t="s">
        <v>81</v>
      </c>
      <c r="AQ200" s="3" t="s">
        <v>81</v>
      </c>
      <c r="AR200" s="3" t="s">
        <v>81</v>
      </c>
      <c r="AS200" s="3" t="s">
        <v>81</v>
      </c>
      <c r="AT200" s="3" t="s">
        <v>81</v>
      </c>
      <c r="AU200" s="3" t="s">
        <v>81</v>
      </c>
      <c r="AV200" s="3" t="s">
        <v>81</v>
      </c>
      <c r="AW200" s="3" t="s">
        <v>81</v>
      </c>
      <c r="AX200" s="3">
        <v>50.436</v>
      </c>
      <c r="AY200" s="3">
        <v>0</v>
      </c>
      <c r="AZ200" s="3" t="s">
        <v>81</v>
      </c>
      <c r="BA200" s="3" t="s">
        <v>81</v>
      </c>
      <c r="BB200" s="3" t="s">
        <v>81</v>
      </c>
      <c r="BC200" s="3" t="s">
        <v>81</v>
      </c>
      <c r="BD200" s="3" t="s">
        <v>81</v>
      </c>
      <c r="BE200" s="3" t="s">
        <v>81</v>
      </c>
      <c r="BF200" s="3" t="s">
        <v>81</v>
      </c>
      <c r="BG200" s="3" t="s">
        <v>81</v>
      </c>
      <c r="BH200" s="3" t="s">
        <v>81</v>
      </c>
      <c r="BI200" s="3" t="s">
        <v>84</v>
      </c>
      <c r="BJ200" s="3" t="s">
        <v>82</v>
      </c>
      <c r="BK200" s="3" t="s">
        <v>83</v>
      </c>
      <c r="BL200" s="3" t="s">
        <v>84</v>
      </c>
      <c r="BM200" s="3" t="s">
        <v>84</v>
      </c>
      <c r="BN200" s="3" t="s">
        <v>82</v>
      </c>
      <c r="BO200" s="3" t="s">
        <v>84</v>
      </c>
      <c r="BP200" s="3" t="s">
        <v>106</v>
      </c>
      <c r="BQ200" s="3" t="s">
        <v>106</v>
      </c>
      <c r="BR200" s="3" t="s">
        <v>106</v>
      </c>
      <c r="BS200" s="3" t="s">
        <v>106</v>
      </c>
      <c r="BT200" s="3" t="s">
        <v>106</v>
      </c>
      <c r="BU200" s="3" t="s">
        <v>81</v>
      </c>
      <c r="BV200" s="3" t="s">
        <v>82</v>
      </c>
      <c r="BW200" s="3" t="s">
        <v>91</v>
      </c>
      <c r="BX200" s="3" t="s">
        <v>82</v>
      </c>
      <c r="BY200" s="3" t="s">
        <v>361</v>
      </c>
      <c r="BZ200" s="3" t="s">
        <v>93</v>
      </c>
      <c r="CA200" s="3" t="s">
        <v>103</v>
      </c>
      <c r="CB200" s="3" t="s">
        <v>84</v>
      </c>
      <c r="CC200" s="3"/>
      <c r="CD200" s="9">
        <v>23</v>
      </c>
      <c r="CE200" s="9"/>
      <c r="CF200" s="9"/>
      <c r="CG200" s="5"/>
      <c r="CH200" s="5"/>
    </row>
    <row r="201" spans="1:87" ht="13" x14ac:dyDescent="0.15">
      <c r="A201" s="3">
        <v>2625861900</v>
      </c>
      <c r="B201" s="3" t="s">
        <v>365</v>
      </c>
      <c r="C201" s="3" t="s">
        <v>364</v>
      </c>
      <c r="D201" s="3">
        <v>9</v>
      </c>
      <c r="E201" s="3">
        <v>15</v>
      </c>
      <c r="F201" s="3">
        <v>81.093999999999994</v>
      </c>
      <c r="G201" s="3">
        <v>1</v>
      </c>
      <c r="H201" s="3">
        <v>28.271999999999998</v>
      </c>
      <c r="I201" s="3">
        <v>50.884</v>
      </c>
      <c r="J201" s="3">
        <v>50.42</v>
      </c>
      <c r="K201" s="3" t="s">
        <v>81</v>
      </c>
      <c r="L201" s="3" t="s">
        <v>81</v>
      </c>
      <c r="M201" s="3" t="s">
        <v>81</v>
      </c>
      <c r="N201" s="3" t="s">
        <v>81</v>
      </c>
      <c r="O201" s="3" t="s">
        <v>81</v>
      </c>
      <c r="P201" s="3" t="s">
        <v>81</v>
      </c>
      <c r="Q201" s="3">
        <v>80.861999999999995</v>
      </c>
      <c r="R201" s="3">
        <v>1</v>
      </c>
      <c r="S201" s="3">
        <v>32.195999999999998</v>
      </c>
      <c r="T201" s="3">
        <v>46.095999999999997</v>
      </c>
      <c r="U201" s="3">
        <v>48.179000000000002</v>
      </c>
      <c r="V201" s="3" t="s">
        <v>81</v>
      </c>
      <c r="W201" s="3" t="s">
        <v>81</v>
      </c>
      <c r="X201" s="3" t="s">
        <v>81</v>
      </c>
      <c r="Y201" s="3" t="s">
        <v>81</v>
      </c>
      <c r="Z201" s="3" t="s">
        <v>81</v>
      </c>
      <c r="AA201" s="3" t="s">
        <v>81</v>
      </c>
      <c r="AB201" s="3">
        <v>87.033000000000001</v>
      </c>
      <c r="AC201" s="3">
        <v>1</v>
      </c>
      <c r="AD201" s="3">
        <v>41.356000000000002</v>
      </c>
      <c r="AE201" s="3">
        <v>41.228999999999999</v>
      </c>
      <c r="AF201" s="3">
        <v>44.247</v>
      </c>
      <c r="AG201" s="3" t="s">
        <v>81</v>
      </c>
      <c r="AH201" s="3" t="s">
        <v>81</v>
      </c>
      <c r="AI201" s="3" t="s">
        <v>81</v>
      </c>
      <c r="AJ201" s="3" t="s">
        <v>81</v>
      </c>
      <c r="AK201" s="3" t="s">
        <v>81</v>
      </c>
      <c r="AL201" s="3" t="s">
        <v>81</v>
      </c>
      <c r="AM201" s="3">
        <v>80.406000000000006</v>
      </c>
      <c r="AN201" s="3">
        <v>1</v>
      </c>
      <c r="AO201" s="3">
        <v>31.637</v>
      </c>
      <c r="AP201" s="3">
        <v>49.137999999999998</v>
      </c>
      <c r="AQ201" s="3">
        <v>48.783999999999999</v>
      </c>
      <c r="AR201" s="3" t="s">
        <v>81</v>
      </c>
      <c r="AS201" s="3" t="s">
        <v>81</v>
      </c>
      <c r="AT201" s="3" t="s">
        <v>81</v>
      </c>
      <c r="AU201" s="3" t="s">
        <v>81</v>
      </c>
      <c r="AV201" s="3" t="s">
        <v>81</v>
      </c>
      <c r="AW201" s="3" t="s">
        <v>81</v>
      </c>
      <c r="AX201" s="3">
        <v>78.453000000000003</v>
      </c>
      <c r="AY201" s="3">
        <v>1</v>
      </c>
      <c r="AZ201" s="3">
        <v>32.947000000000003</v>
      </c>
      <c r="BA201" s="3">
        <v>48.878</v>
      </c>
      <c r="BB201" s="3">
        <v>45.579000000000001</v>
      </c>
      <c r="BC201" s="3" t="s">
        <v>81</v>
      </c>
      <c r="BD201" s="3" t="s">
        <v>81</v>
      </c>
      <c r="BE201" s="3" t="s">
        <v>81</v>
      </c>
      <c r="BF201" s="3" t="s">
        <v>81</v>
      </c>
      <c r="BG201" s="3" t="s">
        <v>81</v>
      </c>
      <c r="BH201" s="3" t="s">
        <v>81</v>
      </c>
      <c r="BI201" s="3" t="s">
        <v>84</v>
      </c>
      <c r="BJ201" s="3" t="s">
        <v>84</v>
      </c>
      <c r="BK201" s="3" t="s">
        <v>82</v>
      </c>
      <c r="BL201" s="3" t="s">
        <v>84</v>
      </c>
      <c r="BM201" s="3" t="s">
        <v>84</v>
      </c>
      <c r="BN201" s="3" t="s">
        <v>82</v>
      </c>
      <c r="BO201" s="3" t="s">
        <v>84</v>
      </c>
      <c r="BP201" s="3" t="s">
        <v>106</v>
      </c>
      <c r="BQ201" s="3" t="s">
        <v>106</v>
      </c>
      <c r="BR201" s="3" t="s">
        <v>129</v>
      </c>
      <c r="BS201" s="3" t="s">
        <v>366</v>
      </c>
      <c r="BT201" s="3" t="s">
        <v>106</v>
      </c>
      <c r="BU201" s="3" t="s">
        <v>129</v>
      </c>
      <c r="BV201" s="3" t="s">
        <v>82</v>
      </c>
      <c r="BW201" s="3" t="s">
        <v>91</v>
      </c>
      <c r="BX201" s="3" t="s">
        <v>82</v>
      </c>
      <c r="BZ201" s="3" t="s">
        <v>86</v>
      </c>
      <c r="CB201" s="3" t="s">
        <v>84</v>
      </c>
      <c r="CD201" s="9">
        <v>31</v>
      </c>
      <c r="CE201" s="9"/>
      <c r="CF201" s="9"/>
      <c r="CI201" s="4"/>
    </row>
    <row r="202" spans="1:87" ht="13" x14ac:dyDescent="0.15">
      <c r="A202" s="3">
        <v>1228312568</v>
      </c>
      <c r="B202" s="3" t="s">
        <v>372</v>
      </c>
      <c r="C202" s="3" t="s">
        <v>372</v>
      </c>
      <c r="D202" s="3">
        <v>3</v>
      </c>
      <c r="E202" s="3">
        <v>7</v>
      </c>
      <c r="F202" s="3">
        <v>25.117000000000001</v>
      </c>
      <c r="G202" s="3">
        <v>0</v>
      </c>
      <c r="H202" s="3" t="s">
        <v>81</v>
      </c>
      <c r="I202" s="3" t="s">
        <v>81</v>
      </c>
      <c r="J202" s="3" t="s">
        <v>81</v>
      </c>
      <c r="K202" s="3" t="s">
        <v>81</v>
      </c>
      <c r="L202" s="3" t="s">
        <v>81</v>
      </c>
      <c r="M202" s="3" t="s">
        <v>81</v>
      </c>
      <c r="N202" s="3" t="s">
        <v>81</v>
      </c>
      <c r="O202" s="3" t="s">
        <v>81</v>
      </c>
      <c r="P202" s="3" t="s">
        <v>81</v>
      </c>
      <c r="Q202" s="3">
        <v>26.907</v>
      </c>
      <c r="R202" s="3">
        <v>0</v>
      </c>
      <c r="S202" s="3" t="s">
        <v>81</v>
      </c>
      <c r="T202" s="3" t="s">
        <v>81</v>
      </c>
      <c r="U202" s="3" t="s">
        <v>81</v>
      </c>
      <c r="V202" s="3" t="s">
        <v>81</v>
      </c>
      <c r="W202" s="3" t="s">
        <v>81</v>
      </c>
      <c r="X202" s="3" t="s">
        <v>81</v>
      </c>
      <c r="Y202" s="3" t="s">
        <v>81</v>
      </c>
      <c r="Z202" s="3" t="s">
        <v>81</v>
      </c>
      <c r="AA202" s="3" t="s">
        <v>81</v>
      </c>
      <c r="AB202" s="3">
        <v>25.294</v>
      </c>
      <c r="AC202" s="3">
        <v>0</v>
      </c>
      <c r="AD202" s="3" t="s">
        <v>81</v>
      </c>
      <c r="AE202" s="3" t="s">
        <v>81</v>
      </c>
      <c r="AF202" s="3" t="s">
        <v>81</v>
      </c>
      <c r="AG202" s="3" t="s">
        <v>81</v>
      </c>
      <c r="AH202" s="3" t="s">
        <v>81</v>
      </c>
      <c r="AI202" s="3" t="s">
        <v>81</v>
      </c>
      <c r="AJ202" s="3" t="s">
        <v>81</v>
      </c>
      <c r="AK202" s="3" t="s">
        <v>81</v>
      </c>
      <c r="AL202" s="3" t="s">
        <v>81</v>
      </c>
      <c r="AM202" s="3">
        <v>30.125</v>
      </c>
      <c r="AN202" s="3">
        <v>0</v>
      </c>
      <c r="AO202" s="3" t="s">
        <v>81</v>
      </c>
      <c r="AP202" s="3" t="s">
        <v>81</v>
      </c>
      <c r="AQ202" s="3" t="s">
        <v>81</v>
      </c>
      <c r="AR202" s="3" t="s">
        <v>81</v>
      </c>
      <c r="AS202" s="3" t="s">
        <v>81</v>
      </c>
      <c r="AT202" s="3" t="s">
        <v>81</v>
      </c>
      <c r="AU202" s="3" t="s">
        <v>81</v>
      </c>
      <c r="AV202" s="3" t="s">
        <v>81</v>
      </c>
      <c r="AW202" s="3" t="s">
        <v>81</v>
      </c>
      <c r="AX202" s="3">
        <v>31.263000000000002</v>
      </c>
      <c r="AY202" s="3">
        <v>0</v>
      </c>
      <c r="AZ202" s="3" t="s">
        <v>81</v>
      </c>
      <c r="BA202" s="3" t="s">
        <v>81</v>
      </c>
      <c r="BB202" s="3" t="s">
        <v>81</v>
      </c>
      <c r="BC202" s="3" t="s">
        <v>81</v>
      </c>
      <c r="BD202" s="3" t="s">
        <v>81</v>
      </c>
      <c r="BE202" s="3" t="s">
        <v>81</v>
      </c>
      <c r="BF202" s="3" t="s">
        <v>81</v>
      </c>
      <c r="BG202" s="3" t="s">
        <v>81</v>
      </c>
      <c r="BH202" s="3" t="s">
        <v>81</v>
      </c>
      <c r="BI202" s="3" t="s">
        <v>82</v>
      </c>
      <c r="BJ202" s="3" t="s">
        <v>84</v>
      </c>
      <c r="BK202" s="3" t="s">
        <v>84</v>
      </c>
      <c r="BL202" s="3" t="s">
        <v>83</v>
      </c>
      <c r="BM202" s="3" t="s">
        <v>83</v>
      </c>
      <c r="BN202" s="3" t="s">
        <v>83</v>
      </c>
      <c r="BO202" s="3" t="s">
        <v>82</v>
      </c>
      <c r="BP202" s="3" t="s">
        <v>85</v>
      </c>
      <c r="BQ202" s="3" t="s">
        <v>85</v>
      </c>
      <c r="BR202" s="3" t="s">
        <v>85</v>
      </c>
      <c r="BS202" s="3" t="s">
        <v>85</v>
      </c>
      <c r="BT202" s="3" t="s">
        <v>85</v>
      </c>
      <c r="BU202" s="3" t="s">
        <v>81</v>
      </c>
      <c r="BV202" s="3" t="s">
        <v>83</v>
      </c>
      <c r="BW202" s="3" t="s">
        <v>83</v>
      </c>
      <c r="BX202" s="3" t="s">
        <v>83</v>
      </c>
      <c r="BY202" s="3" t="s">
        <v>373</v>
      </c>
      <c r="BZ202" s="3" t="s">
        <v>93</v>
      </c>
      <c r="CB202" s="3" t="s">
        <v>84</v>
      </c>
      <c r="CD202" s="9">
        <v>7</v>
      </c>
      <c r="CE202" s="9">
        <v>7</v>
      </c>
      <c r="CF202" s="9">
        <v>4</v>
      </c>
      <c r="CI202" s="6"/>
    </row>
    <row r="203" spans="1:87" ht="13" x14ac:dyDescent="0.15">
      <c r="A203" s="3">
        <v>1228490871</v>
      </c>
      <c r="B203" s="3" t="s">
        <v>372</v>
      </c>
      <c r="C203" s="3" t="s">
        <v>372</v>
      </c>
      <c r="D203" s="3">
        <v>3</v>
      </c>
      <c r="E203" s="3">
        <v>10</v>
      </c>
      <c r="F203" s="3">
        <v>27.803000000000001</v>
      </c>
      <c r="G203" s="3">
        <v>0</v>
      </c>
      <c r="H203" s="3" t="s">
        <v>81</v>
      </c>
      <c r="I203" s="3" t="s">
        <v>81</v>
      </c>
      <c r="J203" s="3" t="s">
        <v>81</v>
      </c>
      <c r="K203" s="3" t="s">
        <v>81</v>
      </c>
      <c r="L203" s="3" t="s">
        <v>81</v>
      </c>
      <c r="M203" s="3" t="s">
        <v>81</v>
      </c>
      <c r="N203" s="3" t="s">
        <v>81</v>
      </c>
      <c r="O203" s="3" t="s">
        <v>81</v>
      </c>
      <c r="P203" s="3" t="s">
        <v>81</v>
      </c>
      <c r="Q203" s="3">
        <v>26.687000000000001</v>
      </c>
      <c r="R203" s="3">
        <v>0</v>
      </c>
      <c r="S203" s="3" t="s">
        <v>81</v>
      </c>
      <c r="T203" s="3" t="s">
        <v>81</v>
      </c>
      <c r="U203" s="3" t="s">
        <v>81</v>
      </c>
      <c r="V203" s="3" t="s">
        <v>81</v>
      </c>
      <c r="W203" s="3" t="s">
        <v>81</v>
      </c>
      <c r="X203" s="3" t="s">
        <v>81</v>
      </c>
      <c r="Y203" s="3" t="s">
        <v>81</v>
      </c>
      <c r="Z203" s="3" t="s">
        <v>81</v>
      </c>
      <c r="AA203" s="3" t="s">
        <v>81</v>
      </c>
      <c r="AB203" s="3">
        <v>23.422999999999998</v>
      </c>
      <c r="AC203" s="3">
        <v>0</v>
      </c>
      <c r="AD203" s="3" t="s">
        <v>81</v>
      </c>
      <c r="AE203" s="3" t="s">
        <v>81</v>
      </c>
      <c r="AF203" s="3" t="s">
        <v>81</v>
      </c>
      <c r="AG203" s="3" t="s">
        <v>81</v>
      </c>
      <c r="AH203" s="3" t="s">
        <v>81</v>
      </c>
      <c r="AI203" s="3" t="s">
        <v>81</v>
      </c>
      <c r="AJ203" s="3" t="s">
        <v>81</v>
      </c>
      <c r="AK203" s="3" t="s">
        <v>81</v>
      </c>
      <c r="AL203" s="3" t="s">
        <v>81</v>
      </c>
      <c r="AM203" s="3">
        <v>24.754000000000001</v>
      </c>
      <c r="AN203" s="3">
        <v>0</v>
      </c>
      <c r="AO203" s="3" t="s">
        <v>81</v>
      </c>
      <c r="AP203" s="3" t="s">
        <v>81</v>
      </c>
      <c r="AQ203" s="3" t="s">
        <v>81</v>
      </c>
      <c r="AR203" s="3" t="s">
        <v>81</v>
      </c>
      <c r="AS203" s="3" t="s">
        <v>81</v>
      </c>
      <c r="AT203" s="3" t="s">
        <v>81</v>
      </c>
      <c r="AU203" s="3" t="s">
        <v>81</v>
      </c>
      <c r="AV203" s="3" t="s">
        <v>81</v>
      </c>
      <c r="AW203" s="3" t="s">
        <v>81</v>
      </c>
      <c r="AX203" s="3">
        <v>24.527999999999999</v>
      </c>
      <c r="AY203" s="3">
        <v>0</v>
      </c>
      <c r="AZ203" s="3" t="s">
        <v>81</v>
      </c>
      <c r="BA203" s="3" t="s">
        <v>81</v>
      </c>
      <c r="BB203" s="3" t="s">
        <v>81</v>
      </c>
      <c r="BC203" s="3" t="s">
        <v>81</v>
      </c>
      <c r="BD203" s="3" t="s">
        <v>81</v>
      </c>
      <c r="BE203" s="3" t="s">
        <v>81</v>
      </c>
      <c r="BF203" s="3" t="s">
        <v>81</v>
      </c>
      <c r="BG203" s="3" t="s">
        <v>81</v>
      </c>
      <c r="BH203" s="3" t="s">
        <v>81</v>
      </c>
      <c r="BI203" s="3" t="s">
        <v>82</v>
      </c>
      <c r="BJ203" s="3" t="s">
        <v>84</v>
      </c>
      <c r="BK203" s="3" t="s">
        <v>84</v>
      </c>
      <c r="BL203" s="3" t="s">
        <v>84</v>
      </c>
      <c r="BM203" s="3" t="s">
        <v>84</v>
      </c>
      <c r="BN203" s="3" t="s">
        <v>84</v>
      </c>
      <c r="BO203" s="3" t="s">
        <v>82</v>
      </c>
      <c r="BP203" s="3" t="s">
        <v>218</v>
      </c>
      <c r="BQ203" s="3" t="s">
        <v>218</v>
      </c>
      <c r="BR203" s="3" t="s">
        <v>218</v>
      </c>
      <c r="BS203" s="3" t="s">
        <v>218</v>
      </c>
      <c r="BT203" s="3" t="s">
        <v>85</v>
      </c>
      <c r="BU203" s="3" t="s">
        <v>81</v>
      </c>
      <c r="BV203" s="3" t="s">
        <v>84</v>
      </c>
      <c r="BW203" s="3" t="s">
        <v>83</v>
      </c>
      <c r="BX203" s="3" t="s">
        <v>82</v>
      </c>
      <c r="BZ203" s="3" t="s">
        <v>93</v>
      </c>
      <c r="CB203" s="3" t="s">
        <v>84</v>
      </c>
      <c r="CD203" s="9">
        <v>14</v>
      </c>
      <c r="CE203" s="9">
        <v>10</v>
      </c>
      <c r="CF203" s="9"/>
    </row>
    <row r="204" spans="1:87" ht="13" x14ac:dyDescent="0.15">
      <c r="A204" s="3">
        <v>2625868839</v>
      </c>
      <c r="B204" s="3" t="s">
        <v>372</v>
      </c>
      <c r="C204" s="3" t="s">
        <v>372</v>
      </c>
      <c r="D204" s="3">
        <v>4</v>
      </c>
      <c r="E204" s="3">
        <v>5</v>
      </c>
      <c r="F204" s="3">
        <v>21.073</v>
      </c>
      <c r="G204" s="3">
        <v>0</v>
      </c>
      <c r="H204" s="3" t="s">
        <v>81</v>
      </c>
      <c r="I204" s="3" t="s">
        <v>81</v>
      </c>
      <c r="J204" s="3" t="s">
        <v>81</v>
      </c>
      <c r="K204" s="3" t="s">
        <v>81</v>
      </c>
      <c r="L204" s="3" t="s">
        <v>81</v>
      </c>
      <c r="M204" s="3" t="s">
        <v>81</v>
      </c>
      <c r="N204" s="3" t="s">
        <v>81</v>
      </c>
      <c r="O204" s="3" t="s">
        <v>81</v>
      </c>
      <c r="P204" s="3" t="s">
        <v>81</v>
      </c>
      <c r="Q204" s="3">
        <v>20.811</v>
      </c>
      <c r="R204" s="3">
        <v>0</v>
      </c>
      <c r="S204" s="3" t="s">
        <v>81</v>
      </c>
      <c r="T204" s="3" t="s">
        <v>81</v>
      </c>
      <c r="U204" s="3" t="s">
        <v>81</v>
      </c>
      <c r="V204" s="3" t="s">
        <v>81</v>
      </c>
      <c r="W204" s="3" t="s">
        <v>81</v>
      </c>
      <c r="X204" s="3" t="s">
        <v>81</v>
      </c>
      <c r="Y204" s="3" t="s">
        <v>81</v>
      </c>
      <c r="Z204" s="3" t="s">
        <v>81</v>
      </c>
      <c r="AA204" s="3" t="s">
        <v>81</v>
      </c>
      <c r="AB204" s="3">
        <v>21.244</v>
      </c>
      <c r="AC204" s="3">
        <v>0</v>
      </c>
      <c r="AD204" s="3" t="s">
        <v>81</v>
      </c>
      <c r="AE204" s="3" t="s">
        <v>81</v>
      </c>
      <c r="AF204" s="3" t="s">
        <v>81</v>
      </c>
      <c r="AG204" s="3" t="s">
        <v>81</v>
      </c>
      <c r="AH204" s="3" t="s">
        <v>81</v>
      </c>
      <c r="AI204" s="3" t="s">
        <v>81</v>
      </c>
      <c r="AJ204" s="3" t="s">
        <v>81</v>
      </c>
      <c r="AK204" s="3" t="s">
        <v>81</v>
      </c>
      <c r="AL204" s="3" t="s">
        <v>81</v>
      </c>
      <c r="AM204" s="3">
        <v>21.228000000000002</v>
      </c>
      <c r="AN204" s="3">
        <v>0</v>
      </c>
      <c r="AO204" s="3" t="s">
        <v>81</v>
      </c>
      <c r="AP204" s="3" t="s">
        <v>81</v>
      </c>
      <c r="AQ204" s="3" t="s">
        <v>81</v>
      </c>
      <c r="AR204" s="3" t="s">
        <v>81</v>
      </c>
      <c r="AS204" s="3" t="s">
        <v>81</v>
      </c>
      <c r="AT204" s="3" t="s">
        <v>81</v>
      </c>
      <c r="AU204" s="3" t="s">
        <v>81</v>
      </c>
      <c r="AV204" s="3" t="s">
        <v>81</v>
      </c>
      <c r="AW204" s="3" t="s">
        <v>81</v>
      </c>
      <c r="AX204" s="3">
        <v>21.177</v>
      </c>
      <c r="AY204" s="3">
        <v>0</v>
      </c>
      <c r="AZ204" s="3" t="s">
        <v>81</v>
      </c>
      <c r="BA204" s="3" t="s">
        <v>81</v>
      </c>
      <c r="BB204" s="3" t="s">
        <v>81</v>
      </c>
      <c r="BC204" s="3" t="s">
        <v>81</v>
      </c>
      <c r="BD204" s="3" t="s">
        <v>81</v>
      </c>
      <c r="BE204" s="3" t="s">
        <v>81</v>
      </c>
      <c r="BF204" s="3" t="s">
        <v>81</v>
      </c>
      <c r="BG204" s="3" t="s">
        <v>81</v>
      </c>
      <c r="BH204" s="3" t="s">
        <v>81</v>
      </c>
      <c r="BI204" s="3" t="s">
        <v>84</v>
      </c>
      <c r="BJ204" s="3" t="s">
        <v>82</v>
      </c>
      <c r="BK204" s="3" t="s">
        <v>83</v>
      </c>
      <c r="BL204" s="3" t="s">
        <v>84</v>
      </c>
      <c r="BM204" s="3" t="s">
        <v>84</v>
      </c>
      <c r="BN204" s="3" t="s">
        <v>84</v>
      </c>
      <c r="BO204" s="3" t="s">
        <v>82</v>
      </c>
      <c r="BP204" s="3" t="s">
        <v>188</v>
      </c>
      <c r="BQ204" s="3" t="s">
        <v>188</v>
      </c>
      <c r="BR204" s="3" t="s">
        <v>188</v>
      </c>
      <c r="BS204" s="3" t="s">
        <v>188</v>
      </c>
      <c r="BT204" s="3" t="s">
        <v>85</v>
      </c>
      <c r="BU204" s="3" t="s">
        <v>81</v>
      </c>
      <c r="BV204" s="3" t="s">
        <v>84</v>
      </c>
      <c r="BW204" s="3" t="s">
        <v>83</v>
      </c>
      <c r="BX204" s="3" t="s">
        <v>82</v>
      </c>
      <c r="BZ204" s="3" t="s">
        <v>86</v>
      </c>
      <c r="CB204" s="3" t="s">
        <v>84</v>
      </c>
      <c r="CD204" s="9">
        <v>6</v>
      </c>
      <c r="CE204" s="9">
        <v>3</v>
      </c>
      <c r="CF204" s="9"/>
    </row>
    <row r="205" spans="1:87" ht="13" x14ac:dyDescent="0.15">
      <c r="A205" s="3">
        <v>1318223189</v>
      </c>
      <c r="B205" s="3" t="s">
        <v>375</v>
      </c>
      <c r="C205" s="3" t="s">
        <v>376</v>
      </c>
      <c r="D205" s="3">
        <v>4</v>
      </c>
      <c r="E205" s="3">
        <v>4</v>
      </c>
      <c r="F205" s="3">
        <v>186.96299999999999</v>
      </c>
      <c r="G205" s="3">
        <v>3</v>
      </c>
      <c r="H205" s="3">
        <v>75.453000000000003</v>
      </c>
      <c r="I205" s="3" t="s">
        <v>81</v>
      </c>
      <c r="J205" s="3">
        <v>68.495999999999995</v>
      </c>
      <c r="K205" s="3">
        <v>25.056999999999999</v>
      </c>
      <c r="L205" s="3" t="s">
        <v>81</v>
      </c>
      <c r="M205" s="3" t="s">
        <v>81</v>
      </c>
      <c r="N205" s="3" t="s">
        <v>81</v>
      </c>
      <c r="O205" s="3" t="s">
        <v>81</v>
      </c>
      <c r="P205" s="3" t="s">
        <v>81</v>
      </c>
      <c r="Q205" s="3">
        <v>182.12200000000001</v>
      </c>
      <c r="R205" s="3">
        <v>0</v>
      </c>
      <c r="S205" s="3">
        <v>80.56</v>
      </c>
      <c r="T205" s="3">
        <v>26.135000000000002</v>
      </c>
      <c r="U205" s="3">
        <v>67.477999999999994</v>
      </c>
      <c r="V205" s="3">
        <v>24.004000000000001</v>
      </c>
      <c r="W205" s="3">
        <v>27.170999999999999</v>
      </c>
      <c r="X205" s="3">
        <v>7.6379999999999999</v>
      </c>
      <c r="Y205" s="3">
        <v>5.3209999999999997</v>
      </c>
      <c r="Z205" s="3" t="s">
        <v>81</v>
      </c>
      <c r="AA205" s="3" t="s">
        <v>81</v>
      </c>
      <c r="AB205" s="3">
        <v>189.05699999999999</v>
      </c>
      <c r="AC205" s="3">
        <v>3</v>
      </c>
      <c r="AD205" s="3">
        <v>77.02</v>
      </c>
      <c r="AE205" s="3">
        <v>26.718</v>
      </c>
      <c r="AF205" s="3">
        <v>72.911000000000001</v>
      </c>
      <c r="AG205" s="3">
        <v>22.413</v>
      </c>
      <c r="AH205" s="3">
        <v>30.681999999999999</v>
      </c>
      <c r="AI205" s="3">
        <v>5.3890000000000002</v>
      </c>
      <c r="AJ205" s="3">
        <v>4.5819999999999999</v>
      </c>
      <c r="AK205" s="3" t="s">
        <v>81</v>
      </c>
      <c r="AL205" s="3" t="s">
        <v>81</v>
      </c>
      <c r="AM205" s="3" t="s">
        <v>81</v>
      </c>
      <c r="AN205" s="3" t="s">
        <v>81</v>
      </c>
      <c r="AO205" s="3" t="s">
        <v>81</v>
      </c>
      <c r="AP205" s="3" t="s">
        <v>81</v>
      </c>
      <c r="AQ205" s="3" t="s">
        <v>81</v>
      </c>
      <c r="AR205" s="3" t="s">
        <v>81</v>
      </c>
      <c r="AS205" s="3" t="s">
        <v>81</v>
      </c>
      <c r="AT205" s="3" t="s">
        <v>81</v>
      </c>
      <c r="AU205" s="3" t="s">
        <v>81</v>
      </c>
      <c r="AV205" s="3" t="s">
        <v>81</v>
      </c>
      <c r="AW205" s="3" t="s">
        <v>81</v>
      </c>
      <c r="AX205" s="3" t="s">
        <v>81</v>
      </c>
      <c r="AY205" s="3" t="s">
        <v>81</v>
      </c>
      <c r="AZ205" s="3" t="s">
        <v>81</v>
      </c>
      <c r="BA205" s="3" t="s">
        <v>81</v>
      </c>
      <c r="BB205" s="3" t="s">
        <v>81</v>
      </c>
      <c r="BC205" s="3" t="s">
        <v>81</v>
      </c>
      <c r="BD205" s="3" t="s">
        <v>81</v>
      </c>
      <c r="BE205" s="3" t="s">
        <v>81</v>
      </c>
      <c r="BF205" s="3" t="s">
        <v>81</v>
      </c>
      <c r="BG205" s="3" t="s">
        <v>81</v>
      </c>
      <c r="BH205" s="3" t="s">
        <v>81</v>
      </c>
      <c r="BI205" s="3" t="s">
        <v>84</v>
      </c>
      <c r="BJ205" s="3" t="s">
        <v>82</v>
      </c>
      <c r="BK205" s="3" t="s">
        <v>83</v>
      </c>
      <c r="BL205" s="3" t="s">
        <v>84</v>
      </c>
      <c r="BM205" s="3" t="s">
        <v>84</v>
      </c>
      <c r="BN205" s="3" t="s">
        <v>82</v>
      </c>
      <c r="BO205" s="3" t="s">
        <v>84</v>
      </c>
      <c r="BP205" s="3" t="s">
        <v>106</v>
      </c>
      <c r="BQ205" s="3" t="s">
        <v>106</v>
      </c>
      <c r="BR205" s="3" t="s">
        <v>106</v>
      </c>
      <c r="BS205" s="3" t="s">
        <v>377</v>
      </c>
      <c r="BT205" s="3" t="s">
        <v>106</v>
      </c>
      <c r="BU205" s="3" t="s">
        <v>81</v>
      </c>
      <c r="BV205" s="3" t="s">
        <v>82</v>
      </c>
      <c r="BW205" s="3" t="s">
        <v>111</v>
      </c>
      <c r="BX205" s="3" t="s">
        <v>82</v>
      </c>
      <c r="BY205" s="3" t="s">
        <v>378</v>
      </c>
      <c r="BZ205" s="3" t="s">
        <v>86</v>
      </c>
      <c r="CB205" s="3" t="s">
        <v>84</v>
      </c>
      <c r="CD205" s="9">
        <v>13</v>
      </c>
      <c r="CE205" s="9"/>
      <c r="CI205" s="6"/>
    </row>
    <row r="206" spans="1:87" ht="13" x14ac:dyDescent="0.15">
      <c r="A206" s="3">
        <v>2625896710</v>
      </c>
      <c r="B206" s="3" t="s">
        <v>375</v>
      </c>
      <c r="C206" s="3" t="s">
        <v>376</v>
      </c>
      <c r="D206" s="3">
        <v>3</v>
      </c>
      <c r="E206" s="3">
        <v>4</v>
      </c>
      <c r="F206" s="3">
        <v>82.575999999999993</v>
      </c>
      <c r="G206" s="3">
        <v>3</v>
      </c>
      <c r="H206" s="3">
        <v>45.11</v>
      </c>
      <c r="I206" s="3">
        <v>16.210999999999999</v>
      </c>
      <c r="J206" s="3">
        <v>29.946000000000002</v>
      </c>
      <c r="K206" s="3">
        <v>5.4740000000000002</v>
      </c>
      <c r="L206" s="3">
        <v>3.9119999999999999</v>
      </c>
      <c r="M206" s="3">
        <v>1.974</v>
      </c>
      <c r="N206" s="3">
        <v>1.411</v>
      </c>
      <c r="O206" s="3" t="s">
        <v>81</v>
      </c>
      <c r="P206" s="3" t="s">
        <v>81</v>
      </c>
      <c r="Q206" s="3">
        <v>90.454999999999998</v>
      </c>
      <c r="R206" s="3">
        <v>3</v>
      </c>
      <c r="S206" s="3">
        <v>50.881</v>
      </c>
      <c r="T206" s="3">
        <v>19.257000000000001</v>
      </c>
      <c r="U206" s="3">
        <v>30.141999999999999</v>
      </c>
      <c r="V206" s="3">
        <v>8.4489999999999998</v>
      </c>
      <c r="W206" s="3">
        <v>6.6210000000000004</v>
      </c>
      <c r="X206" s="3">
        <v>2.9079999999999999</v>
      </c>
      <c r="Y206" s="3">
        <v>1.9790000000000001</v>
      </c>
      <c r="Z206" s="3" t="s">
        <v>81</v>
      </c>
      <c r="AA206" s="3" t="s">
        <v>81</v>
      </c>
      <c r="AB206" s="3">
        <v>84.971000000000004</v>
      </c>
      <c r="AC206" s="3">
        <v>3</v>
      </c>
      <c r="AD206" s="3">
        <v>46.34</v>
      </c>
      <c r="AE206" s="3">
        <v>17.434999999999999</v>
      </c>
      <c r="AF206" s="3">
        <v>27.792000000000002</v>
      </c>
      <c r="AG206" s="3">
        <v>9.1140000000000008</v>
      </c>
      <c r="AH206" s="3">
        <v>7.0869999999999997</v>
      </c>
      <c r="AI206" s="3">
        <v>2.3969999999999998</v>
      </c>
      <c r="AJ206" s="3">
        <v>1.093</v>
      </c>
      <c r="AK206" s="3" t="s">
        <v>81</v>
      </c>
      <c r="AL206" s="3" t="s">
        <v>81</v>
      </c>
      <c r="AM206" s="3" t="s">
        <v>81</v>
      </c>
      <c r="AN206" s="3" t="s">
        <v>81</v>
      </c>
      <c r="AO206" s="3" t="s">
        <v>81</v>
      </c>
      <c r="AP206" s="3" t="s">
        <v>81</v>
      </c>
      <c r="AQ206" s="3" t="s">
        <v>81</v>
      </c>
      <c r="AR206" s="3" t="s">
        <v>81</v>
      </c>
      <c r="AS206" s="3" t="s">
        <v>81</v>
      </c>
      <c r="AT206" s="3" t="s">
        <v>81</v>
      </c>
      <c r="AU206" s="3" t="s">
        <v>81</v>
      </c>
      <c r="AV206" s="3" t="s">
        <v>81</v>
      </c>
      <c r="AW206" s="3" t="s">
        <v>81</v>
      </c>
      <c r="AX206" s="3" t="s">
        <v>81</v>
      </c>
      <c r="AY206" s="3" t="s">
        <v>81</v>
      </c>
      <c r="AZ206" s="3" t="s">
        <v>81</v>
      </c>
      <c r="BA206" s="3" t="s">
        <v>81</v>
      </c>
      <c r="BB206" s="3" t="s">
        <v>81</v>
      </c>
      <c r="BC206" s="3" t="s">
        <v>81</v>
      </c>
      <c r="BD206" s="3" t="s">
        <v>81</v>
      </c>
      <c r="BE206" s="3" t="s">
        <v>81</v>
      </c>
      <c r="BF206" s="3" t="s">
        <v>81</v>
      </c>
      <c r="BG206" s="3" t="s">
        <v>81</v>
      </c>
      <c r="BH206" s="3" t="s">
        <v>81</v>
      </c>
      <c r="BI206" s="3" t="s">
        <v>84</v>
      </c>
      <c r="BJ206" s="3" t="s">
        <v>82</v>
      </c>
      <c r="BK206" s="3" t="s">
        <v>83</v>
      </c>
      <c r="BL206" s="3" t="s">
        <v>84</v>
      </c>
      <c r="BM206" s="3" t="s">
        <v>82</v>
      </c>
      <c r="BN206" s="3" t="s">
        <v>82</v>
      </c>
      <c r="BO206" s="3" t="s">
        <v>83</v>
      </c>
      <c r="BP206" s="3" t="s">
        <v>106</v>
      </c>
      <c r="BQ206" s="3" t="s">
        <v>106</v>
      </c>
      <c r="BR206" s="3" t="s">
        <v>106</v>
      </c>
      <c r="BS206" s="3" t="s">
        <v>106</v>
      </c>
      <c r="BT206" s="3" t="s">
        <v>106</v>
      </c>
      <c r="BU206" s="3" t="s">
        <v>81</v>
      </c>
      <c r="BV206" s="3" t="s">
        <v>82</v>
      </c>
      <c r="BW206" s="3" t="s">
        <v>111</v>
      </c>
      <c r="BX206" s="3" t="s">
        <v>82</v>
      </c>
      <c r="BZ206" s="3" t="s">
        <v>86</v>
      </c>
      <c r="CB206" s="3" t="s">
        <v>84</v>
      </c>
      <c r="CD206" s="9">
        <v>9</v>
      </c>
      <c r="CE206" s="9"/>
    </row>
    <row r="207" spans="1:87" ht="13" x14ac:dyDescent="0.15">
      <c r="A207" s="3">
        <v>2643381674</v>
      </c>
      <c r="B207" s="3" t="s">
        <v>375</v>
      </c>
      <c r="C207" s="3" t="s">
        <v>376</v>
      </c>
      <c r="D207" s="3">
        <v>3</v>
      </c>
      <c r="E207" s="3">
        <v>3</v>
      </c>
      <c r="F207" s="3">
        <v>206.16399999999999</v>
      </c>
      <c r="G207" s="3">
        <v>5</v>
      </c>
      <c r="H207" s="3">
        <v>73.462000000000003</v>
      </c>
      <c r="I207" s="3">
        <v>38.021000000000001</v>
      </c>
      <c r="J207" s="3">
        <v>45.341000000000001</v>
      </c>
      <c r="K207" s="3">
        <v>26.858000000000001</v>
      </c>
      <c r="L207" s="3">
        <v>22.294</v>
      </c>
      <c r="M207" s="3">
        <v>26.058</v>
      </c>
      <c r="N207" s="3">
        <v>17.837</v>
      </c>
      <c r="O207" s="3" t="s">
        <v>81</v>
      </c>
      <c r="P207" s="3">
        <v>17.248000000000001</v>
      </c>
      <c r="Q207" s="3">
        <v>212.97200000000001</v>
      </c>
      <c r="R207" s="3">
        <v>5</v>
      </c>
      <c r="S207" s="3">
        <v>77.33</v>
      </c>
      <c r="T207" s="3">
        <v>35.529000000000003</v>
      </c>
      <c r="U207" s="3">
        <v>40.415999999999997</v>
      </c>
      <c r="V207" s="3">
        <v>29.9</v>
      </c>
      <c r="W207" s="3">
        <v>26.111999999999998</v>
      </c>
      <c r="X207" s="3">
        <v>26.119</v>
      </c>
      <c r="Y207" s="3">
        <v>22.157</v>
      </c>
      <c r="Z207" s="3">
        <v>22.521999999999998</v>
      </c>
      <c r="AA207" s="3">
        <v>15.867000000000001</v>
      </c>
      <c r="AB207" s="3">
        <v>207.636</v>
      </c>
      <c r="AC207" s="3">
        <v>6</v>
      </c>
      <c r="AD207" s="3">
        <v>81.596000000000004</v>
      </c>
      <c r="AE207" s="3">
        <v>30.95</v>
      </c>
      <c r="AF207" s="3">
        <v>38.213999999999999</v>
      </c>
      <c r="AG207" s="3">
        <v>30.033999999999999</v>
      </c>
      <c r="AH207" s="3">
        <v>24.917000000000002</v>
      </c>
      <c r="AI207" s="3" t="s">
        <v>81</v>
      </c>
      <c r="AJ207" s="3">
        <v>21.004999999999999</v>
      </c>
      <c r="AK207" s="3">
        <v>20.978999999999999</v>
      </c>
      <c r="AL207" s="3">
        <v>14.39</v>
      </c>
      <c r="AM207" s="3" t="s">
        <v>81</v>
      </c>
      <c r="AN207" s="3" t="s">
        <v>81</v>
      </c>
      <c r="AO207" s="3" t="s">
        <v>81</v>
      </c>
      <c r="AP207" s="3" t="s">
        <v>81</v>
      </c>
      <c r="AQ207" s="3" t="s">
        <v>81</v>
      </c>
      <c r="AR207" s="3" t="s">
        <v>81</v>
      </c>
      <c r="AS207" s="3" t="s">
        <v>81</v>
      </c>
      <c r="AT207" s="3" t="s">
        <v>81</v>
      </c>
      <c r="AU207" s="3" t="s">
        <v>81</v>
      </c>
      <c r="AV207" s="3" t="s">
        <v>81</v>
      </c>
      <c r="AW207" s="3" t="s">
        <v>81</v>
      </c>
      <c r="AX207" s="3" t="s">
        <v>81</v>
      </c>
      <c r="AY207" s="3" t="s">
        <v>81</v>
      </c>
      <c r="AZ207" s="3" t="s">
        <v>81</v>
      </c>
      <c r="BA207" s="3" t="s">
        <v>81</v>
      </c>
      <c r="BB207" s="3" t="s">
        <v>81</v>
      </c>
      <c r="BC207" s="3" t="s">
        <v>81</v>
      </c>
      <c r="BD207" s="3" t="s">
        <v>81</v>
      </c>
      <c r="BE207" s="3" t="s">
        <v>81</v>
      </c>
      <c r="BF207" s="3" t="s">
        <v>81</v>
      </c>
      <c r="BG207" s="3" t="s">
        <v>81</v>
      </c>
      <c r="BH207" s="3" t="s">
        <v>81</v>
      </c>
      <c r="BI207" s="3" t="s">
        <v>84</v>
      </c>
      <c r="BJ207" s="3" t="s">
        <v>84</v>
      </c>
      <c r="BK207" s="3" t="s">
        <v>84</v>
      </c>
      <c r="BL207" s="3" t="s">
        <v>84</v>
      </c>
      <c r="BM207" s="3" t="s">
        <v>84</v>
      </c>
      <c r="BN207" s="3" t="s">
        <v>82</v>
      </c>
      <c r="BO207" s="3" t="s">
        <v>83</v>
      </c>
      <c r="BP207" s="3" t="s">
        <v>106</v>
      </c>
      <c r="BQ207" s="3" t="s">
        <v>106</v>
      </c>
      <c r="BR207" s="3" t="s">
        <v>106</v>
      </c>
      <c r="BS207" s="3" t="s">
        <v>106</v>
      </c>
      <c r="BT207" s="3" t="s">
        <v>106</v>
      </c>
      <c r="BU207" s="3" t="s">
        <v>81</v>
      </c>
      <c r="BV207" s="3" t="s">
        <v>82</v>
      </c>
      <c r="BW207" s="3" t="s">
        <v>111</v>
      </c>
      <c r="BX207" s="3" t="s">
        <v>82</v>
      </c>
      <c r="BZ207" s="3" t="s">
        <v>86</v>
      </c>
      <c r="CB207" s="3" t="s">
        <v>84</v>
      </c>
      <c r="CD207" s="9">
        <v>18</v>
      </c>
      <c r="CE207" s="9"/>
    </row>
    <row r="208" spans="1:87" ht="13" x14ac:dyDescent="0.15">
      <c r="A208" s="3">
        <v>1228266180</v>
      </c>
      <c r="B208" s="3" t="s">
        <v>376</v>
      </c>
      <c r="C208" s="3" t="s">
        <v>376</v>
      </c>
      <c r="D208" s="3">
        <v>5</v>
      </c>
      <c r="E208" s="3">
        <v>5</v>
      </c>
      <c r="F208" s="3">
        <v>421.80399999999997</v>
      </c>
      <c r="G208" s="3">
        <v>6</v>
      </c>
      <c r="H208" s="3">
        <v>129.56700000000001</v>
      </c>
      <c r="I208" s="3">
        <v>32.421999999999997</v>
      </c>
      <c r="J208" s="3">
        <v>77.504999999999995</v>
      </c>
      <c r="K208" s="3">
        <v>37.281999999999996</v>
      </c>
      <c r="L208" s="3">
        <v>61.981000000000002</v>
      </c>
      <c r="M208" s="3">
        <v>34.993000000000002</v>
      </c>
      <c r="N208" s="3">
        <v>41.319000000000003</v>
      </c>
      <c r="O208" s="3">
        <v>35.347999999999999</v>
      </c>
      <c r="P208" s="3">
        <v>40.658999999999999</v>
      </c>
      <c r="Q208" s="3" t="s">
        <v>81</v>
      </c>
      <c r="R208" s="3">
        <v>7</v>
      </c>
      <c r="S208" s="3">
        <v>105.245</v>
      </c>
      <c r="T208" s="3">
        <v>29.027999999999999</v>
      </c>
      <c r="U208" s="3">
        <v>83.88</v>
      </c>
      <c r="V208" s="3">
        <v>33.314999999999998</v>
      </c>
      <c r="W208" s="3">
        <v>60.363</v>
      </c>
      <c r="X208" s="3">
        <v>41.442</v>
      </c>
      <c r="Y208" s="3">
        <v>58.826999999999998</v>
      </c>
      <c r="Z208" s="3">
        <v>36.003999999999998</v>
      </c>
      <c r="AA208" s="3">
        <v>49.957999999999998</v>
      </c>
      <c r="AB208" s="3" t="s">
        <v>81</v>
      </c>
      <c r="AC208" s="3" t="s">
        <v>81</v>
      </c>
      <c r="AD208" s="3" t="s">
        <v>81</v>
      </c>
      <c r="AE208" s="3" t="s">
        <v>81</v>
      </c>
      <c r="AF208" s="3" t="s">
        <v>81</v>
      </c>
      <c r="AG208" s="3" t="s">
        <v>81</v>
      </c>
      <c r="AH208" s="3" t="s">
        <v>81</v>
      </c>
      <c r="AI208" s="3" t="s">
        <v>81</v>
      </c>
      <c r="AJ208" s="3" t="s">
        <v>81</v>
      </c>
      <c r="AK208" s="3" t="s">
        <v>81</v>
      </c>
      <c r="AL208" s="3" t="s">
        <v>81</v>
      </c>
      <c r="AM208" s="3" t="s">
        <v>81</v>
      </c>
      <c r="AN208" s="3" t="s">
        <v>81</v>
      </c>
      <c r="AO208" s="3" t="s">
        <v>81</v>
      </c>
      <c r="AP208" s="3" t="s">
        <v>81</v>
      </c>
      <c r="AQ208" s="3" t="s">
        <v>81</v>
      </c>
      <c r="AR208" s="3" t="s">
        <v>81</v>
      </c>
      <c r="AS208" s="3" t="s">
        <v>81</v>
      </c>
      <c r="AT208" s="3" t="s">
        <v>81</v>
      </c>
      <c r="AU208" s="3" t="s">
        <v>81</v>
      </c>
      <c r="AV208" s="3" t="s">
        <v>81</v>
      </c>
      <c r="AW208" s="3" t="s">
        <v>81</v>
      </c>
      <c r="AX208" s="3" t="s">
        <v>81</v>
      </c>
      <c r="AY208" s="3" t="s">
        <v>81</v>
      </c>
      <c r="AZ208" s="3" t="s">
        <v>81</v>
      </c>
      <c r="BA208" s="3" t="s">
        <v>81</v>
      </c>
      <c r="BB208" s="3" t="s">
        <v>81</v>
      </c>
      <c r="BC208" s="3" t="s">
        <v>81</v>
      </c>
      <c r="BD208" s="3" t="s">
        <v>81</v>
      </c>
      <c r="BE208" s="3" t="s">
        <v>81</v>
      </c>
      <c r="BF208" s="3" t="s">
        <v>81</v>
      </c>
      <c r="BG208" s="3" t="s">
        <v>81</v>
      </c>
      <c r="BH208" s="3" t="s">
        <v>81</v>
      </c>
      <c r="BI208" s="3" t="s">
        <v>84</v>
      </c>
      <c r="BJ208" s="3" t="s">
        <v>84</v>
      </c>
      <c r="BK208" s="3" t="s">
        <v>84</v>
      </c>
      <c r="BL208" s="3" t="s">
        <v>84</v>
      </c>
      <c r="BM208" s="3" t="s">
        <v>84</v>
      </c>
      <c r="BN208" s="3" t="s">
        <v>82</v>
      </c>
      <c r="BO208" s="3" t="s">
        <v>84</v>
      </c>
      <c r="BP208" s="3" t="s">
        <v>106</v>
      </c>
      <c r="BQ208" s="3" t="s">
        <v>106</v>
      </c>
      <c r="BR208" s="3" t="s">
        <v>205</v>
      </c>
      <c r="BS208" s="3" t="s">
        <v>379</v>
      </c>
      <c r="BT208" s="3" t="s">
        <v>106</v>
      </c>
      <c r="BU208" s="3" t="s">
        <v>205</v>
      </c>
      <c r="BV208" s="3" t="s">
        <v>82</v>
      </c>
      <c r="BW208" s="3" t="s">
        <v>111</v>
      </c>
      <c r="BX208" s="3" t="s">
        <v>82</v>
      </c>
      <c r="BY208" s="3" t="s">
        <v>380</v>
      </c>
      <c r="BZ208" s="3" t="s">
        <v>93</v>
      </c>
      <c r="CB208" s="3" t="s">
        <v>84</v>
      </c>
      <c r="CD208" s="9">
        <v>8</v>
      </c>
      <c r="CE208" s="9">
        <v>7</v>
      </c>
      <c r="CI208" s="6"/>
    </row>
    <row r="209" spans="1:87" ht="13" x14ac:dyDescent="0.15">
      <c r="A209" s="3">
        <v>1228371759</v>
      </c>
      <c r="B209" s="3" t="s">
        <v>376</v>
      </c>
      <c r="C209" s="3" t="s">
        <v>376</v>
      </c>
      <c r="D209" s="3">
        <v>2</v>
      </c>
      <c r="E209" s="3">
        <v>2</v>
      </c>
      <c r="F209" s="3">
        <v>129.69</v>
      </c>
      <c r="G209" s="3">
        <v>4</v>
      </c>
      <c r="H209" s="3">
        <v>48.566000000000003</v>
      </c>
      <c r="I209" s="3">
        <v>22.481999999999999</v>
      </c>
      <c r="J209" s="3">
        <v>41.018999999999998</v>
      </c>
      <c r="K209" s="3">
        <v>15.916</v>
      </c>
      <c r="L209" s="3">
        <v>22.805</v>
      </c>
      <c r="M209" s="3">
        <v>16.798999999999999</v>
      </c>
      <c r="N209" s="3">
        <v>12.548999999999999</v>
      </c>
      <c r="O209" s="3">
        <v>29.216000000000001</v>
      </c>
      <c r="P209" s="3">
        <v>1.0169999999999999</v>
      </c>
      <c r="Q209" s="3" t="s">
        <v>81</v>
      </c>
      <c r="R209" s="3" t="s">
        <v>81</v>
      </c>
      <c r="S209" s="3" t="s">
        <v>81</v>
      </c>
      <c r="T209" s="3" t="s">
        <v>81</v>
      </c>
      <c r="U209" s="3" t="s">
        <v>81</v>
      </c>
      <c r="V209" s="3" t="s">
        <v>81</v>
      </c>
      <c r="W209" s="3" t="s">
        <v>81</v>
      </c>
      <c r="X209" s="3" t="s">
        <v>81</v>
      </c>
      <c r="Y209" s="3" t="s">
        <v>81</v>
      </c>
      <c r="Z209" s="3" t="s">
        <v>81</v>
      </c>
      <c r="AA209" s="3" t="s">
        <v>81</v>
      </c>
      <c r="AB209" s="3" t="s">
        <v>81</v>
      </c>
      <c r="AC209" s="3" t="s">
        <v>81</v>
      </c>
      <c r="AD209" s="3" t="s">
        <v>81</v>
      </c>
      <c r="AE209" s="3" t="s">
        <v>81</v>
      </c>
      <c r="AF209" s="3" t="s">
        <v>81</v>
      </c>
      <c r="AG209" s="3" t="s">
        <v>81</v>
      </c>
      <c r="AH209" s="3" t="s">
        <v>81</v>
      </c>
      <c r="AI209" s="3" t="s">
        <v>81</v>
      </c>
      <c r="AJ209" s="3" t="s">
        <v>81</v>
      </c>
      <c r="AK209" s="3" t="s">
        <v>81</v>
      </c>
      <c r="AL209" s="3" t="s">
        <v>81</v>
      </c>
      <c r="AM209" s="3" t="s">
        <v>81</v>
      </c>
      <c r="AN209" s="3" t="s">
        <v>81</v>
      </c>
      <c r="AO209" s="3" t="s">
        <v>81</v>
      </c>
      <c r="AP209" s="3" t="s">
        <v>81</v>
      </c>
      <c r="AQ209" s="3" t="s">
        <v>81</v>
      </c>
      <c r="AR209" s="3" t="s">
        <v>81</v>
      </c>
      <c r="AS209" s="3" t="s">
        <v>81</v>
      </c>
      <c r="AT209" s="3" t="s">
        <v>81</v>
      </c>
      <c r="AU209" s="3" t="s">
        <v>81</v>
      </c>
      <c r="AV209" s="3" t="s">
        <v>81</v>
      </c>
      <c r="AW209" s="3" t="s">
        <v>81</v>
      </c>
      <c r="AX209" s="3" t="s">
        <v>81</v>
      </c>
      <c r="AY209" s="3" t="s">
        <v>81</v>
      </c>
      <c r="AZ209" s="3" t="s">
        <v>81</v>
      </c>
      <c r="BA209" s="3" t="s">
        <v>81</v>
      </c>
      <c r="BB209" s="3" t="s">
        <v>81</v>
      </c>
      <c r="BC209" s="3" t="s">
        <v>81</v>
      </c>
      <c r="BD209" s="3" t="s">
        <v>81</v>
      </c>
      <c r="BE209" s="3" t="s">
        <v>81</v>
      </c>
      <c r="BF209" s="3" t="s">
        <v>81</v>
      </c>
      <c r="BG209" s="3" t="s">
        <v>81</v>
      </c>
      <c r="BH209" s="3" t="s">
        <v>81</v>
      </c>
      <c r="BI209" s="3" t="s">
        <v>84</v>
      </c>
      <c r="BJ209" s="3" t="s">
        <v>84</v>
      </c>
      <c r="BK209" s="3" t="s">
        <v>84</v>
      </c>
      <c r="BL209" s="3" t="s">
        <v>84</v>
      </c>
      <c r="BM209" s="3" t="s">
        <v>84</v>
      </c>
      <c r="BN209" s="3" t="s">
        <v>82</v>
      </c>
      <c r="BO209" s="3" t="s">
        <v>83</v>
      </c>
      <c r="BP209" s="3" t="s">
        <v>106</v>
      </c>
      <c r="BQ209" s="3" t="s">
        <v>106</v>
      </c>
      <c r="BR209" s="3" t="s">
        <v>106</v>
      </c>
      <c r="BS209" s="3" t="s">
        <v>106</v>
      </c>
      <c r="BT209" s="3" t="s">
        <v>106</v>
      </c>
      <c r="BU209" s="3" t="s">
        <v>81</v>
      </c>
      <c r="BV209" s="3" t="s">
        <v>82</v>
      </c>
      <c r="BW209" s="3" t="s">
        <v>111</v>
      </c>
      <c r="BX209" s="3" t="s">
        <v>82</v>
      </c>
      <c r="BY209" s="3" t="s">
        <v>381</v>
      </c>
      <c r="BZ209" s="3" t="s">
        <v>93</v>
      </c>
      <c r="CB209" s="3" t="s">
        <v>84</v>
      </c>
      <c r="CD209" s="9">
        <v>4</v>
      </c>
      <c r="CE209" s="9"/>
    </row>
    <row r="210" spans="1:87" ht="13" x14ac:dyDescent="0.15">
      <c r="A210" s="3">
        <v>1699821181</v>
      </c>
      <c r="B210" s="3" t="s">
        <v>382</v>
      </c>
      <c r="C210" s="3" t="s">
        <v>382</v>
      </c>
      <c r="D210" s="3">
        <v>3</v>
      </c>
      <c r="E210" s="3">
        <v>3</v>
      </c>
      <c r="F210" s="3"/>
      <c r="G210" s="3">
        <v>2</v>
      </c>
      <c r="H210" s="3" t="s">
        <v>81</v>
      </c>
      <c r="I210" s="3" t="s">
        <v>81</v>
      </c>
      <c r="J210" s="3" t="s">
        <v>81</v>
      </c>
      <c r="K210" s="3" t="s">
        <v>81</v>
      </c>
      <c r="L210" s="3" t="s">
        <v>81</v>
      </c>
      <c r="M210" s="3" t="s">
        <v>81</v>
      </c>
      <c r="N210" s="3" t="s">
        <v>81</v>
      </c>
      <c r="O210" s="3" t="s">
        <v>81</v>
      </c>
      <c r="P210" s="3" t="s">
        <v>81</v>
      </c>
      <c r="Q210" s="3" t="s">
        <v>81</v>
      </c>
      <c r="R210" s="3">
        <v>0</v>
      </c>
      <c r="S210" s="3" t="s">
        <v>81</v>
      </c>
      <c r="T210" s="3" t="s">
        <v>81</v>
      </c>
      <c r="U210" s="3" t="s">
        <v>81</v>
      </c>
      <c r="V210" s="3" t="s">
        <v>81</v>
      </c>
      <c r="W210" s="3" t="s">
        <v>81</v>
      </c>
      <c r="X210" s="3" t="s">
        <v>81</v>
      </c>
      <c r="Y210" s="3" t="s">
        <v>81</v>
      </c>
      <c r="Z210" s="3" t="s">
        <v>81</v>
      </c>
      <c r="AA210" s="3" t="s">
        <v>81</v>
      </c>
      <c r="AB210" s="3" t="s">
        <v>81</v>
      </c>
      <c r="AC210" s="3">
        <v>0</v>
      </c>
      <c r="AD210" s="3" t="s">
        <v>81</v>
      </c>
      <c r="AE210" s="3" t="s">
        <v>81</v>
      </c>
      <c r="AF210" s="3" t="s">
        <v>81</v>
      </c>
      <c r="AG210" s="3" t="s">
        <v>81</v>
      </c>
      <c r="AH210" s="3" t="s">
        <v>81</v>
      </c>
      <c r="AI210" s="3" t="s">
        <v>81</v>
      </c>
      <c r="AJ210" s="3" t="s">
        <v>81</v>
      </c>
      <c r="AK210" s="3" t="s">
        <v>81</v>
      </c>
      <c r="AL210" s="3" t="s">
        <v>81</v>
      </c>
      <c r="AM210" s="3" t="s">
        <v>81</v>
      </c>
      <c r="AN210" s="3">
        <v>0</v>
      </c>
      <c r="AO210" s="3" t="s">
        <v>81</v>
      </c>
      <c r="AP210" s="3" t="s">
        <v>81</v>
      </c>
      <c r="AQ210" s="3" t="s">
        <v>81</v>
      </c>
      <c r="AR210" s="3" t="s">
        <v>81</v>
      </c>
      <c r="AS210" s="3" t="s">
        <v>81</v>
      </c>
      <c r="AT210" s="3" t="s">
        <v>81</v>
      </c>
      <c r="AU210" s="3" t="s">
        <v>81</v>
      </c>
      <c r="AV210" s="3" t="s">
        <v>81</v>
      </c>
      <c r="AW210" s="3" t="s">
        <v>81</v>
      </c>
      <c r="AX210" s="3" t="s">
        <v>81</v>
      </c>
      <c r="AY210" s="3">
        <v>0</v>
      </c>
      <c r="AZ210" s="3" t="s">
        <v>81</v>
      </c>
      <c r="BA210" s="3" t="s">
        <v>81</v>
      </c>
      <c r="BB210" s="3" t="s">
        <v>81</v>
      </c>
      <c r="BC210" s="3" t="s">
        <v>81</v>
      </c>
      <c r="BD210" s="3" t="s">
        <v>81</v>
      </c>
      <c r="BE210" s="3" t="s">
        <v>81</v>
      </c>
      <c r="BF210" s="3" t="s">
        <v>81</v>
      </c>
      <c r="BG210" s="3" t="s">
        <v>81</v>
      </c>
      <c r="BH210" s="3" t="s">
        <v>81</v>
      </c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 t="s">
        <v>84</v>
      </c>
      <c r="CC210" s="3"/>
      <c r="CD210" s="3"/>
      <c r="CE210" s="3"/>
      <c r="CF210" s="7"/>
      <c r="CG210" s="7"/>
      <c r="CH210" s="7"/>
    </row>
    <row r="211" spans="1:87" ht="13" x14ac:dyDescent="0.15">
      <c r="A211" s="3">
        <v>912335811</v>
      </c>
      <c r="B211" s="3" t="s">
        <v>382</v>
      </c>
      <c r="C211" s="3" t="s">
        <v>382</v>
      </c>
      <c r="D211" s="3">
        <v>2</v>
      </c>
      <c r="E211" s="3">
        <v>2</v>
      </c>
      <c r="F211" s="3">
        <v>32.046999999999997</v>
      </c>
      <c r="G211" s="3">
        <v>1</v>
      </c>
      <c r="H211" s="3">
        <v>1.946</v>
      </c>
      <c r="I211" s="3">
        <v>6.6120000000000001</v>
      </c>
      <c r="J211" s="3">
        <v>29.015000000000001</v>
      </c>
      <c r="K211" s="3" t="s">
        <v>81</v>
      </c>
      <c r="L211" s="3" t="s">
        <v>81</v>
      </c>
      <c r="M211" s="3" t="s">
        <v>81</v>
      </c>
      <c r="N211" s="3" t="s">
        <v>81</v>
      </c>
      <c r="O211" s="3" t="s">
        <v>81</v>
      </c>
      <c r="P211" s="3" t="s">
        <v>81</v>
      </c>
      <c r="Q211" s="3">
        <v>17.834</v>
      </c>
      <c r="R211" s="3">
        <v>1</v>
      </c>
      <c r="S211" s="3">
        <v>2.931</v>
      </c>
      <c r="T211" s="3">
        <v>7.2229999999999999</v>
      </c>
      <c r="U211" s="3">
        <v>13.202999999999999</v>
      </c>
      <c r="V211" s="3" t="s">
        <v>81</v>
      </c>
      <c r="W211" s="3" t="s">
        <v>81</v>
      </c>
      <c r="X211" s="3" t="s">
        <v>81</v>
      </c>
      <c r="Y211" s="3" t="s">
        <v>81</v>
      </c>
      <c r="Z211" s="3" t="s">
        <v>81</v>
      </c>
      <c r="AA211" s="3" t="s">
        <v>81</v>
      </c>
      <c r="AB211" s="3" t="s">
        <v>81</v>
      </c>
      <c r="AC211" s="3" t="s">
        <v>81</v>
      </c>
      <c r="AD211" s="3" t="s">
        <v>81</v>
      </c>
      <c r="AE211" s="3" t="s">
        <v>81</v>
      </c>
      <c r="AF211" s="3" t="s">
        <v>81</v>
      </c>
      <c r="AG211" s="3" t="s">
        <v>81</v>
      </c>
      <c r="AH211" s="3" t="s">
        <v>81</v>
      </c>
      <c r="AI211" s="3" t="s">
        <v>81</v>
      </c>
      <c r="AJ211" s="3" t="s">
        <v>81</v>
      </c>
      <c r="AK211" s="3" t="s">
        <v>81</v>
      </c>
      <c r="AL211" s="3" t="s">
        <v>81</v>
      </c>
      <c r="AM211" s="3" t="s">
        <v>81</v>
      </c>
      <c r="AN211" s="3" t="s">
        <v>81</v>
      </c>
      <c r="AO211" s="3" t="s">
        <v>81</v>
      </c>
      <c r="AP211" s="3" t="s">
        <v>81</v>
      </c>
      <c r="AQ211" s="3" t="s">
        <v>81</v>
      </c>
      <c r="AR211" s="3" t="s">
        <v>81</v>
      </c>
      <c r="AS211" s="3" t="s">
        <v>81</v>
      </c>
      <c r="AT211" s="3" t="s">
        <v>81</v>
      </c>
      <c r="AU211" s="3" t="s">
        <v>81</v>
      </c>
      <c r="AV211" s="3" t="s">
        <v>81</v>
      </c>
      <c r="AW211" s="3" t="s">
        <v>81</v>
      </c>
      <c r="AX211" s="3" t="s">
        <v>81</v>
      </c>
      <c r="AY211" s="3" t="s">
        <v>81</v>
      </c>
      <c r="AZ211" s="3" t="s">
        <v>81</v>
      </c>
      <c r="BA211" s="3" t="s">
        <v>81</v>
      </c>
      <c r="BB211" s="3" t="s">
        <v>81</v>
      </c>
      <c r="BC211" s="3" t="s">
        <v>81</v>
      </c>
      <c r="BD211" s="3" t="s">
        <v>81</v>
      </c>
      <c r="BE211" s="3" t="s">
        <v>81</v>
      </c>
      <c r="BF211" s="3" t="s">
        <v>81</v>
      </c>
      <c r="BG211" s="3" t="s">
        <v>81</v>
      </c>
      <c r="BH211" s="3" t="s">
        <v>81</v>
      </c>
      <c r="BI211" s="3" t="s">
        <v>84</v>
      </c>
      <c r="BJ211" s="3" t="s">
        <v>82</v>
      </c>
      <c r="BK211" s="3" t="s">
        <v>83</v>
      </c>
      <c r="BL211" s="3" t="s">
        <v>84</v>
      </c>
      <c r="BM211" s="3" t="s">
        <v>84</v>
      </c>
      <c r="BN211" s="3" t="s">
        <v>82</v>
      </c>
      <c r="BO211" s="3" t="s">
        <v>83</v>
      </c>
      <c r="BP211" s="3" t="s">
        <v>81</v>
      </c>
      <c r="BQ211" s="3" t="s">
        <v>81</v>
      </c>
      <c r="BR211" s="3" t="s">
        <v>81</v>
      </c>
      <c r="BS211" s="3" t="s">
        <v>81</v>
      </c>
      <c r="BT211" s="3" t="s">
        <v>81</v>
      </c>
      <c r="BU211" s="3" t="s">
        <v>81</v>
      </c>
      <c r="BV211" s="3" t="s">
        <v>84</v>
      </c>
      <c r="BW211" s="3" t="s">
        <v>83</v>
      </c>
      <c r="BX211" s="3" t="s">
        <v>82</v>
      </c>
      <c r="BY211" s="3" t="s">
        <v>383</v>
      </c>
      <c r="BZ211" s="3" t="s">
        <v>384</v>
      </c>
      <c r="CA211" s="3"/>
      <c r="CB211" s="3" t="s">
        <v>84</v>
      </c>
      <c r="CC211" s="3"/>
      <c r="CD211" s="3"/>
      <c r="CE211" s="3"/>
      <c r="CF211" s="5"/>
      <c r="CG211" s="5"/>
      <c r="CH211" s="5"/>
      <c r="CI211" s="6"/>
    </row>
    <row r="212" spans="1:87" ht="13" x14ac:dyDescent="0.15">
      <c r="A212" s="3">
        <v>1847941347</v>
      </c>
      <c r="B212" s="3" t="s">
        <v>385</v>
      </c>
      <c r="C212" s="3" t="s">
        <v>386</v>
      </c>
      <c r="D212" s="3">
        <v>10</v>
      </c>
      <c r="E212" s="3">
        <v>10</v>
      </c>
      <c r="F212" s="3">
        <v>22.265999999999998</v>
      </c>
      <c r="G212" s="3">
        <v>0</v>
      </c>
      <c r="H212" s="3" t="s">
        <v>81</v>
      </c>
      <c r="I212" s="3" t="s">
        <v>81</v>
      </c>
      <c r="J212" s="3" t="s">
        <v>81</v>
      </c>
      <c r="K212" s="3" t="s">
        <v>81</v>
      </c>
      <c r="L212" s="3" t="s">
        <v>81</v>
      </c>
      <c r="M212" s="3" t="s">
        <v>81</v>
      </c>
      <c r="N212" s="3" t="s">
        <v>81</v>
      </c>
      <c r="O212" s="3" t="s">
        <v>81</v>
      </c>
      <c r="P212" s="3" t="s">
        <v>81</v>
      </c>
      <c r="Q212" s="3">
        <v>24.835000000000001</v>
      </c>
      <c r="R212" s="3">
        <v>0</v>
      </c>
      <c r="S212" s="3" t="s">
        <v>81</v>
      </c>
      <c r="T212" s="3" t="s">
        <v>81</v>
      </c>
      <c r="U212" s="3" t="s">
        <v>81</v>
      </c>
      <c r="V212" s="3" t="s">
        <v>81</v>
      </c>
      <c r="W212" s="3" t="s">
        <v>81</v>
      </c>
      <c r="X212" s="3" t="s">
        <v>81</v>
      </c>
      <c r="Y212" s="3" t="s">
        <v>81</v>
      </c>
      <c r="Z212" s="3" t="s">
        <v>81</v>
      </c>
      <c r="AA212" s="3" t="s">
        <v>81</v>
      </c>
      <c r="AB212" s="3">
        <v>24.170999999999999</v>
      </c>
      <c r="AC212" s="3">
        <v>0</v>
      </c>
      <c r="AD212" s="3" t="s">
        <v>81</v>
      </c>
      <c r="AE212" s="3" t="s">
        <v>81</v>
      </c>
      <c r="AF212" s="3" t="s">
        <v>81</v>
      </c>
      <c r="AG212" s="3" t="s">
        <v>81</v>
      </c>
      <c r="AH212" s="3" t="s">
        <v>81</v>
      </c>
      <c r="AI212" s="3" t="s">
        <v>81</v>
      </c>
      <c r="AJ212" s="3" t="s">
        <v>81</v>
      </c>
      <c r="AK212" s="3" t="s">
        <v>81</v>
      </c>
      <c r="AL212" s="3" t="s">
        <v>81</v>
      </c>
      <c r="AM212" s="3">
        <v>23.300999999999998</v>
      </c>
      <c r="AN212" s="3">
        <v>1</v>
      </c>
      <c r="AO212" s="3" t="s">
        <v>81</v>
      </c>
      <c r="AP212" s="3" t="s">
        <v>81</v>
      </c>
      <c r="AQ212" s="3" t="s">
        <v>81</v>
      </c>
      <c r="AR212" s="3" t="s">
        <v>81</v>
      </c>
      <c r="AS212" s="3" t="s">
        <v>81</v>
      </c>
      <c r="AT212" s="3" t="s">
        <v>81</v>
      </c>
      <c r="AU212" s="3" t="s">
        <v>81</v>
      </c>
      <c r="AV212" s="3" t="s">
        <v>81</v>
      </c>
      <c r="AW212" s="3" t="s">
        <v>81</v>
      </c>
      <c r="AX212" s="3">
        <v>22.187000000000001</v>
      </c>
      <c r="AY212" s="3">
        <v>0</v>
      </c>
      <c r="AZ212" s="3" t="s">
        <v>81</v>
      </c>
      <c r="BA212" s="3" t="s">
        <v>81</v>
      </c>
      <c r="BB212" s="3" t="s">
        <v>81</v>
      </c>
      <c r="BC212" s="3" t="s">
        <v>81</v>
      </c>
      <c r="BD212" s="3" t="s">
        <v>81</v>
      </c>
      <c r="BE212" s="3" t="s">
        <v>81</v>
      </c>
      <c r="BF212" s="3" t="s">
        <v>81</v>
      </c>
      <c r="BG212" s="3" t="s">
        <v>81</v>
      </c>
      <c r="BH212" s="3" t="s">
        <v>81</v>
      </c>
      <c r="BI212" s="3" t="s">
        <v>84</v>
      </c>
      <c r="BJ212" s="3" t="s">
        <v>82</v>
      </c>
      <c r="BK212" s="3" t="s">
        <v>83</v>
      </c>
      <c r="BL212" s="3" t="s">
        <v>84</v>
      </c>
      <c r="BM212" s="3" t="s">
        <v>84</v>
      </c>
      <c r="BN212" s="3" t="s">
        <v>84</v>
      </c>
      <c r="BO212" s="3" t="s">
        <v>84</v>
      </c>
      <c r="BP212" s="3" t="s">
        <v>106</v>
      </c>
      <c r="BQ212" s="3" t="s">
        <v>106</v>
      </c>
      <c r="BR212" s="3" t="s">
        <v>387</v>
      </c>
      <c r="BS212" s="3" t="s">
        <v>387</v>
      </c>
      <c r="BT212" s="3" t="s">
        <v>106</v>
      </c>
      <c r="BU212" s="3" t="s">
        <v>129</v>
      </c>
      <c r="BV212" s="3" t="s">
        <v>84</v>
      </c>
      <c r="BW212" s="3" t="s">
        <v>83</v>
      </c>
      <c r="BX212" s="3" t="s">
        <v>82</v>
      </c>
      <c r="BZ212" s="3" t="s">
        <v>93</v>
      </c>
      <c r="CB212" s="3" t="s">
        <v>84</v>
      </c>
      <c r="CD212" s="9">
        <v>10</v>
      </c>
      <c r="CE212" s="9">
        <v>10</v>
      </c>
      <c r="CF212" s="9"/>
    </row>
    <row r="213" spans="1:87" ht="13" x14ac:dyDescent="0.15">
      <c r="A213" s="3">
        <v>2643362945</v>
      </c>
      <c r="B213" s="3" t="s">
        <v>385</v>
      </c>
      <c r="C213" s="3" t="s">
        <v>386</v>
      </c>
      <c r="D213" s="3" t="s">
        <v>81</v>
      </c>
      <c r="E213" s="3">
        <v>20</v>
      </c>
      <c r="F213" s="3">
        <v>48.052999999999997</v>
      </c>
      <c r="G213" s="3">
        <v>2</v>
      </c>
      <c r="H213" s="3">
        <v>31.259</v>
      </c>
      <c r="I213" s="3">
        <v>19.503</v>
      </c>
      <c r="J213" s="3">
        <v>16.739999999999998</v>
      </c>
      <c r="K213" s="3">
        <v>5.8890000000000002</v>
      </c>
      <c r="L213" s="3">
        <v>0.49</v>
      </c>
      <c r="M213" s="3" t="s">
        <v>81</v>
      </c>
      <c r="N213" s="3" t="s">
        <v>81</v>
      </c>
      <c r="O213" s="3" t="s">
        <v>81</v>
      </c>
      <c r="P213" s="3" t="s">
        <v>81</v>
      </c>
      <c r="Q213" s="3">
        <v>49.237000000000002</v>
      </c>
      <c r="R213" s="3">
        <v>2</v>
      </c>
      <c r="S213" s="3">
        <v>31.262</v>
      </c>
      <c r="T213" s="3">
        <v>20.094999999999999</v>
      </c>
      <c r="U213" s="3">
        <v>17.818999999999999</v>
      </c>
      <c r="V213" s="3">
        <v>7.84</v>
      </c>
      <c r="W213" s="3">
        <v>0.20599999999999999</v>
      </c>
      <c r="X213" s="3" t="s">
        <v>81</v>
      </c>
      <c r="Y213" s="3" t="s">
        <v>81</v>
      </c>
      <c r="Z213" s="3" t="s">
        <v>81</v>
      </c>
      <c r="AA213" s="3" t="s">
        <v>81</v>
      </c>
      <c r="AB213" s="3">
        <v>32.058</v>
      </c>
      <c r="AC213" s="3">
        <v>2</v>
      </c>
      <c r="AD213" s="3">
        <v>23.567</v>
      </c>
      <c r="AE213" s="3">
        <v>20.472000000000001</v>
      </c>
      <c r="AF213" s="3">
        <v>6.8310000000000004</v>
      </c>
      <c r="AG213" s="3">
        <v>2.5590000000000002</v>
      </c>
      <c r="AH213" s="3">
        <v>1.444</v>
      </c>
      <c r="AI213" s="3" t="s">
        <v>81</v>
      </c>
      <c r="AJ213" s="3" t="s">
        <v>81</v>
      </c>
      <c r="AK213" s="3" t="s">
        <v>81</v>
      </c>
      <c r="AL213" s="3" t="s">
        <v>81</v>
      </c>
      <c r="AM213" s="3">
        <v>51.19</v>
      </c>
      <c r="AN213" s="3">
        <v>2</v>
      </c>
      <c r="AO213" s="3">
        <v>37.07</v>
      </c>
      <c r="AP213" s="3">
        <v>15.124000000000001</v>
      </c>
      <c r="AQ213" s="3">
        <v>12.939</v>
      </c>
      <c r="AR213" s="3">
        <v>6.0549999999999997</v>
      </c>
      <c r="AS213" s="3">
        <v>0.35099999999999998</v>
      </c>
      <c r="AT213" s="3" t="s">
        <v>81</v>
      </c>
      <c r="AU213" s="3" t="s">
        <v>81</v>
      </c>
      <c r="AV213" s="3" t="s">
        <v>81</v>
      </c>
      <c r="AW213" s="3" t="s">
        <v>81</v>
      </c>
      <c r="AX213" s="3">
        <v>51.506999999999998</v>
      </c>
      <c r="AY213" s="3">
        <v>2</v>
      </c>
      <c r="AZ213" s="3">
        <v>33.341999999999999</v>
      </c>
      <c r="BA213" s="3">
        <v>22.507999999999999</v>
      </c>
      <c r="BB213" s="3">
        <v>16.86</v>
      </c>
      <c r="BC213" s="3">
        <v>7.55</v>
      </c>
      <c r="BD213" s="3">
        <v>0.59299999999999997</v>
      </c>
      <c r="BE213" s="3" t="s">
        <v>81</v>
      </c>
      <c r="BF213" s="3" t="s">
        <v>81</v>
      </c>
      <c r="BG213" s="3" t="s">
        <v>81</v>
      </c>
      <c r="BH213" s="3" t="s">
        <v>81</v>
      </c>
      <c r="BI213" s="3" t="s">
        <v>84</v>
      </c>
      <c r="BJ213" s="3" t="s">
        <v>84</v>
      </c>
      <c r="BK213" s="3" t="s">
        <v>82</v>
      </c>
      <c r="BL213" s="3" t="s">
        <v>84</v>
      </c>
      <c r="BM213" s="3" t="s">
        <v>84</v>
      </c>
      <c r="BN213" s="3" t="s">
        <v>82</v>
      </c>
      <c r="BO213" s="3" t="s">
        <v>84</v>
      </c>
      <c r="BP213" s="3" t="s">
        <v>81</v>
      </c>
      <c r="BQ213" s="3" t="s">
        <v>81</v>
      </c>
      <c r="BR213" s="3" t="s">
        <v>81</v>
      </c>
      <c r="BS213" s="3" t="s">
        <v>81</v>
      </c>
      <c r="BT213" s="3" t="s">
        <v>81</v>
      </c>
      <c r="BU213" s="3" t="s">
        <v>81</v>
      </c>
      <c r="BV213" s="3" t="s">
        <v>84</v>
      </c>
      <c r="BW213" s="3" t="s">
        <v>83</v>
      </c>
      <c r="BX213" s="3" t="s">
        <v>82</v>
      </c>
      <c r="BY213" s="3" t="s">
        <v>388</v>
      </c>
      <c r="BZ213" s="3" t="s">
        <v>86</v>
      </c>
      <c r="CB213" s="3" t="s">
        <v>84</v>
      </c>
      <c r="CD213" s="9">
        <v>38</v>
      </c>
      <c r="CE213" s="9"/>
      <c r="CF213" s="9"/>
    </row>
    <row r="214" spans="1:87" ht="13" x14ac:dyDescent="0.15">
      <c r="A214" s="3">
        <v>1228255879</v>
      </c>
      <c r="B214" s="3" t="s">
        <v>386</v>
      </c>
      <c r="C214" s="3" t="s">
        <v>386</v>
      </c>
      <c r="D214" s="3">
        <v>10</v>
      </c>
      <c r="E214" s="3">
        <v>13</v>
      </c>
      <c r="F214" s="3">
        <v>44.156999999999996</v>
      </c>
      <c r="G214" s="3">
        <v>0</v>
      </c>
      <c r="H214" s="3" t="s">
        <v>81</v>
      </c>
      <c r="I214" s="3" t="s">
        <v>81</v>
      </c>
      <c r="J214" s="3" t="s">
        <v>81</v>
      </c>
      <c r="K214" s="3" t="s">
        <v>81</v>
      </c>
      <c r="L214" s="3" t="s">
        <v>81</v>
      </c>
      <c r="M214" s="3" t="s">
        <v>81</v>
      </c>
      <c r="N214" s="3" t="s">
        <v>81</v>
      </c>
      <c r="O214" s="3" t="s">
        <v>81</v>
      </c>
      <c r="P214" s="3" t="s">
        <v>81</v>
      </c>
      <c r="Q214" s="3">
        <v>47.814999999999998</v>
      </c>
      <c r="R214" s="3">
        <v>0</v>
      </c>
      <c r="S214" s="3" t="s">
        <v>81</v>
      </c>
      <c r="T214" s="3" t="s">
        <v>81</v>
      </c>
      <c r="U214" s="3" t="s">
        <v>81</v>
      </c>
      <c r="V214" s="3" t="s">
        <v>81</v>
      </c>
      <c r="W214" s="3" t="s">
        <v>81</v>
      </c>
      <c r="X214" s="3" t="s">
        <v>81</v>
      </c>
      <c r="Y214" s="3" t="s">
        <v>81</v>
      </c>
      <c r="Z214" s="3" t="s">
        <v>81</v>
      </c>
      <c r="AA214" s="3" t="s">
        <v>81</v>
      </c>
      <c r="AB214" s="3">
        <v>49.817999999999998</v>
      </c>
      <c r="AC214" s="3">
        <v>0</v>
      </c>
      <c r="AD214" s="3" t="s">
        <v>81</v>
      </c>
      <c r="AE214" s="3" t="s">
        <v>81</v>
      </c>
      <c r="AF214" s="3" t="s">
        <v>81</v>
      </c>
      <c r="AG214" s="3" t="s">
        <v>81</v>
      </c>
      <c r="AH214" s="3" t="s">
        <v>81</v>
      </c>
      <c r="AI214" s="3" t="s">
        <v>81</v>
      </c>
      <c r="AJ214" s="3" t="s">
        <v>81</v>
      </c>
      <c r="AK214" s="3" t="s">
        <v>81</v>
      </c>
      <c r="AL214" s="3" t="s">
        <v>81</v>
      </c>
      <c r="AM214" s="3">
        <v>39.97</v>
      </c>
      <c r="AN214" s="3">
        <v>0</v>
      </c>
      <c r="AO214" s="3" t="s">
        <v>81</v>
      </c>
      <c r="AP214" s="3" t="s">
        <v>81</v>
      </c>
      <c r="AQ214" s="3" t="s">
        <v>81</v>
      </c>
      <c r="AR214" s="3" t="s">
        <v>81</v>
      </c>
      <c r="AS214" s="3" t="s">
        <v>81</v>
      </c>
      <c r="AT214" s="3" t="s">
        <v>81</v>
      </c>
      <c r="AU214" s="3" t="s">
        <v>81</v>
      </c>
      <c r="AV214" s="3" t="s">
        <v>81</v>
      </c>
      <c r="AW214" s="3" t="s">
        <v>81</v>
      </c>
      <c r="AX214" s="3">
        <v>49.622999999999998</v>
      </c>
      <c r="AY214" s="3">
        <v>0</v>
      </c>
      <c r="AZ214" s="3" t="s">
        <v>81</v>
      </c>
      <c r="BA214" s="3" t="s">
        <v>81</v>
      </c>
      <c r="BB214" s="3" t="s">
        <v>81</v>
      </c>
      <c r="BC214" s="3" t="s">
        <v>81</v>
      </c>
      <c r="BD214" s="3" t="s">
        <v>81</v>
      </c>
      <c r="BE214" s="3" t="s">
        <v>81</v>
      </c>
      <c r="BF214" s="3" t="s">
        <v>81</v>
      </c>
      <c r="BG214" s="3" t="s">
        <v>81</v>
      </c>
      <c r="BH214" s="3" t="s">
        <v>81</v>
      </c>
      <c r="BI214" s="3" t="s">
        <v>84</v>
      </c>
      <c r="BJ214" s="3" t="s">
        <v>84</v>
      </c>
      <c r="BK214" s="3" t="s">
        <v>84</v>
      </c>
      <c r="BL214" s="3" t="s">
        <v>84</v>
      </c>
      <c r="BM214" s="3" t="s">
        <v>84</v>
      </c>
      <c r="BN214" s="3" t="s">
        <v>82</v>
      </c>
      <c r="BO214" s="3" t="s">
        <v>84</v>
      </c>
      <c r="BP214" s="3" t="s">
        <v>106</v>
      </c>
      <c r="BQ214" s="3" t="s">
        <v>106</v>
      </c>
      <c r="BR214" s="3" t="s">
        <v>389</v>
      </c>
      <c r="BS214" s="3" t="s">
        <v>390</v>
      </c>
      <c r="BT214" s="3" t="s">
        <v>106</v>
      </c>
      <c r="BU214" s="3" t="s">
        <v>129</v>
      </c>
      <c r="BV214" s="3" t="s">
        <v>84</v>
      </c>
      <c r="BW214" s="3" t="s">
        <v>83</v>
      </c>
      <c r="BX214" s="3" t="s">
        <v>82</v>
      </c>
      <c r="BZ214" s="3" t="s">
        <v>93</v>
      </c>
      <c r="CB214" s="3" t="s">
        <v>84</v>
      </c>
      <c r="CD214" s="9">
        <v>17</v>
      </c>
      <c r="CE214" s="9">
        <v>13</v>
      </c>
      <c r="CF214" s="9"/>
    </row>
    <row r="215" spans="1:87" ht="13" x14ac:dyDescent="0.15">
      <c r="A215" s="3">
        <v>1228385648</v>
      </c>
      <c r="B215" s="3" t="s">
        <v>386</v>
      </c>
      <c r="C215" s="3" t="s">
        <v>386</v>
      </c>
      <c r="D215" s="3">
        <v>6</v>
      </c>
      <c r="E215" s="3">
        <v>9</v>
      </c>
      <c r="F215" s="3">
        <v>85.856999999999999</v>
      </c>
      <c r="G215" s="3">
        <v>2</v>
      </c>
      <c r="H215" s="3">
        <v>49.332999999999998</v>
      </c>
      <c r="I215" s="3">
        <v>29.588000000000001</v>
      </c>
      <c r="J215" s="3">
        <v>17.34</v>
      </c>
      <c r="K215" s="3">
        <v>25.556999999999999</v>
      </c>
      <c r="L215" s="3">
        <v>16.277999999999999</v>
      </c>
      <c r="M215" s="3" t="s">
        <v>81</v>
      </c>
      <c r="N215" s="3" t="s">
        <v>81</v>
      </c>
      <c r="O215" s="3" t="s">
        <v>81</v>
      </c>
      <c r="P215" s="3" t="s">
        <v>81</v>
      </c>
      <c r="Q215" s="3">
        <v>84.391000000000005</v>
      </c>
      <c r="R215" s="3">
        <v>2</v>
      </c>
      <c r="S215" s="3">
        <v>38.972000000000001</v>
      </c>
      <c r="T215" s="3">
        <v>34.951000000000001</v>
      </c>
      <c r="U215" s="3">
        <v>24.739000000000001</v>
      </c>
      <c r="V215" s="3">
        <v>23.765000000000001</v>
      </c>
      <c r="W215" s="3">
        <v>17.039000000000001</v>
      </c>
      <c r="X215" s="3" t="s">
        <v>81</v>
      </c>
      <c r="Y215" s="3" t="s">
        <v>81</v>
      </c>
      <c r="Z215" s="3" t="s">
        <v>81</v>
      </c>
      <c r="AA215" s="3" t="s">
        <v>81</v>
      </c>
      <c r="AB215" s="3">
        <v>75.471999999999994</v>
      </c>
      <c r="AC215" s="3">
        <v>2</v>
      </c>
      <c r="AD215" s="3">
        <v>32.012999999999998</v>
      </c>
      <c r="AE215" s="3">
        <v>40.39</v>
      </c>
      <c r="AF215" s="3">
        <v>24.346</v>
      </c>
      <c r="AG215" s="3">
        <v>26.978999999999999</v>
      </c>
      <c r="AH215" s="3">
        <v>16.13</v>
      </c>
      <c r="AI215" s="3" t="s">
        <v>81</v>
      </c>
      <c r="AJ215" s="3" t="s">
        <v>81</v>
      </c>
      <c r="AK215" s="3" t="s">
        <v>81</v>
      </c>
      <c r="AL215" s="3" t="s">
        <v>81</v>
      </c>
      <c r="AM215" s="3">
        <v>77.915000000000006</v>
      </c>
      <c r="AN215" s="3">
        <v>2</v>
      </c>
      <c r="AO215" s="3">
        <v>38.484000000000002</v>
      </c>
      <c r="AP215" s="3">
        <v>34.078000000000003</v>
      </c>
      <c r="AQ215" s="3">
        <v>18.388999999999999</v>
      </c>
      <c r="AR215" s="3">
        <v>29.315000000000001</v>
      </c>
      <c r="AS215" s="3">
        <v>18.777999999999999</v>
      </c>
      <c r="AT215" s="3" t="s">
        <v>81</v>
      </c>
      <c r="AU215" s="3" t="s">
        <v>81</v>
      </c>
      <c r="AV215" s="3" t="s">
        <v>81</v>
      </c>
      <c r="AW215" s="3" t="s">
        <v>81</v>
      </c>
      <c r="AX215" s="3">
        <v>77.466999999999999</v>
      </c>
      <c r="AY215" s="3">
        <v>2</v>
      </c>
      <c r="AZ215" s="3">
        <v>48.743000000000002</v>
      </c>
      <c r="BA215" s="3">
        <v>26.119</v>
      </c>
      <c r="BB215" s="3">
        <v>9.9740000000000002</v>
      </c>
      <c r="BC215" s="3">
        <v>27.725000000000001</v>
      </c>
      <c r="BD215" s="3">
        <v>17.277000000000001</v>
      </c>
      <c r="BE215" s="3" t="s">
        <v>81</v>
      </c>
      <c r="BF215" s="3" t="s">
        <v>81</v>
      </c>
      <c r="BG215" s="3" t="s">
        <v>81</v>
      </c>
      <c r="BH215" s="3" t="s">
        <v>81</v>
      </c>
      <c r="BI215" s="3" t="s">
        <v>84</v>
      </c>
      <c r="BJ215" s="3" t="s">
        <v>82</v>
      </c>
      <c r="BK215" s="3" t="s">
        <v>83</v>
      </c>
      <c r="BL215" s="3" t="s">
        <v>84</v>
      </c>
      <c r="BM215" s="3" t="s">
        <v>84</v>
      </c>
      <c r="BN215" s="3" t="s">
        <v>82</v>
      </c>
      <c r="BO215" s="3" t="s">
        <v>84</v>
      </c>
      <c r="BP215" s="3" t="s">
        <v>391</v>
      </c>
      <c r="BQ215" s="3" t="s">
        <v>391</v>
      </c>
      <c r="BR215" s="3" t="s">
        <v>392</v>
      </c>
      <c r="BS215" s="3" t="s">
        <v>393</v>
      </c>
      <c r="BT215" s="3" t="s">
        <v>87</v>
      </c>
      <c r="BU215" s="3" t="s">
        <v>106</v>
      </c>
      <c r="BV215" s="3" t="s">
        <v>84</v>
      </c>
      <c r="BW215" s="3" t="s">
        <v>83</v>
      </c>
      <c r="BX215" s="3" t="s">
        <v>82</v>
      </c>
      <c r="BZ215" s="3" t="s">
        <v>93</v>
      </c>
      <c r="CB215" s="3" t="s">
        <v>84</v>
      </c>
      <c r="CD215" s="9">
        <v>24</v>
      </c>
      <c r="CE215" s="9"/>
      <c r="CF215" s="9"/>
    </row>
    <row r="216" spans="1:87" ht="13" x14ac:dyDescent="0.15">
      <c r="A216" s="3">
        <v>1847932608</v>
      </c>
      <c r="B216" s="3" t="s">
        <v>386</v>
      </c>
      <c r="C216" s="3" t="s">
        <v>386</v>
      </c>
      <c r="D216" s="3">
        <v>4</v>
      </c>
      <c r="E216" s="3">
        <v>4</v>
      </c>
      <c r="F216" s="3">
        <v>38.787999999999997</v>
      </c>
      <c r="G216" s="3">
        <v>0</v>
      </c>
      <c r="H216" s="3" t="s">
        <v>81</v>
      </c>
      <c r="I216" s="3" t="s">
        <v>81</v>
      </c>
      <c r="J216" s="3" t="s">
        <v>81</v>
      </c>
      <c r="K216" s="3" t="s">
        <v>81</v>
      </c>
      <c r="L216" s="3" t="s">
        <v>81</v>
      </c>
      <c r="M216" s="3" t="s">
        <v>81</v>
      </c>
      <c r="N216" s="3" t="s">
        <v>81</v>
      </c>
      <c r="O216" s="3" t="s">
        <v>81</v>
      </c>
      <c r="P216" s="3" t="s">
        <v>81</v>
      </c>
      <c r="Q216" s="3">
        <v>40.895000000000003</v>
      </c>
      <c r="R216" s="3">
        <v>0</v>
      </c>
      <c r="S216" s="3" t="s">
        <v>81</v>
      </c>
      <c r="T216" s="3" t="s">
        <v>81</v>
      </c>
      <c r="U216" s="3" t="s">
        <v>81</v>
      </c>
      <c r="V216" s="3" t="s">
        <v>81</v>
      </c>
      <c r="W216" s="3" t="s">
        <v>81</v>
      </c>
      <c r="X216" s="3" t="s">
        <v>81</v>
      </c>
      <c r="Y216" s="3" t="s">
        <v>81</v>
      </c>
      <c r="Z216" s="3" t="s">
        <v>81</v>
      </c>
      <c r="AA216" s="3" t="s">
        <v>81</v>
      </c>
      <c r="AB216" s="3">
        <v>39.377000000000002</v>
      </c>
      <c r="AC216" s="3">
        <v>0</v>
      </c>
      <c r="AD216" s="3" t="s">
        <v>81</v>
      </c>
      <c r="AE216" s="3" t="s">
        <v>81</v>
      </c>
      <c r="AF216" s="3" t="s">
        <v>81</v>
      </c>
      <c r="AG216" s="3" t="s">
        <v>81</v>
      </c>
      <c r="AH216" s="3" t="s">
        <v>81</v>
      </c>
      <c r="AI216" s="3" t="s">
        <v>81</v>
      </c>
      <c r="AJ216" s="3" t="s">
        <v>81</v>
      </c>
      <c r="AK216" s="3" t="s">
        <v>81</v>
      </c>
      <c r="AL216" s="3" t="s">
        <v>81</v>
      </c>
      <c r="AM216" s="3" t="s">
        <v>81</v>
      </c>
      <c r="AN216" s="3" t="s">
        <v>81</v>
      </c>
      <c r="AO216" s="3" t="s">
        <v>81</v>
      </c>
      <c r="AP216" s="3" t="s">
        <v>81</v>
      </c>
      <c r="AQ216" s="3" t="s">
        <v>81</v>
      </c>
      <c r="AR216" s="3" t="s">
        <v>81</v>
      </c>
      <c r="AS216" s="3" t="s">
        <v>81</v>
      </c>
      <c r="AT216" s="3" t="s">
        <v>81</v>
      </c>
      <c r="AU216" s="3" t="s">
        <v>81</v>
      </c>
      <c r="AV216" s="3" t="s">
        <v>81</v>
      </c>
      <c r="AW216" s="3" t="s">
        <v>81</v>
      </c>
      <c r="AX216" s="3" t="s">
        <v>81</v>
      </c>
      <c r="AY216" s="3" t="s">
        <v>81</v>
      </c>
      <c r="AZ216" s="3" t="s">
        <v>81</v>
      </c>
      <c r="BA216" s="3" t="s">
        <v>81</v>
      </c>
      <c r="BB216" s="3" t="s">
        <v>81</v>
      </c>
      <c r="BC216" s="3" t="s">
        <v>81</v>
      </c>
      <c r="BD216" s="3" t="s">
        <v>81</v>
      </c>
      <c r="BE216" s="3" t="s">
        <v>81</v>
      </c>
      <c r="BF216" s="3" t="s">
        <v>81</v>
      </c>
      <c r="BG216" s="3" t="s">
        <v>81</v>
      </c>
      <c r="BH216" s="3" t="s">
        <v>81</v>
      </c>
      <c r="BI216" s="3" t="s">
        <v>84</v>
      </c>
      <c r="BJ216" s="3" t="s">
        <v>82</v>
      </c>
      <c r="BK216" s="3" t="s">
        <v>83</v>
      </c>
      <c r="BL216" s="3" t="s">
        <v>84</v>
      </c>
      <c r="BM216" s="3" t="s">
        <v>84</v>
      </c>
      <c r="BN216" s="3" t="s">
        <v>84</v>
      </c>
      <c r="BO216" s="3" t="s">
        <v>84</v>
      </c>
      <c r="BP216" s="3" t="s">
        <v>87</v>
      </c>
      <c r="BQ216" s="3" t="s">
        <v>87</v>
      </c>
      <c r="BR216" s="3" t="s">
        <v>395</v>
      </c>
      <c r="BS216" s="3" t="s">
        <v>396</v>
      </c>
      <c r="BT216" s="3" t="s">
        <v>87</v>
      </c>
      <c r="BU216" s="3" t="s">
        <v>129</v>
      </c>
      <c r="BV216" s="3" t="s">
        <v>84</v>
      </c>
      <c r="BW216" s="3" t="s">
        <v>83</v>
      </c>
      <c r="BX216" s="3" t="s">
        <v>82</v>
      </c>
      <c r="BY216" s="3" t="s">
        <v>397</v>
      </c>
      <c r="BZ216" s="3" t="s">
        <v>93</v>
      </c>
      <c r="CB216" s="3" t="s">
        <v>84</v>
      </c>
      <c r="CD216" s="9">
        <v>3</v>
      </c>
      <c r="CE216" s="9"/>
      <c r="CF216" s="9"/>
    </row>
    <row r="217" spans="1:87" ht="13" x14ac:dyDescent="0.15">
      <c r="A217" s="3">
        <v>1228544806</v>
      </c>
      <c r="B217" s="3" t="s">
        <v>386</v>
      </c>
      <c r="C217" s="3" t="s">
        <v>386</v>
      </c>
      <c r="D217" s="3">
        <v>2</v>
      </c>
      <c r="E217" s="3">
        <v>2</v>
      </c>
      <c r="F217" s="3">
        <v>49.103999999999999</v>
      </c>
      <c r="G217" s="3">
        <v>0</v>
      </c>
      <c r="H217" s="3" t="s">
        <v>81</v>
      </c>
      <c r="I217" s="3" t="s">
        <v>81</v>
      </c>
      <c r="J217" s="3" t="s">
        <v>81</v>
      </c>
      <c r="K217" s="3" t="s">
        <v>81</v>
      </c>
      <c r="L217" s="3" t="s">
        <v>81</v>
      </c>
      <c r="M217" s="3" t="s">
        <v>81</v>
      </c>
      <c r="N217" s="3" t="s">
        <v>81</v>
      </c>
      <c r="O217" s="3" t="s">
        <v>81</v>
      </c>
      <c r="P217" s="3" t="s">
        <v>81</v>
      </c>
      <c r="Q217" s="3">
        <v>55.561</v>
      </c>
      <c r="R217" s="3">
        <v>0</v>
      </c>
      <c r="S217" s="3" t="s">
        <v>81</v>
      </c>
      <c r="T217" s="3" t="s">
        <v>81</v>
      </c>
      <c r="U217" s="3" t="s">
        <v>81</v>
      </c>
      <c r="V217" s="3" t="s">
        <v>81</v>
      </c>
      <c r="W217" s="3" t="s">
        <v>81</v>
      </c>
      <c r="X217" s="3" t="s">
        <v>81</v>
      </c>
      <c r="Y217" s="3" t="s">
        <v>81</v>
      </c>
      <c r="Z217" s="3" t="s">
        <v>81</v>
      </c>
      <c r="AA217" s="3" t="s">
        <v>81</v>
      </c>
      <c r="AB217" s="3" t="s">
        <v>81</v>
      </c>
      <c r="AC217" s="3" t="s">
        <v>81</v>
      </c>
      <c r="AD217" s="3" t="s">
        <v>81</v>
      </c>
      <c r="AE217" s="3" t="s">
        <v>81</v>
      </c>
      <c r="AF217" s="3" t="s">
        <v>81</v>
      </c>
      <c r="AG217" s="3" t="s">
        <v>81</v>
      </c>
      <c r="AH217" s="3" t="s">
        <v>81</v>
      </c>
      <c r="AI217" s="3" t="s">
        <v>81</v>
      </c>
      <c r="AJ217" s="3" t="s">
        <v>81</v>
      </c>
      <c r="AK217" s="3" t="s">
        <v>81</v>
      </c>
      <c r="AL217" s="3" t="s">
        <v>81</v>
      </c>
      <c r="AM217" s="3" t="s">
        <v>81</v>
      </c>
      <c r="AN217" s="3" t="s">
        <v>81</v>
      </c>
      <c r="AO217" s="3" t="s">
        <v>81</v>
      </c>
      <c r="AP217" s="3" t="s">
        <v>81</v>
      </c>
      <c r="AQ217" s="3" t="s">
        <v>81</v>
      </c>
      <c r="AR217" s="3" t="s">
        <v>81</v>
      </c>
      <c r="AS217" s="3" t="s">
        <v>81</v>
      </c>
      <c r="AT217" s="3" t="s">
        <v>81</v>
      </c>
      <c r="AU217" s="3" t="s">
        <v>81</v>
      </c>
      <c r="AV217" s="3" t="s">
        <v>81</v>
      </c>
      <c r="AW217" s="3" t="s">
        <v>81</v>
      </c>
      <c r="AX217" s="3" t="s">
        <v>81</v>
      </c>
      <c r="AY217" s="3" t="s">
        <v>81</v>
      </c>
      <c r="AZ217" s="3" t="s">
        <v>81</v>
      </c>
      <c r="BA217" s="3" t="s">
        <v>81</v>
      </c>
      <c r="BB217" s="3" t="s">
        <v>81</v>
      </c>
      <c r="BC217" s="3" t="s">
        <v>81</v>
      </c>
      <c r="BD217" s="3" t="s">
        <v>81</v>
      </c>
      <c r="BE217" s="3" t="s">
        <v>81</v>
      </c>
      <c r="BF217" s="3" t="s">
        <v>81</v>
      </c>
      <c r="BG217" s="3" t="s">
        <v>81</v>
      </c>
      <c r="BH217" s="3" t="s">
        <v>81</v>
      </c>
      <c r="BI217" s="3" t="s">
        <v>84</v>
      </c>
      <c r="BJ217" s="3" t="s">
        <v>82</v>
      </c>
      <c r="BK217" s="3" t="s">
        <v>83</v>
      </c>
      <c r="BL217" s="3" t="s">
        <v>84</v>
      </c>
      <c r="BM217" s="3" t="s">
        <v>82</v>
      </c>
      <c r="BN217" s="3" t="s">
        <v>84</v>
      </c>
      <c r="BO217" s="3" t="s">
        <v>84</v>
      </c>
      <c r="BP217" s="3" t="s">
        <v>87</v>
      </c>
      <c r="BQ217" s="3" t="s">
        <v>87</v>
      </c>
      <c r="BR217" s="3" t="s">
        <v>87</v>
      </c>
      <c r="BS217" s="3" t="s">
        <v>394</v>
      </c>
      <c r="BT217" s="3" t="s">
        <v>87</v>
      </c>
      <c r="BU217" s="3" t="s">
        <v>81</v>
      </c>
      <c r="BV217" s="3" t="s">
        <v>82</v>
      </c>
      <c r="BW217" s="3" t="s">
        <v>111</v>
      </c>
      <c r="BX217" s="3" t="s">
        <v>82</v>
      </c>
      <c r="BZ217" s="3" t="s">
        <v>93</v>
      </c>
      <c r="CB217" s="3" t="s">
        <v>84</v>
      </c>
      <c r="CI217" s="6"/>
    </row>
    <row r="218" spans="1:87" ht="13" x14ac:dyDescent="0.15">
      <c r="A218" s="3">
        <v>1847923189</v>
      </c>
      <c r="B218" s="3" t="s">
        <v>398</v>
      </c>
      <c r="C218" s="3" t="s">
        <v>386</v>
      </c>
      <c r="D218" s="3">
        <v>2</v>
      </c>
      <c r="E218" s="3">
        <v>2</v>
      </c>
      <c r="F218" s="3">
        <v>61.259</v>
      </c>
      <c r="G218" s="3">
        <v>2</v>
      </c>
      <c r="H218" s="3">
        <v>32.098999999999997</v>
      </c>
      <c r="I218" s="3">
        <v>13.944000000000001</v>
      </c>
      <c r="J218" s="3">
        <v>26.364999999999998</v>
      </c>
      <c r="K218" s="3">
        <v>7.0620000000000003</v>
      </c>
      <c r="L218" s="3">
        <v>2.1459999999999999</v>
      </c>
      <c r="M218" s="3" t="s">
        <v>81</v>
      </c>
      <c r="N218" s="3" t="s">
        <v>81</v>
      </c>
      <c r="O218" s="3" t="s">
        <v>81</v>
      </c>
      <c r="P218" s="3" t="s">
        <v>81</v>
      </c>
      <c r="Q218" s="3">
        <v>31.672000000000001</v>
      </c>
      <c r="R218" s="3">
        <v>1</v>
      </c>
      <c r="S218" s="3">
        <v>29.21</v>
      </c>
      <c r="T218" s="3">
        <v>4.9130000000000003</v>
      </c>
      <c r="U218" s="3">
        <v>1.8089999999999999</v>
      </c>
      <c r="V218" s="3" t="s">
        <v>81</v>
      </c>
      <c r="W218" s="3" t="s">
        <v>81</v>
      </c>
      <c r="X218" s="3" t="s">
        <v>81</v>
      </c>
      <c r="Y218" s="3" t="s">
        <v>81</v>
      </c>
      <c r="Z218" s="3" t="s">
        <v>81</v>
      </c>
      <c r="AA218" s="3" t="s">
        <v>81</v>
      </c>
      <c r="AB218" s="3" t="s">
        <v>81</v>
      </c>
      <c r="AC218" s="3" t="s">
        <v>81</v>
      </c>
      <c r="AD218" s="3" t="s">
        <v>81</v>
      </c>
      <c r="AE218" s="3" t="s">
        <v>81</v>
      </c>
      <c r="AF218" s="3" t="s">
        <v>81</v>
      </c>
      <c r="AG218" s="3" t="s">
        <v>81</v>
      </c>
      <c r="AH218" s="3" t="s">
        <v>81</v>
      </c>
      <c r="AI218" s="3" t="s">
        <v>81</v>
      </c>
      <c r="AJ218" s="3" t="s">
        <v>81</v>
      </c>
      <c r="AK218" s="3" t="s">
        <v>81</v>
      </c>
      <c r="AL218" s="3" t="s">
        <v>81</v>
      </c>
      <c r="AM218" s="3" t="s">
        <v>81</v>
      </c>
      <c r="AN218" s="3" t="s">
        <v>81</v>
      </c>
      <c r="AO218" s="3" t="s">
        <v>81</v>
      </c>
      <c r="AP218" s="3" t="s">
        <v>81</v>
      </c>
      <c r="AQ218" s="3" t="s">
        <v>81</v>
      </c>
      <c r="AR218" s="3" t="s">
        <v>81</v>
      </c>
      <c r="AS218" s="3" t="s">
        <v>81</v>
      </c>
      <c r="AT218" s="3" t="s">
        <v>81</v>
      </c>
      <c r="AU218" s="3" t="s">
        <v>81</v>
      </c>
      <c r="AV218" s="3" t="s">
        <v>81</v>
      </c>
      <c r="AW218" s="3" t="s">
        <v>81</v>
      </c>
      <c r="AX218" s="3" t="s">
        <v>81</v>
      </c>
      <c r="AY218" s="3" t="s">
        <v>81</v>
      </c>
      <c r="AZ218" s="3" t="s">
        <v>81</v>
      </c>
      <c r="BA218" s="3" t="s">
        <v>81</v>
      </c>
      <c r="BB218" s="3" t="s">
        <v>81</v>
      </c>
      <c r="BC218" s="3" t="s">
        <v>81</v>
      </c>
      <c r="BD218" s="3" t="s">
        <v>81</v>
      </c>
      <c r="BE218" s="3" t="s">
        <v>81</v>
      </c>
      <c r="BF218" s="3" t="s">
        <v>81</v>
      </c>
      <c r="BG218" s="3" t="s">
        <v>81</v>
      </c>
      <c r="BH218" s="3" t="s">
        <v>81</v>
      </c>
      <c r="BI218" s="3" t="s">
        <v>84</v>
      </c>
      <c r="BJ218" s="3" t="s">
        <v>82</v>
      </c>
      <c r="BK218" s="3" t="s">
        <v>83</v>
      </c>
      <c r="BL218" s="3" t="s">
        <v>84</v>
      </c>
      <c r="BM218" s="3" t="s">
        <v>84</v>
      </c>
      <c r="BN218" s="3" t="s">
        <v>82</v>
      </c>
      <c r="BO218" s="3" t="s">
        <v>84</v>
      </c>
      <c r="BP218" s="3" t="s">
        <v>399</v>
      </c>
      <c r="BQ218" s="3" t="s">
        <v>399</v>
      </c>
      <c r="BR218" s="3" t="s">
        <v>400</v>
      </c>
      <c r="BS218" s="3" t="s">
        <v>401</v>
      </c>
      <c r="BT218" s="3" t="s">
        <v>106</v>
      </c>
      <c r="BU218" s="3" t="s">
        <v>98</v>
      </c>
      <c r="BV218" s="3" t="s">
        <v>84</v>
      </c>
      <c r="BW218" s="3" t="s">
        <v>83</v>
      </c>
      <c r="BX218" s="3" t="s">
        <v>82</v>
      </c>
      <c r="BZ218" s="3" t="s">
        <v>93</v>
      </c>
      <c r="CB218" s="3" t="s">
        <v>84</v>
      </c>
    </row>
    <row r="219" spans="1:87" ht="13" x14ac:dyDescent="0.15">
      <c r="A219" s="3">
        <v>1847922301</v>
      </c>
      <c r="B219" s="3" t="s">
        <v>402</v>
      </c>
      <c r="C219" s="3" t="s">
        <v>386</v>
      </c>
      <c r="D219" s="3">
        <v>18</v>
      </c>
      <c r="E219" s="3">
        <v>19</v>
      </c>
      <c r="F219" s="3">
        <v>11.561999999999999</v>
      </c>
      <c r="G219" s="3">
        <v>0</v>
      </c>
      <c r="H219" s="3" t="s">
        <v>81</v>
      </c>
      <c r="I219" s="3" t="s">
        <v>81</v>
      </c>
      <c r="J219" s="3" t="s">
        <v>81</v>
      </c>
      <c r="K219" s="3" t="s">
        <v>81</v>
      </c>
      <c r="L219" s="3" t="s">
        <v>81</v>
      </c>
      <c r="M219" s="3" t="s">
        <v>81</v>
      </c>
      <c r="N219" s="3" t="s">
        <v>81</v>
      </c>
      <c r="O219" s="3" t="s">
        <v>81</v>
      </c>
      <c r="P219" s="3" t="s">
        <v>81</v>
      </c>
      <c r="Q219" s="3">
        <v>15.224</v>
      </c>
      <c r="R219" s="3">
        <v>0</v>
      </c>
      <c r="S219" s="3" t="s">
        <v>81</v>
      </c>
      <c r="T219" s="3" t="s">
        <v>81</v>
      </c>
      <c r="U219" s="3" t="s">
        <v>81</v>
      </c>
      <c r="V219" s="3" t="s">
        <v>81</v>
      </c>
      <c r="W219" s="3" t="s">
        <v>81</v>
      </c>
      <c r="X219" s="3" t="s">
        <v>81</v>
      </c>
      <c r="Y219" s="3" t="s">
        <v>81</v>
      </c>
      <c r="Z219" s="3" t="s">
        <v>81</v>
      </c>
      <c r="AA219" s="3" t="s">
        <v>81</v>
      </c>
      <c r="AB219" s="3">
        <v>10.066000000000001</v>
      </c>
      <c r="AC219" s="3">
        <v>0</v>
      </c>
      <c r="AD219" s="3" t="s">
        <v>81</v>
      </c>
      <c r="AE219" s="3" t="s">
        <v>81</v>
      </c>
      <c r="AF219" s="3" t="s">
        <v>81</v>
      </c>
      <c r="AG219" s="3" t="s">
        <v>81</v>
      </c>
      <c r="AH219" s="3" t="s">
        <v>81</v>
      </c>
      <c r="AI219" s="3" t="s">
        <v>81</v>
      </c>
      <c r="AJ219" s="3" t="s">
        <v>81</v>
      </c>
      <c r="AK219" s="3" t="s">
        <v>81</v>
      </c>
      <c r="AL219" s="3" t="s">
        <v>81</v>
      </c>
      <c r="AM219" s="3">
        <v>13.773</v>
      </c>
      <c r="AN219" s="3">
        <v>0</v>
      </c>
      <c r="AO219" s="3" t="s">
        <v>81</v>
      </c>
      <c r="AP219" s="3" t="s">
        <v>81</v>
      </c>
      <c r="AQ219" s="3" t="s">
        <v>81</v>
      </c>
      <c r="AR219" s="3" t="s">
        <v>81</v>
      </c>
      <c r="AS219" s="3" t="s">
        <v>81</v>
      </c>
      <c r="AT219" s="3" t="s">
        <v>81</v>
      </c>
      <c r="AU219" s="3" t="s">
        <v>81</v>
      </c>
      <c r="AV219" s="3" t="s">
        <v>81</v>
      </c>
      <c r="AW219" s="3" t="s">
        <v>81</v>
      </c>
      <c r="AX219" s="3">
        <v>12.478</v>
      </c>
      <c r="AY219" s="3">
        <v>0</v>
      </c>
      <c r="AZ219" s="3" t="s">
        <v>81</v>
      </c>
      <c r="BA219" s="3" t="s">
        <v>81</v>
      </c>
      <c r="BB219" s="3" t="s">
        <v>81</v>
      </c>
      <c r="BC219" s="3" t="s">
        <v>81</v>
      </c>
      <c r="BD219" s="3" t="s">
        <v>81</v>
      </c>
      <c r="BE219" s="3" t="s">
        <v>81</v>
      </c>
      <c r="BF219" s="3" t="s">
        <v>81</v>
      </c>
      <c r="BG219" s="3" t="s">
        <v>81</v>
      </c>
      <c r="BH219" s="3" t="s">
        <v>81</v>
      </c>
      <c r="BI219" s="3" t="s">
        <v>84</v>
      </c>
      <c r="BJ219" s="3" t="s">
        <v>82</v>
      </c>
      <c r="BK219" s="3" t="s">
        <v>83</v>
      </c>
      <c r="BL219" s="3" t="s">
        <v>84</v>
      </c>
      <c r="BM219" s="3" t="s">
        <v>84</v>
      </c>
      <c r="BN219" s="3" t="s">
        <v>84</v>
      </c>
      <c r="BO219" s="3" t="s">
        <v>82</v>
      </c>
      <c r="BP219" s="3" t="s">
        <v>403</v>
      </c>
      <c r="BQ219" s="3" t="s">
        <v>403</v>
      </c>
      <c r="BR219" s="3" t="s">
        <v>404</v>
      </c>
      <c r="BS219" s="3" t="s">
        <v>405</v>
      </c>
      <c r="BT219" s="3" t="s">
        <v>87</v>
      </c>
      <c r="BU219" s="3" t="s">
        <v>85</v>
      </c>
      <c r="BV219" s="3" t="s">
        <v>84</v>
      </c>
      <c r="BW219" s="3" t="s">
        <v>83</v>
      </c>
      <c r="BX219" s="3" t="s">
        <v>82</v>
      </c>
      <c r="BZ219" s="3" t="s">
        <v>93</v>
      </c>
      <c r="CB219" s="3" t="s">
        <v>84</v>
      </c>
    </row>
    <row r="220" spans="1:87" ht="13" x14ac:dyDescent="0.15">
      <c r="A220" s="3">
        <v>1318296016</v>
      </c>
      <c r="B220" s="3" t="s">
        <v>413</v>
      </c>
      <c r="C220" s="3" t="s">
        <v>413</v>
      </c>
      <c r="D220" s="3">
        <v>17</v>
      </c>
      <c r="E220" s="3">
        <v>30</v>
      </c>
      <c r="F220" s="3">
        <v>42.368000000000002</v>
      </c>
      <c r="G220" s="3">
        <v>0</v>
      </c>
      <c r="H220" s="3" t="s">
        <v>81</v>
      </c>
      <c r="I220" s="3" t="s">
        <v>81</v>
      </c>
      <c r="J220" s="3" t="s">
        <v>81</v>
      </c>
      <c r="K220" s="3" t="s">
        <v>81</v>
      </c>
      <c r="L220" s="3" t="s">
        <v>81</v>
      </c>
      <c r="M220" s="3" t="s">
        <v>81</v>
      </c>
      <c r="N220" s="3" t="s">
        <v>81</v>
      </c>
      <c r="O220" s="3" t="s">
        <v>81</v>
      </c>
      <c r="P220" s="3" t="s">
        <v>81</v>
      </c>
      <c r="Q220" s="3">
        <v>34.152000000000001</v>
      </c>
      <c r="R220" s="3">
        <v>0</v>
      </c>
      <c r="S220" s="3" t="s">
        <v>81</v>
      </c>
      <c r="T220" s="3" t="s">
        <v>81</v>
      </c>
      <c r="U220" s="3" t="s">
        <v>81</v>
      </c>
      <c r="V220" s="3" t="s">
        <v>81</v>
      </c>
      <c r="W220" s="3" t="s">
        <v>81</v>
      </c>
      <c r="X220" s="3" t="s">
        <v>81</v>
      </c>
      <c r="Y220" s="3" t="s">
        <v>81</v>
      </c>
      <c r="Z220" s="3" t="s">
        <v>81</v>
      </c>
      <c r="AA220" s="3" t="s">
        <v>81</v>
      </c>
      <c r="AB220" s="3">
        <v>50.478000000000002</v>
      </c>
      <c r="AC220" s="3">
        <v>0</v>
      </c>
      <c r="AD220" s="3" t="s">
        <v>81</v>
      </c>
      <c r="AE220" s="3" t="s">
        <v>81</v>
      </c>
      <c r="AF220" s="3" t="s">
        <v>81</v>
      </c>
      <c r="AG220" s="3" t="s">
        <v>81</v>
      </c>
      <c r="AH220" s="3" t="s">
        <v>81</v>
      </c>
      <c r="AI220" s="3" t="s">
        <v>81</v>
      </c>
      <c r="AJ220" s="3" t="s">
        <v>81</v>
      </c>
      <c r="AK220" s="3" t="s">
        <v>81</v>
      </c>
      <c r="AL220" s="3" t="s">
        <v>81</v>
      </c>
      <c r="AM220" s="3">
        <v>49.372</v>
      </c>
      <c r="AN220" s="3">
        <v>0</v>
      </c>
      <c r="AO220" s="3" t="s">
        <v>81</v>
      </c>
      <c r="AP220" s="3" t="s">
        <v>81</v>
      </c>
      <c r="AQ220" s="3" t="s">
        <v>81</v>
      </c>
      <c r="AR220" s="3" t="s">
        <v>81</v>
      </c>
      <c r="AS220" s="3" t="s">
        <v>81</v>
      </c>
      <c r="AT220" s="3" t="s">
        <v>81</v>
      </c>
      <c r="AU220" s="3" t="s">
        <v>81</v>
      </c>
      <c r="AV220" s="3" t="s">
        <v>81</v>
      </c>
      <c r="AW220" s="3" t="s">
        <v>81</v>
      </c>
      <c r="AX220" s="3">
        <v>52.826000000000001</v>
      </c>
      <c r="AY220" s="3">
        <v>0</v>
      </c>
      <c r="AZ220" s="3" t="s">
        <v>81</v>
      </c>
      <c r="BA220" s="3" t="s">
        <v>81</v>
      </c>
      <c r="BB220" s="3" t="s">
        <v>81</v>
      </c>
      <c r="BC220" s="3" t="s">
        <v>81</v>
      </c>
      <c r="BD220" s="3" t="s">
        <v>81</v>
      </c>
      <c r="BE220" s="3" t="s">
        <v>81</v>
      </c>
      <c r="BF220" s="3" t="s">
        <v>81</v>
      </c>
      <c r="BG220" s="3" t="s">
        <v>81</v>
      </c>
      <c r="BH220" s="3" t="s">
        <v>81</v>
      </c>
      <c r="BI220" s="3" t="s">
        <v>84</v>
      </c>
      <c r="BJ220" s="3" t="s">
        <v>82</v>
      </c>
      <c r="BK220" s="3" t="s">
        <v>83</v>
      </c>
      <c r="BL220" s="3" t="s">
        <v>84</v>
      </c>
      <c r="BM220" s="3" t="s">
        <v>84</v>
      </c>
      <c r="BN220" s="3" t="s">
        <v>84</v>
      </c>
      <c r="BO220" s="3" t="s">
        <v>84</v>
      </c>
      <c r="BP220" s="3" t="s">
        <v>218</v>
      </c>
      <c r="BQ220" s="3" t="s">
        <v>218</v>
      </c>
      <c r="BR220" s="3" t="s">
        <v>417</v>
      </c>
      <c r="BS220" s="3" t="s">
        <v>418</v>
      </c>
      <c r="BT220" s="3" t="s">
        <v>87</v>
      </c>
      <c r="BU220" s="3" t="s">
        <v>98</v>
      </c>
      <c r="BV220" s="3" t="s">
        <v>82</v>
      </c>
      <c r="BW220" s="3" t="s">
        <v>91</v>
      </c>
      <c r="BX220" s="3" t="s">
        <v>82</v>
      </c>
      <c r="BY220" s="3" t="s">
        <v>419</v>
      </c>
      <c r="BZ220" s="3" t="s">
        <v>86</v>
      </c>
      <c r="CB220" s="3" t="s">
        <v>84</v>
      </c>
      <c r="CD220" s="9">
        <v>27</v>
      </c>
      <c r="CI220" s="4"/>
    </row>
    <row r="221" spans="1:87" ht="13" hidden="1" x14ac:dyDescent="0.15">
      <c r="A221" s="3">
        <v>1228323186</v>
      </c>
      <c r="B221" s="3" t="s">
        <v>462</v>
      </c>
      <c r="C221" s="3" t="s">
        <v>462</v>
      </c>
      <c r="D221" s="3">
        <v>10</v>
      </c>
      <c r="E221" s="3">
        <v>10</v>
      </c>
      <c r="F221" s="3">
        <v>17.917000000000002</v>
      </c>
      <c r="G221" s="3">
        <v>0</v>
      </c>
      <c r="H221" s="3" t="s">
        <v>81</v>
      </c>
      <c r="I221" s="3" t="s">
        <v>81</v>
      </c>
      <c r="J221" s="3" t="s">
        <v>81</v>
      </c>
      <c r="K221" s="3" t="s">
        <v>81</v>
      </c>
      <c r="L221" s="3" t="s">
        <v>81</v>
      </c>
      <c r="M221" s="3" t="s">
        <v>81</v>
      </c>
      <c r="N221" s="3" t="s">
        <v>81</v>
      </c>
      <c r="O221" s="3" t="s">
        <v>81</v>
      </c>
      <c r="P221" s="3" t="s">
        <v>81</v>
      </c>
      <c r="Q221" s="3">
        <v>21.521999999999998</v>
      </c>
      <c r="R221" s="3">
        <v>0</v>
      </c>
      <c r="S221" s="3" t="s">
        <v>81</v>
      </c>
      <c r="T221" s="3" t="s">
        <v>81</v>
      </c>
      <c r="U221" s="3" t="s">
        <v>81</v>
      </c>
      <c r="V221" s="3" t="s">
        <v>81</v>
      </c>
      <c r="W221" s="3" t="s">
        <v>81</v>
      </c>
      <c r="X221" s="3" t="s">
        <v>81</v>
      </c>
      <c r="Y221" s="3" t="s">
        <v>81</v>
      </c>
      <c r="Z221" s="3" t="s">
        <v>81</v>
      </c>
      <c r="AA221" s="3" t="s">
        <v>81</v>
      </c>
      <c r="AB221" s="3">
        <v>22.454000000000001</v>
      </c>
      <c r="AC221" s="3">
        <v>0</v>
      </c>
      <c r="AD221" s="3" t="s">
        <v>81</v>
      </c>
      <c r="AE221" s="3" t="s">
        <v>81</v>
      </c>
      <c r="AF221" s="3" t="s">
        <v>81</v>
      </c>
      <c r="AG221" s="3" t="s">
        <v>81</v>
      </c>
      <c r="AH221" s="3" t="s">
        <v>81</v>
      </c>
      <c r="AI221" s="3" t="s">
        <v>81</v>
      </c>
      <c r="AJ221" s="3" t="s">
        <v>81</v>
      </c>
      <c r="AK221" s="3" t="s">
        <v>81</v>
      </c>
      <c r="AL221" s="3" t="s">
        <v>81</v>
      </c>
      <c r="AM221" s="3">
        <v>18.157</v>
      </c>
      <c r="AN221" s="3">
        <v>0</v>
      </c>
      <c r="AO221" s="3" t="s">
        <v>81</v>
      </c>
      <c r="AP221" s="3" t="s">
        <v>81</v>
      </c>
      <c r="AQ221" s="3" t="s">
        <v>81</v>
      </c>
      <c r="AR221" s="3" t="s">
        <v>81</v>
      </c>
      <c r="AS221" s="3" t="s">
        <v>81</v>
      </c>
      <c r="AT221" s="3" t="s">
        <v>81</v>
      </c>
      <c r="AU221" s="3" t="s">
        <v>81</v>
      </c>
      <c r="AV221" s="3" t="s">
        <v>81</v>
      </c>
      <c r="AW221" s="3" t="s">
        <v>81</v>
      </c>
      <c r="AX221" s="3">
        <v>20.532</v>
      </c>
      <c r="AY221" s="3">
        <v>0</v>
      </c>
      <c r="AZ221" s="3" t="s">
        <v>81</v>
      </c>
      <c r="BA221" s="3" t="s">
        <v>81</v>
      </c>
      <c r="BB221" s="3" t="s">
        <v>81</v>
      </c>
      <c r="BC221" s="3" t="s">
        <v>81</v>
      </c>
      <c r="BD221" s="3" t="s">
        <v>81</v>
      </c>
      <c r="BE221" s="3" t="s">
        <v>81</v>
      </c>
      <c r="BF221" s="3" t="s">
        <v>81</v>
      </c>
      <c r="BG221" s="3" t="s">
        <v>81</v>
      </c>
      <c r="BH221" s="3" t="s">
        <v>81</v>
      </c>
      <c r="BI221" s="3" t="s">
        <v>84</v>
      </c>
      <c r="BJ221" s="3" t="s">
        <v>82</v>
      </c>
      <c r="BK221" s="3" t="s">
        <v>83</v>
      </c>
      <c r="BL221" s="3" t="s">
        <v>84</v>
      </c>
      <c r="BM221" s="3" t="s">
        <v>84</v>
      </c>
      <c r="BN221" s="3" t="s">
        <v>84</v>
      </c>
      <c r="BO221" s="3" t="s">
        <v>82</v>
      </c>
      <c r="BP221" s="3" t="s">
        <v>87</v>
      </c>
      <c r="BQ221" s="3" t="s">
        <v>87</v>
      </c>
      <c r="BR221" s="3" t="s">
        <v>87</v>
      </c>
      <c r="BS221" s="3" t="s">
        <v>87</v>
      </c>
      <c r="BT221" s="3" t="s">
        <v>87</v>
      </c>
      <c r="BU221" s="3" t="s">
        <v>81</v>
      </c>
      <c r="BV221" s="3" t="s">
        <v>84</v>
      </c>
      <c r="BW221" s="3" t="s">
        <v>83</v>
      </c>
      <c r="BX221" s="3" t="s">
        <v>82</v>
      </c>
      <c r="BY221" s="3"/>
      <c r="BZ221" s="3" t="s">
        <v>93</v>
      </c>
      <c r="CA221" s="3"/>
      <c r="CB221" s="3"/>
      <c r="CC221" s="3"/>
      <c r="CD221" s="9">
        <v>9</v>
      </c>
      <c r="CE221" s="9"/>
      <c r="CF221" s="9"/>
      <c r="CG221" s="6"/>
      <c r="CH221" s="6"/>
    </row>
    <row r="222" spans="1:87" ht="13" hidden="1" x14ac:dyDescent="0.15">
      <c r="A222" s="3">
        <v>1228435605</v>
      </c>
      <c r="B222" s="3" t="s">
        <v>462</v>
      </c>
      <c r="C222" s="3" t="s">
        <v>462</v>
      </c>
      <c r="D222" s="3" t="s">
        <v>81</v>
      </c>
      <c r="E222" s="3">
        <v>27</v>
      </c>
      <c r="F222" s="3">
        <v>18.145</v>
      </c>
      <c r="G222" s="3">
        <v>0</v>
      </c>
      <c r="H222" s="3" t="s">
        <v>81</v>
      </c>
      <c r="I222" s="3" t="s">
        <v>81</v>
      </c>
      <c r="J222" s="3" t="s">
        <v>81</v>
      </c>
      <c r="K222" s="3" t="s">
        <v>81</v>
      </c>
      <c r="L222" s="3" t="s">
        <v>81</v>
      </c>
      <c r="M222" s="3" t="s">
        <v>81</v>
      </c>
      <c r="N222" s="3" t="s">
        <v>81</v>
      </c>
      <c r="O222" s="3" t="s">
        <v>81</v>
      </c>
      <c r="P222" s="3" t="s">
        <v>81</v>
      </c>
      <c r="Q222" s="3">
        <v>18.135999999999999</v>
      </c>
      <c r="R222" s="3">
        <v>0</v>
      </c>
      <c r="S222" s="3" t="s">
        <v>81</v>
      </c>
      <c r="T222" s="3" t="s">
        <v>81</v>
      </c>
      <c r="U222" s="3" t="s">
        <v>81</v>
      </c>
      <c r="V222" s="3" t="s">
        <v>81</v>
      </c>
      <c r="W222" s="3" t="s">
        <v>81</v>
      </c>
      <c r="X222" s="3" t="s">
        <v>81</v>
      </c>
      <c r="Y222" s="3" t="s">
        <v>81</v>
      </c>
      <c r="Z222" s="3" t="s">
        <v>81</v>
      </c>
      <c r="AA222" s="3" t="s">
        <v>81</v>
      </c>
      <c r="AB222" s="3">
        <v>12.88</v>
      </c>
      <c r="AC222" s="3">
        <v>0</v>
      </c>
      <c r="AD222" s="3" t="s">
        <v>81</v>
      </c>
      <c r="AE222" s="3" t="s">
        <v>81</v>
      </c>
      <c r="AF222" s="3" t="s">
        <v>81</v>
      </c>
      <c r="AG222" s="3" t="s">
        <v>81</v>
      </c>
      <c r="AH222" s="3" t="s">
        <v>81</v>
      </c>
      <c r="AI222" s="3" t="s">
        <v>81</v>
      </c>
      <c r="AJ222" s="3" t="s">
        <v>81</v>
      </c>
      <c r="AK222" s="3" t="s">
        <v>81</v>
      </c>
      <c r="AL222" s="3" t="s">
        <v>81</v>
      </c>
      <c r="AM222" s="3">
        <v>15.25</v>
      </c>
      <c r="AN222" s="3">
        <v>0</v>
      </c>
      <c r="AO222" s="3" t="s">
        <v>81</v>
      </c>
      <c r="AP222" s="3" t="s">
        <v>81</v>
      </c>
      <c r="AQ222" s="3" t="s">
        <v>81</v>
      </c>
      <c r="AR222" s="3" t="s">
        <v>81</v>
      </c>
      <c r="AS222" s="3" t="s">
        <v>81</v>
      </c>
      <c r="AT222" s="3" t="s">
        <v>81</v>
      </c>
      <c r="AU222" s="3" t="s">
        <v>81</v>
      </c>
      <c r="AV222" s="3" t="s">
        <v>81</v>
      </c>
      <c r="AW222" s="3" t="s">
        <v>81</v>
      </c>
      <c r="AX222" s="3">
        <v>17.997</v>
      </c>
      <c r="AY222" s="3">
        <v>0</v>
      </c>
      <c r="AZ222" s="3" t="s">
        <v>81</v>
      </c>
      <c r="BA222" s="3" t="s">
        <v>81</v>
      </c>
      <c r="BB222" s="3" t="s">
        <v>81</v>
      </c>
      <c r="BC222" s="3" t="s">
        <v>81</v>
      </c>
      <c r="BD222" s="3" t="s">
        <v>81</v>
      </c>
      <c r="BE222" s="3" t="s">
        <v>81</v>
      </c>
      <c r="BF222" s="3" t="s">
        <v>81</v>
      </c>
      <c r="BG222" s="3" t="s">
        <v>81</v>
      </c>
      <c r="BH222" s="3" t="s">
        <v>81</v>
      </c>
      <c r="BI222" s="3" t="s">
        <v>84</v>
      </c>
      <c r="BJ222" s="3" t="s">
        <v>82</v>
      </c>
      <c r="BK222" s="3" t="s">
        <v>83</v>
      </c>
      <c r="BL222" s="3" t="s">
        <v>84</v>
      </c>
      <c r="BM222" s="3" t="s">
        <v>82</v>
      </c>
      <c r="BN222" s="3" t="s">
        <v>84</v>
      </c>
      <c r="BO222" s="3" t="s">
        <v>82</v>
      </c>
      <c r="BP222" s="3" t="s">
        <v>463</v>
      </c>
      <c r="BQ222" s="3" t="s">
        <v>463</v>
      </c>
      <c r="BR222" s="3" t="s">
        <v>463</v>
      </c>
      <c r="BS222" s="3" t="s">
        <v>463</v>
      </c>
      <c r="BT222" s="3" t="s">
        <v>85</v>
      </c>
      <c r="BU222" s="3" t="s">
        <v>81</v>
      </c>
      <c r="BV222" s="3" t="s">
        <v>82</v>
      </c>
      <c r="BW222" s="3" t="s">
        <v>111</v>
      </c>
      <c r="BX222" s="3" t="s">
        <v>82</v>
      </c>
      <c r="BY222" s="3" t="s">
        <v>252</v>
      </c>
      <c r="BZ222" s="3" t="s">
        <v>93</v>
      </c>
      <c r="CD222" s="9">
        <v>28</v>
      </c>
      <c r="CE222" s="9"/>
      <c r="CF222" s="9"/>
    </row>
    <row r="223" spans="1:87" ht="13" hidden="1" x14ac:dyDescent="0.15">
      <c r="A223" s="3">
        <v>1228585393</v>
      </c>
      <c r="B223" s="3" t="s">
        <v>462</v>
      </c>
      <c r="C223" s="3" t="s">
        <v>462</v>
      </c>
      <c r="D223" s="3">
        <v>19</v>
      </c>
      <c r="E223" s="3">
        <v>38</v>
      </c>
      <c r="F223" s="3">
        <v>37.454000000000001</v>
      </c>
      <c r="G223" s="3">
        <v>0</v>
      </c>
      <c r="H223" s="3" t="s">
        <v>81</v>
      </c>
      <c r="I223" s="3" t="s">
        <v>81</v>
      </c>
      <c r="J223" s="3" t="s">
        <v>81</v>
      </c>
      <c r="K223" s="3" t="s">
        <v>81</v>
      </c>
      <c r="L223" s="3" t="s">
        <v>81</v>
      </c>
      <c r="M223" s="3" t="s">
        <v>81</v>
      </c>
      <c r="N223" s="3" t="s">
        <v>81</v>
      </c>
      <c r="O223" s="3" t="s">
        <v>81</v>
      </c>
      <c r="P223" s="3" t="s">
        <v>81</v>
      </c>
      <c r="Q223" s="3">
        <v>44.853000000000002</v>
      </c>
      <c r="R223" s="3">
        <v>0</v>
      </c>
      <c r="S223" s="3" t="s">
        <v>81</v>
      </c>
      <c r="T223" s="3" t="s">
        <v>81</v>
      </c>
      <c r="U223" s="3" t="s">
        <v>81</v>
      </c>
      <c r="V223" s="3" t="s">
        <v>81</v>
      </c>
      <c r="W223" s="3" t="s">
        <v>81</v>
      </c>
      <c r="X223" s="3" t="s">
        <v>81</v>
      </c>
      <c r="Y223" s="3" t="s">
        <v>81</v>
      </c>
      <c r="Z223" s="3" t="s">
        <v>81</v>
      </c>
      <c r="AA223" s="3" t="s">
        <v>81</v>
      </c>
      <c r="AB223" s="3">
        <v>46.652999999999999</v>
      </c>
      <c r="AC223" s="3">
        <v>0</v>
      </c>
      <c r="AD223" s="3" t="s">
        <v>81</v>
      </c>
      <c r="AE223" s="3" t="s">
        <v>81</v>
      </c>
      <c r="AF223" s="3" t="s">
        <v>81</v>
      </c>
      <c r="AG223" s="3" t="s">
        <v>81</v>
      </c>
      <c r="AH223" s="3" t="s">
        <v>81</v>
      </c>
      <c r="AI223" s="3" t="s">
        <v>81</v>
      </c>
      <c r="AJ223" s="3" t="s">
        <v>81</v>
      </c>
      <c r="AK223" s="3" t="s">
        <v>81</v>
      </c>
      <c r="AL223" s="3" t="s">
        <v>81</v>
      </c>
      <c r="AM223" s="3">
        <v>34.091999999999999</v>
      </c>
      <c r="AN223" s="3">
        <v>0</v>
      </c>
      <c r="AO223" s="3" t="s">
        <v>81</v>
      </c>
      <c r="AP223" s="3" t="s">
        <v>81</v>
      </c>
      <c r="AQ223" s="3" t="s">
        <v>81</v>
      </c>
      <c r="AR223" s="3" t="s">
        <v>81</v>
      </c>
      <c r="AS223" s="3" t="s">
        <v>81</v>
      </c>
      <c r="AT223" s="3" t="s">
        <v>81</v>
      </c>
      <c r="AU223" s="3" t="s">
        <v>81</v>
      </c>
      <c r="AV223" s="3" t="s">
        <v>81</v>
      </c>
      <c r="AW223" s="3" t="s">
        <v>81</v>
      </c>
      <c r="AX223" s="3">
        <v>40.159999999999997</v>
      </c>
      <c r="AY223" s="3">
        <v>0</v>
      </c>
      <c r="AZ223" s="3" t="s">
        <v>81</v>
      </c>
      <c r="BA223" s="3" t="s">
        <v>81</v>
      </c>
      <c r="BB223" s="3" t="s">
        <v>81</v>
      </c>
      <c r="BC223" s="3" t="s">
        <v>81</v>
      </c>
      <c r="BD223" s="3" t="s">
        <v>81</v>
      </c>
      <c r="BE223" s="3" t="s">
        <v>81</v>
      </c>
      <c r="BF223" s="3" t="s">
        <v>81</v>
      </c>
      <c r="BG223" s="3" t="s">
        <v>81</v>
      </c>
      <c r="BH223" s="3" t="s">
        <v>81</v>
      </c>
      <c r="BI223" s="3" t="s">
        <v>84</v>
      </c>
      <c r="BJ223" s="3" t="s">
        <v>84</v>
      </c>
      <c r="BK223" s="3" t="s">
        <v>84</v>
      </c>
      <c r="BL223" s="3" t="s">
        <v>82</v>
      </c>
      <c r="BM223" s="3" t="s">
        <v>83</v>
      </c>
      <c r="BN223" s="3" t="s">
        <v>82</v>
      </c>
      <c r="BO223" s="3" t="s">
        <v>82</v>
      </c>
      <c r="BP223" s="3" t="s">
        <v>87</v>
      </c>
      <c r="BQ223" s="3" t="s">
        <v>87</v>
      </c>
      <c r="BR223" s="3" t="s">
        <v>87</v>
      </c>
      <c r="BS223" s="3" t="s">
        <v>87</v>
      </c>
      <c r="BT223" s="3" t="s">
        <v>87</v>
      </c>
      <c r="BU223" s="3" t="s">
        <v>81</v>
      </c>
      <c r="BV223" s="3" t="s">
        <v>84</v>
      </c>
      <c r="BW223" s="3" t="s">
        <v>83</v>
      </c>
      <c r="BX223" s="3" t="s">
        <v>82</v>
      </c>
      <c r="BY223" s="3" t="s">
        <v>464</v>
      </c>
      <c r="BZ223" s="3" t="s">
        <v>93</v>
      </c>
      <c r="CD223" s="9">
        <v>38</v>
      </c>
      <c r="CE223" s="9">
        <v>44</v>
      </c>
      <c r="CF223" s="9"/>
    </row>
    <row r="224" spans="1:87" ht="13" hidden="1" x14ac:dyDescent="0.15">
      <c r="A224" s="3">
        <v>1228386723</v>
      </c>
      <c r="B224" s="3" t="s">
        <v>465</v>
      </c>
      <c r="C224" s="3" t="s">
        <v>465</v>
      </c>
      <c r="D224" s="3">
        <v>7</v>
      </c>
      <c r="E224" s="3">
        <v>40</v>
      </c>
      <c r="F224" s="3">
        <v>75.69</v>
      </c>
      <c r="G224" s="3">
        <v>0</v>
      </c>
      <c r="H224" s="3" t="s">
        <v>81</v>
      </c>
      <c r="I224" s="3" t="s">
        <v>81</v>
      </c>
      <c r="J224" s="3" t="s">
        <v>81</v>
      </c>
      <c r="K224" s="3" t="s">
        <v>81</v>
      </c>
      <c r="L224" s="3" t="s">
        <v>81</v>
      </c>
      <c r="M224" s="3" t="s">
        <v>81</v>
      </c>
      <c r="N224" s="3" t="s">
        <v>81</v>
      </c>
      <c r="O224" s="3" t="s">
        <v>81</v>
      </c>
      <c r="P224" s="3" t="s">
        <v>81</v>
      </c>
      <c r="Q224" s="3">
        <v>72.587999999999994</v>
      </c>
      <c r="R224" s="3">
        <v>0</v>
      </c>
      <c r="S224" s="3" t="s">
        <v>81</v>
      </c>
      <c r="T224" s="3" t="s">
        <v>81</v>
      </c>
      <c r="U224" s="3" t="s">
        <v>81</v>
      </c>
      <c r="V224" s="3" t="s">
        <v>81</v>
      </c>
      <c r="W224" s="3" t="s">
        <v>81</v>
      </c>
      <c r="X224" s="3" t="s">
        <v>81</v>
      </c>
      <c r="Y224" s="3" t="s">
        <v>81</v>
      </c>
      <c r="Z224" s="3" t="s">
        <v>81</v>
      </c>
      <c r="AA224" s="3" t="s">
        <v>81</v>
      </c>
      <c r="AB224" s="3">
        <v>73.926000000000002</v>
      </c>
      <c r="AC224" s="3">
        <v>0</v>
      </c>
      <c r="AD224" s="3" t="s">
        <v>81</v>
      </c>
      <c r="AE224" s="3" t="s">
        <v>81</v>
      </c>
      <c r="AF224" s="3" t="s">
        <v>81</v>
      </c>
      <c r="AG224" s="3" t="s">
        <v>81</v>
      </c>
      <c r="AH224" s="3" t="s">
        <v>81</v>
      </c>
      <c r="AI224" s="3" t="s">
        <v>81</v>
      </c>
      <c r="AJ224" s="3" t="s">
        <v>81</v>
      </c>
      <c r="AK224" s="3" t="s">
        <v>81</v>
      </c>
      <c r="AL224" s="3" t="s">
        <v>81</v>
      </c>
      <c r="AM224" s="3">
        <v>68.408000000000001</v>
      </c>
      <c r="AN224" s="3">
        <v>0</v>
      </c>
      <c r="AO224" s="3" t="s">
        <v>81</v>
      </c>
      <c r="AP224" s="3" t="s">
        <v>81</v>
      </c>
      <c r="AQ224" s="3" t="s">
        <v>81</v>
      </c>
      <c r="AR224" s="3" t="s">
        <v>81</v>
      </c>
      <c r="AS224" s="3" t="s">
        <v>81</v>
      </c>
      <c r="AT224" s="3" t="s">
        <v>81</v>
      </c>
      <c r="AU224" s="3" t="s">
        <v>81</v>
      </c>
      <c r="AV224" s="3" t="s">
        <v>81</v>
      </c>
      <c r="AW224" s="3" t="s">
        <v>81</v>
      </c>
      <c r="AX224" s="3">
        <v>70.771000000000001</v>
      </c>
      <c r="AY224" s="3">
        <v>0</v>
      </c>
      <c r="AZ224" s="3" t="s">
        <v>81</v>
      </c>
      <c r="BA224" s="3" t="s">
        <v>81</v>
      </c>
      <c r="BB224" s="3" t="s">
        <v>81</v>
      </c>
      <c r="BC224" s="3" t="s">
        <v>81</v>
      </c>
      <c r="BD224" s="3" t="s">
        <v>81</v>
      </c>
      <c r="BE224" s="3" t="s">
        <v>81</v>
      </c>
      <c r="BF224" s="3" t="s">
        <v>81</v>
      </c>
      <c r="BG224" s="3" t="s">
        <v>81</v>
      </c>
      <c r="BH224" s="3" t="s">
        <v>81</v>
      </c>
      <c r="BI224" s="3" t="s">
        <v>82</v>
      </c>
      <c r="BJ224" s="3" t="s">
        <v>84</v>
      </c>
      <c r="BK224" s="3" t="s">
        <v>84</v>
      </c>
      <c r="BL224" s="3" t="s">
        <v>82</v>
      </c>
      <c r="BM224" s="3" t="s">
        <v>83</v>
      </c>
      <c r="BN224" s="3" t="s">
        <v>82</v>
      </c>
      <c r="BO224" s="3" t="s">
        <v>84</v>
      </c>
      <c r="BP224" s="3" t="s">
        <v>106</v>
      </c>
      <c r="BQ224" s="3" t="s">
        <v>106</v>
      </c>
      <c r="BR224" s="3" t="s">
        <v>129</v>
      </c>
      <c r="BS224" s="3" t="s">
        <v>212</v>
      </c>
      <c r="BT224" s="3" t="s">
        <v>106</v>
      </c>
      <c r="BU224" s="3" t="s">
        <v>129</v>
      </c>
      <c r="BV224" s="3" t="s">
        <v>83</v>
      </c>
      <c r="BW224" s="3" t="s">
        <v>83</v>
      </c>
      <c r="BX224" s="3" t="s">
        <v>83</v>
      </c>
      <c r="BY224" s="3" t="s">
        <v>466</v>
      </c>
      <c r="BZ224" s="3" t="s">
        <v>93</v>
      </c>
      <c r="CA224" s="3" t="s">
        <v>232</v>
      </c>
      <c r="CD224" s="9">
        <v>40</v>
      </c>
      <c r="CE224" s="9"/>
      <c r="CF224" s="9"/>
    </row>
    <row r="225" spans="1:87" ht="13" hidden="1" x14ac:dyDescent="0.15">
      <c r="A225" s="3">
        <v>1847928617</v>
      </c>
      <c r="B225" s="3" t="s">
        <v>465</v>
      </c>
      <c r="C225" s="3" t="s">
        <v>465</v>
      </c>
      <c r="D225" s="3">
        <v>6</v>
      </c>
      <c r="E225" s="3">
        <v>6</v>
      </c>
      <c r="F225" s="3">
        <v>28.864999999999998</v>
      </c>
      <c r="G225" s="3">
        <v>0</v>
      </c>
      <c r="H225" s="3" t="s">
        <v>81</v>
      </c>
      <c r="I225" s="3" t="s">
        <v>81</v>
      </c>
      <c r="J225" s="3" t="s">
        <v>81</v>
      </c>
      <c r="K225" s="3" t="s">
        <v>81</v>
      </c>
      <c r="L225" s="3" t="s">
        <v>81</v>
      </c>
      <c r="M225" s="3" t="s">
        <v>81</v>
      </c>
      <c r="N225" s="3" t="s">
        <v>81</v>
      </c>
      <c r="O225" s="3" t="s">
        <v>81</v>
      </c>
      <c r="P225" s="3" t="s">
        <v>81</v>
      </c>
      <c r="Q225" s="3">
        <v>33.28</v>
      </c>
      <c r="R225" s="3">
        <v>0</v>
      </c>
      <c r="S225" s="3" t="s">
        <v>81</v>
      </c>
      <c r="T225" s="3" t="s">
        <v>81</v>
      </c>
      <c r="U225" s="3" t="s">
        <v>81</v>
      </c>
      <c r="V225" s="3" t="s">
        <v>81</v>
      </c>
      <c r="W225" s="3" t="s">
        <v>81</v>
      </c>
      <c r="X225" s="3" t="s">
        <v>81</v>
      </c>
      <c r="Y225" s="3" t="s">
        <v>81</v>
      </c>
      <c r="Z225" s="3" t="s">
        <v>81</v>
      </c>
      <c r="AA225" s="3" t="s">
        <v>81</v>
      </c>
      <c r="AB225" s="3">
        <v>33.299999999999997</v>
      </c>
      <c r="AC225" s="3">
        <v>0</v>
      </c>
      <c r="AD225" s="3" t="s">
        <v>81</v>
      </c>
      <c r="AE225" s="3" t="s">
        <v>81</v>
      </c>
      <c r="AF225" s="3" t="s">
        <v>81</v>
      </c>
      <c r="AG225" s="3" t="s">
        <v>81</v>
      </c>
      <c r="AH225" s="3" t="s">
        <v>81</v>
      </c>
      <c r="AI225" s="3" t="s">
        <v>81</v>
      </c>
      <c r="AJ225" s="3" t="s">
        <v>81</v>
      </c>
      <c r="AK225" s="3" t="s">
        <v>81</v>
      </c>
      <c r="AL225" s="3" t="s">
        <v>81</v>
      </c>
      <c r="AM225" s="3">
        <v>32.136000000000003</v>
      </c>
      <c r="AN225" s="3">
        <v>0</v>
      </c>
      <c r="AO225" s="3" t="s">
        <v>81</v>
      </c>
      <c r="AP225" s="3" t="s">
        <v>81</v>
      </c>
      <c r="AQ225" s="3" t="s">
        <v>81</v>
      </c>
      <c r="AR225" s="3" t="s">
        <v>81</v>
      </c>
      <c r="AS225" s="3" t="s">
        <v>81</v>
      </c>
      <c r="AT225" s="3" t="s">
        <v>81</v>
      </c>
      <c r="AU225" s="3" t="s">
        <v>81</v>
      </c>
      <c r="AV225" s="3" t="s">
        <v>81</v>
      </c>
      <c r="AW225" s="3" t="s">
        <v>81</v>
      </c>
      <c r="AX225" s="3">
        <v>31.931000000000001</v>
      </c>
      <c r="AY225" s="3">
        <v>0</v>
      </c>
      <c r="AZ225" s="3" t="s">
        <v>81</v>
      </c>
      <c r="BA225" s="3" t="s">
        <v>81</v>
      </c>
      <c r="BB225" s="3" t="s">
        <v>81</v>
      </c>
      <c r="BC225" s="3" t="s">
        <v>81</v>
      </c>
      <c r="BD225" s="3" t="s">
        <v>81</v>
      </c>
      <c r="BE225" s="3" t="s">
        <v>81</v>
      </c>
      <c r="BF225" s="3" t="s">
        <v>81</v>
      </c>
      <c r="BG225" s="3" t="s">
        <v>81</v>
      </c>
      <c r="BH225" s="3" t="s">
        <v>81</v>
      </c>
      <c r="BI225" s="3" t="s">
        <v>82</v>
      </c>
      <c r="BJ225" s="3" t="s">
        <v>84</v>
      </c>
      <c r="BK225" s="3" t="s">
        <v>84</v>
      </c>
      <c r="BL225" s="3" t="s">
        <v>82</v>
      </c>
      <c r="BM225" s="3" t="s">
        <v>83</v>
      </c>
      <c r="BN225" s="3" t="s">
        <v>82</v>
      </c>
      <c r="BO225" s="3" t="s">
        <v>84</v>
      </c>
      <c r="BP225" s="3" t="s">
        <v>81</v>
      </c>
      <c r="BQ225" s="3" t="s">
        <v>81</v>
      </c>
      <c r="BR225" s="3" t="s">
        <v>81</v>
      </c>
      <c r="BS225" s="3" t="s">
        <v>81</v>
      </c>
      <c r="BT225" s="3" t="s">
        <v>81</v>
      </c>
      <c r="BU225" s="3" t="s">
        <v>81</v>
      </c>
      <c r="BV225" s="3" t="s">
        <v>84</v>
      </c>
      <c r="BW225" s="3" t="s">
        <v>83</v>
      </c>
      <c r="BX225" s="3" t="s">
        <v>82</v>
      </c>
      <c r="BY225" s="3" t="s">
        <v>467</v>
      </c>
      <c r="BZ225" s="3" t="s">
        <v>93</v>
      </c>
      <c r="CD225" s="9">
        <v>5</v>
      </c>
      <c r="CE225" s="9">
        <v>27</v>
      </c>
      <c r="CF225" s="9"/>
    </row>
    <row r="226" spans="1:87" ht="13" hidden="1" x14ac:dyDescent="0.15">
      <c r="A226" s="3">
        <v>2643397351</v>
      </c>
      <c r="B226" s="3" t="s">
        <v>465</v>
      </c>
      <c r="C226" s="3" t="s">
        <v>465</v>
      </c>
      <c r="D226" s="3">
        <v>8</v>
      </c>
      <c r="E226" s="3">
        <v>14</v>
      </c>
      <c r="F226" s="3">
        <v>36.101999999999997</v>
      </c>
      <c r="G226" s="3">
        <v>0</v>
      </c>
      <c r="H226" s="3" t="s">
        <v>81</v>
      </c>
      <c r="I226" s="3" t="s">
        <v>81</v>
      </c>
      <c r="J226" s="3" t="s">
        <v>81</v>
      </c>
      <c r="K226" s="3" t="s">
        <v>81</v>
      </c>
      <c r="L226" s="3" t="s">
        <v>81</v>
      </c>
      <c r="M226" s="3" t="s">
        <v>81</v>
      </c>
      <c r="N226" s="3" t="s">
        <v>81</v>
      </c>
      <c r="O226" s="3" t="s">
        <v>81</v>
      </c>
      <c r="P226" s="3" t="s">
        <v>81</v>
      </c>
      <c r="Q226" s="3">
        <v>39.759</v>
      </c>
      <c r="R226" s="3">
        <v>0</v>
      </c>
      <c r="S226" s="3" t="s">
        <v>81</v>
      </c>
      <c r="T226" s="3" t="s">
        <v>81</v>
      </c>
      <c r="U226" s="3" t="s">
        <v>81</v>
      </c>
      <c r="V226" s="3" t="s">
        <v>81</v>
      </c>
      <c r="W226" s="3" t="s">
        <v>81</v>
      </c>
      <c r="X226" s="3" t="s">
        <v>81</v>
      </c>
      <c r="Y226" s="3" t="s">
        <v>81</v>
      </c>
      <c r="Z226" s="3" t="s">
        <v>81</v>
      </c>
      <c r="AA226" s="3" t="s">
        <v>81</v>
      </c>
      <c r="AB226" s="3">
        <v>42.234000000000002</v>
      </c>
      <c r="AC226" s="3">
        <v>0</v>
      </c>
      <c r="AD226" s="3" t="s">
        <v>81</v>
      </c>
      <c r="AE226" s="3" t="s">
        <v>81</v>
      </c>
      <c r="AF226" s="3" t="s">
        <v>81</v>
      </c>
      <c r="AG226" s="3" t="s">
        <v>81</v>
      </c>
      <c r="AH226" s="3" t="s">
        <v>81</v>
      </c>
      <c r="AI226" s="3" t="s">
        <v>81</v>
      </c>
      <c r="AJ226" s="3" t="s">
        <v>81</v>
      </c>
      <c r="AK226" s="3" t="s">
        <v>81</v>
      </c>
      <c r="AL226" s="3" t="s">
        <v>81</v>
      </c>
      <c r="AM226" s="3">
        <v>40.814</v>
      </c>
      <c r="AN226" s="3">
        <v>0</v>
      </c>
      <c r="AO226" s="3" t="s">
        <v>81</v>
      </c>
      <c r="AP226" s="3" t="s">
        <v>81</v>
      </c>
      <c r="AQ226" s="3" t="s">
        <v>81</v>
      </c>
      <c r="AR226" s="3" t="s">
        <v>81</v>
      </c>
      <c r="AS226" s="3" t="s">
        <v>81</v>
      </c>
      <c r="AT226" s="3" t="s">
        <v>81</v>
      </c>
      <c r="AU226" s="3" t="s">
        <v>81</v>
      </c>
      <c r="AV226" s="3" t="s">
        <v>81</v>
      </c>
      <c r="AW226" s="3" t="s">
        <v>81</v>
      </c>
      <c r="AX226" s="3">
        <v>49.220999999999997</v>
      </c>
      <c r="AY226" s="3">
        <v>0</v>
      </c>
      <c r="AZ226" s="3" t="s">
        <v>81</v>
      </c>
      <c r="BA226" s="3" t="s">
        <v>81</v>
      </c>
      <c r="BB226" s="3" t="s">
        <v>81</v>
      </c>
      <c r="BC226" s="3" t="s">
        <v>81</v>
      </c>
      <c r="BD226" s="3" t="s">
        <v>81</v>
      </c>
      <c r="BE226" s="3" t="s">
        <v>81</v>
      </c>
      <c r="BF226" s="3" t="s">
        <v>81</v>
      </c>
      <c r="BG226" s="3" t="s">
        <v>81</v>
      </c>
      <c r="BH226" s="3" t="s">
        <v>81</v>
      </c>
      <c r="BI226" s="3" t="s">
        <v>84</v>
      </c>
      <c r="BJ226" s="3" t="s">
        <v>82</v>
      </c>
      <c r="BK226" s="3" t="s">
        <v>83</v>
      </c>
      <c r="BL226" s="3" t="s">
        <v>84</v>
      </c>
      <c r="BM226" s="3" t="s">
        <v>84</v>
      </c>
      <c r="BN226" s="3" t="s">
        <v>84</v>
      </c>
      <c r="BO226" s="3" t="s">
        <v>83</v>
      </c>
      <c r="BP226" s="3" t="s">
        <v>81</v>
      </c>
      <c r="BQ226" s="3" t="s">
        <v>81</v>
      </c>
      <c r="BR226" s="3" t="s">
        <v>81</v>
      </c>
      <c r="BS226" s="3" t="s">
        <v>81</v>
      </c>
      <c r="BT226" s="3" t="s">
        <v>81</v>
      </c>
      <c r="BU226" s="3" t="s">
        <v>81</v>
      </c>
      <c r="BV226" s="3" t="s">
        <v>84</v>
      </c>
      <c r="BW226" s="3" t="s">
        <v>83</v>
      </c>
      <c r="BX226" s="3" t="s">
        <v>82</v>
      </c>
      <c r="BY226" s="3" t="s">
        <v>468</v>
      </c>
      <c r="BZ226" s="3" t="s">
        <v>86</v>
      </c>
      <c r="CD226" s="9">
        <v>14</v>
      </c>
      <c r="CE226" s="9"/>
      <c r="CF226" s="9"/>
    </row>
    <row r="227" spans="1:87" ht="13" hidden="1" x14ac:dyDescent="0.15">
      <c r="A227" s="3">
        <v>2625896647</v>
      </c>
      <c r="B227" s="3" t="s">
        <v>465</v>
      </c>
      <c r="C227" s="3" t="s">
        <v>465</v>
      </c>
      <c r="D227" s="3">
        <v>9</v>
      </c>
      <c r="E227" s="3">
        <v>16</v>
      </c>
      <c r="F227" s="3">
        <v>37.076999999999998</v>
      </c>
      <c r="G227" s="3">
        <v>0</v>
      </c>
      <c r="H227" s="3" t="s">
        <v>81</v>
      </c>
      <c r="I227" s="3" t="s">
        <v>81</v>
      </c>
      <c r="J227" s="3" t="s">
        <v>81</v>
      </c>
      <c r="K227" s="3" t="s">
        <v>81</v>
      </c>
      <c r="L227" s="3" t="s">
        <v>81</v>
      </c>
      <c r="M227" s="3" t="s">
        <v>81</v>
      </c>
      <c r="N227" s="3" t="s">
        <v>81</v>
      </c>
      <c r="O227" s="3" t="s">
        <v>81</v>
      </c>
      <c r="P227" s="3" t="s">
        <v>81</v>
      </c>
      <c r="Q227" s="3">
        <v>33.201000000000001</v>
      </c>
      <c r="R227" s="3">
        <v>0</v>
      </c>
      <c r="S227" s="3" t="s">
        <v>81</v>
      </c>
      <c r="T227" s="3" t="s">
        <v>81</v>
      </c>
      <c r="U227" s="3" t="s">
        <v>81</v>
      </c>
      <c r="V227" s="3" t="s">
        <v>81</v>
      </c>
      <c r="W227" s="3" t="s">
        <v>81</v>
      </c>
      <c r="X227" s="3" t="s">
        <v>81</v>
      </c>
      <c r="Y227" s="3" t="s">
        <v>81</v>
      </c>
      <c r="Z227" s="3" t="s">
        <v>81</v>
      </c>
      <c r="AA227" s="3" t="s">
        <v>81</v>
      </c>
      <c r="AB227" s="3">
        <v>35.816000000000003</v>
      </c>
      <c r="AC227" s="3">
        <v>0</v>
      </c>
      <c r="AD227" s="3" t="s">
        <v>81</v>
      </c>
      <c r="AE227" s="3" t="s">
        <v>81</v>
      </c>
      <c r="AF227" s="3" t="s">
        <v>81</v>
      </c>
      <c r="AG227" s="3" t="s">
        <v>81</v>
      </c>
      <c r="AH227" s="3" t="s">
        <v>81</v>
      </c>
      <c r="AI227" s="3" t="s">
        <v>81</v>
      </c>
      <c r="AJ227" s="3" t="s">
        <v>81</v>
      </c>
      <c r="AK227" s="3" t="s">
        <v>81</v>
      </c>
      <c r="AL227" s="3" t="s">
        <v>81</v>
      </c>
      <c r="AM227" s="3">
        <v>30.164000000000001</v>
      </c>
      <c r="AN227" s="3">
        <v>0</v>
      </c>
      <c r="AO227" s="3" t="s">
        <v>81</v>
      </c>
      <c r="AP227" s="3" t="s">
        <v>81</v>
      </c>
      <c r="AQ227" s="3" t="s">
        <v>81</v>
      </c>
      <c r="AR227" s="3" t="s">
        <v>81</v>
      </c>
      <c r="AS227" s="3" t="s">
        <v>81</v>
      </c>
      <c r="AT227" s="3" t="s">
        <v>81</v>
      </c>
      <c r="AU227" s="3" t="s">
        <v>81</v>
      </c>
      <c r="AV227" s="3" t="s">
        <v>81</v>
      </c>
      <c r="AW227" s="3" t="s">
        <v>81</v>
      </c>
      <c r="AX227" s="3">
        <v>38.512999999999998</v>
      </c>
      <c r="AY227" s="3">
        <v>0</v>
      </c>
      <c r="AZ227" s="3" t="s">
        <v>81</v>
      </c>
      <c r="BA227" s="3" t="s">
        <v>81</v>
      </c>
      <c r="BB227" s="3" t="s">
        <v>81</v>
      </c>
      <c r="BC227" s="3" t="s">
        <v>81</v>
      </c>
      <c r="BD227" s="3" t="s">
        <v>81</v>
      </c>
      <c r="BE227" s="3" t="s">
        <v>81</v>
      </c>
      <c r="BF227" s="3" t="s">
        <v>81</v>
      </c>
      <c r="BG227" s="3" t="s">
        <v>81</v>
      </c>
      <c r="BH227" s="3" t="s">
        <v>81</v>
      </c>
      <c r="BI227" s="3" t="s">
        <v>82</v>
      </c>
      <c r="BJ227" s="3" t="s">
        <v>84</v>
      </c>
      <c r="BK227" s="3" t="s">
        <v>84</v>
      </c>
      <c r="BL227" s="3" t="s">
        <v>82</v>
      </c>
      <c r="BM227" s="3" t="s">
        <v>83</v>
      </c>
      <c r="BN227" s="3" t="s">
        <v>82</v>
      </c>
      <c r="BO227" s="3" t="s">
        <v>83</v>
      </c>
      <c r="BP227" s="3" t="s">
        <v>81</v>
      </c>
      <c r="BQ227" s="3" t="s">
        <v>81</v>
      </c>
      <c r="BR227" s="3" t="s">
        <v>81</v>
      </c>
      <c r="BS227" s="3" t="s">
        <v>81</v>
      </c>
      <c r="BT227" s="3" t="s">
        <v>81</v>
      </c>
      <c r="BU227" s="3" t="s">
        <v>81</v>
      </c>
      <c r="BV227" s="3" t="s">
        <v>84</v>
      </c>
      <c r="BW227" s="3" t="s">
        <v>83</v>
      </c>
      <c r="BX227" s="3" t="s">
        <v>82</v>
      </c>
      <c r="BY227" s="3" t="s">
        <v>467</v>
      </c>
      <c r="BZ227" s="3" t="s">
        <v>86</v>
      </c>
      <c r="CI227" s="5"/>
    </row>
    <row r="228" spans="1:87" ht="13" x14ac:dyDescent="0.15">
      <c r="A228" s="3">
        <v>2625916600</v>
      </c>
      <c r="B228" s="3" t="s">
        <v>413</v>
      </c>
      <c r="C228" s="3" t="s">
        <v>413</v>
      </c>
      <c r="D228" s="3">
        <v>15</v>
      </c>
      <c r="E228" s="3">
        <v>21</v>
      </c>
      <c r="F228" s="3">
        <v>48.841000000000001</v>
      </c>
      <c r="G228" s="3">
        <v>0</v>
      </c>
      <c r="H228" s="3" t="s">
        <v>81</v>
      </c>
      <c r="I228" s="3" t="s">
        <v>81</v>
      </c>
      <c r="J228" s="3" t="s">
        <v>81</v>
      </c>
      <c r="K228" s="3" t="s">
        <v>81</v>
      </c>
      <c r="L228" s="3" t="s">
        <v>81</v>
      </c>
      <c r="M228" s="3" t="s">
        <v>81</v>
      </c>
      <c r="N228" s="3" t="s">
        <v>81</v>
      </c>
      <c r="O228" s="3" t="s">
        <v>81</v>
      </c>
      <c r="P228" s="3" t="s">
        <v>81</v>
      </c>
      <c r="Q228" s="3">
        <v>44.231000000000002</v>
      </c>
      <c r="R228" s="3">
        <v>0</v>
      </c>
      <c r="S228" s="3" t="s">
        <v>81</v>
      </c>
      <c r="T228" s="3" t="s">
        <v>81</v>
      </c>
      <c r="U228" s="3" t="s">
        <v>81</v>
      </c>
      <c r="V228" s="3" t="s">
        <v>81</v>
      </c>
      <c r="W228" s="3" t="s">
        <v>81</v>
      </c>
      <c r="X228" s="3" t="s">
        <v>81</v>
      </c>
      <c r="Y228" s="3" t="s">
        <v>81</v>
      </c>
      <c r="Z228" s="3" t="s">
        <v>81</v>
      </c>
      <c r="AA228" s="3" t="s">
        <v>81</v>
      </c>
      <c r="AB228" s="3">
        <v>40.491</v>
      </c>
      <c r="AC228" s="3">
        <v>0</v>
      </c>
      <c r="AD228" s="3" t="s">
        <v>81</v>
      </c>
      <c r="AE228" s="3" t="s">
        <v>81</v>
      </c>
      <c r="AF228" s="3" t="s">
        <v>81</v>
      </c>
      <c r="AG228" s="3" t="s">
        <v>81</v>
      </c>
      <c r="AH228" s="3" t="s">
        <v>81</v>
      </c>
      <c r="AI228" s="3" t="s">
        <v>81</v>
      </c>
      <c r="AJ228" s="3" t="s">
        <v>81</v>
      </c>
      <c r="AK228" s="3" t="s">
        <v>81</v>
      </c>
      <c r="AL228" s="3" t="s">
        <v>81</v>
      </c>
      <c r="AM228" s="3">
        <v>35.935000000000002</v>
      </c>
      <c r="AN228" s="3">
        <v>0</v>
      </c>
      <c r="AO228" s="3" t="s">
        <v>81</v>
      </c>
      <c r="AP228" s="3" t="s">
        <v>81</v>
      </c>
      <c r="AQ228" s="3" t="s">
        <v>81</v>
      </c>
      <c r="AR228" s="3" t="s">
        <v>81</v>
      </c>
      <c r="AS228" s="3" t="s">
        <v>81</v>
      </c>
      <c r="AT228" s="3" t="s">
        <v>81</v>
      </c>
      <c r="AU228" s="3" t="s">
        <v>81</v>
      </c>
      <c r="AV228" s="3" t="s">
        <v>81</v>
      </c>
      <c r="AW228" s="3" t="s">
        <v>81</v>
      </c>
      <c r="AX228" s="3">
        <v>46.436999999999998</v>
      </c>
      <c r="AY228" s="3">
        <v>0</v>
      </c>
      <c r="AZ228" s="3" t="s">
        <v>81</v>
      </c>
      <c r="BA228" s="3" t="s">
        <v>81</v>
      </c>
      <c r="BB228" s="3" t="s">
        <v>81</v>
      </c>
      <c r="BC228" s="3" t="s">
        <v>81</v>
      </c>
      <c r="BD228" s="3" t="s">
        <v>81</v>
      </c>
      <c r="BE228" s="3" t="s">
        <v>81</v>
      </c>
      <c r="BF228" s="3" t="s">
        <v>81</v>
      </c>
      <c r="BG228" s="3" t="s">
        <v>81</v>
      </c>
      <c r="BH228" s="3" t="s">
        <v>81</v>
      </c>
      <c r="BI228" s="3" t="s">
        <v>84</v>
      </c>
      <c r="BJ228" s="3" t="s">
        <v>82</v>
      </c>
      <c r="BK228" s="3" t="s">
        <v>83</v>
      </c>
      <c r="BL228" s="3" t="s">
        <v>84</v>
      </c>
      <c r="BM228" s="3" t="s">
        <v>84</v>
      </c>
      <c r="BN228" s="3" t="s">
        <v>84</v>
      </c>
      <c r="BO228" s="3" t="s">
        <v>84</v>
      </c>
      <c r="BP228" s="3" t="s">
        <v>420</v>
      </c>
      <c r="BQ228" s="3" t="s">
        <v>420</v>
      </c>
      <c r="BR228" s="3" t="s">
        <v>421</v>
      </c>
      <c r="BS228" s="3" t="s">
        <v>422</v>
      </c>
      <c r="BT228" s="3" t="s">
        <v>98</v>
      </c>
      <c r="BU228" s="3" t="s">
        <v>87</v>
      </c>
      <c r="BV228" s="3" t="s">
        <v>82</v>
      </c>
      <c r="BW228" s="3" t="s">
        <v>91</v>
      </c>
      <c r="BX228" s="3" t="s">
        <v>82</v>
      </c>
      <c r="BZ228" s="3" t="s">
        <v>86</v>
      </c>
      <c r="CB228" s="3" t="s">
        <v>84</v>
      </c>
      <c r="CD228" s="9">
        <v>21</v>
      </c>
    </row>
    <row r="229" spans="1:87" ht="13" x14ac:dyDescent="0.15">
      <c r="A229" s="3">
        <v>2643317434</v>
      </c>
      <c r="B229" s="3" t="s">
        <v>413</v>
      </c>
      <c r="C229" s="3" t="s">
        <v>413</v>
      </c>
      <c r="D229" s="3" t="s">
        <v>81</v>
      </c>
      <c r="E229" s="3">
        <v>47</v>
      </c>
      <c r="F229" s="3">
        <v>47.024999999999999</v>
      </c>
      <c r="G229" s="3">
        <v>0</v>
      </c>
      <c r="H229" s="3" t="s">
        <v>81</v>
      </c>
      <c r="I229" s="3" t="s">
        <v>81</v>
      </c>
      <c r="J229" s="3" t="s">
        <v>81</v>
      </c>
      <c r="K229" s="3" t="s">
        <v>81</v>
      </c>
      <c r="L229" s="3" t="s">
        <v>81</v>
      </c>
      <c r="M229" s="3" t="s">
        <v>81</v>
      </c>
      <c r="N229" s="3" t="s">
        <v>81</v>
      </c>
      <c r="O229" s="3" t="s">
        <v>81</v>
      </c>
      <c r="P229" s="3" t="s">
        <v>81</v>
      </c>
      <c r="Q229" s="3">
        <v>47.256</v>
      </c>
      <c r="R229" s="3">
        <v>0</v>
      </c>
      <c r="S229" s="3" t="s">
        <v>81</v>
      </c>
      <c r="T229" s="3" t="s">
        <v>81</v>
      </c>
      <c r="U229" s="3" t="s">
        <v>81</v>
      </c>
      <c r="V229" s="3" t="s">
        <v>81</v>
      </c>
      <c r="W229" s="3" t="s">
        <v>81</v>
      </c>
      <c r="X229" s="3" t="s">
        <v>81</v>
      </c>
      <c r="Y229" s="3" t="s">
        <v>81</v>
      </c>
      <c r="Z229" s="3" t="s">
        <v>81</v>
      </c>
      <c r="AA229" s="3" t="s">
        <v>81</v>
      </c>
      <c r="AB229" s="3">
        <v>43.363999999999997</v>
      </c>
      <c r="AC229" s="3">
        <v>0</v>
      </c>
      <c r="AD229" s="3" t="s">
        <v>81</v>
      </c>
      <c r="AE229" s="3" t="s">
        <v>81</v>
      </c>
      <c r="AF229" s="3" t="s">
        <v>81</v>
      </c>
      <c r="AG229" s="3" t="s">
        <v>81</v>
      </c>
      <c r="AH229" s="3" t="s">
        <v>81</v>
      </c>
      <c r="AI229" s="3" t="s">
        <v>81</v>
      </c>
      <c r="AJ229" s="3" t="s">
        <v>81</v>
      </c>
      <c r="AK229" s="3" t="s">
        <v>81</v>
      </c>
      <c r="AL229" s="3" t="s">
        <v>81</v>
      </c>
      <c r="AM229" s="3">
        <v>50.164999999999999</v>
      </c>
      <c r="AN229" s="3">
        <v>0</v>
      </c>
      <c r="AO229" s="3" t="s">
        <v>81</v>
      </c>
      <c r="AP229" s="3" t="s">
        <v>81</v>
      </c>
      <c r="AQ229" s="3" t="s">
        <v>81</v>
      </c>
      <c r="AR229" s="3" t="s">
        <v>81</v>
      </c>
      <c r="AS229" s="3" t="s">
        <v>81</v>
      </c>
      <c r="AT229" s="3" t="s">
        <v>81</v>
      </c>
      <c r="AU229" s="3" t="s">
        <v>81</v>
      </c>
      <c r="AV229" s="3" t="s">
        <v>81</v>
      </c>
      <c r="AW229" s="3" t="s">
        <v>81</v>
      </c>
      <c r="AX229" s="3">
        <v>44.261000000000003</v>
      </c>
      <c r="AY229" s="3">
        <v>0</v>
      </c>
      <c r="AZ229" s="3" t="s">
        <v>81</v>
      </c>
      <c r="BA229" s="3" t="s">
        <v>81</v>
      </c>
      <c r="BB229" s="3" t="s">
        <v>81</v>
      </c>
      <c r="BC229" s="3" t="s">
        <v>81</v>
      </c>
      <c r="BD229" s="3" t="s">
        <v>81</v>
      </c>
      <c r="BE229" s="3" t="s">
        <v>81</v>
      </c>
      <c r="BF229" s="3" t="s">
        <v>81</v>
      </c>
      <c r="BG229" s="3" t="s">
        <v>81</v>
      </c>
      <c r="BH229" s="3" t="s">
        <v>81</v>
      </c>
      <c r="BI229" s="3" t="s">
        <v>84</v>
      </c>
      <c r="BJ229" s="3" t="s">
        <v>82</v>
      </c>
      <c r="BK229" s="3" t="s">
        <v>83</v>
      </c>
      <c r="BL229" s="3" t="s">
        <v>84</v>
      </c>
      <c r="BM229" s="3" t="s">
        <v>84</v>
      </c>
      <c r="BN229" s="3" t="s">
        <v>84</v>
      </c>
      <c r="BO229" s="3" t="s">
        <v>84</v>
      </c>
      <c r="BP229" s="3" t="s">
        <v>85</v>
      </c>
      <c r="BQ229" s="3" t="s">
        <v>85</v>
      </c>
      <c r="BR229" s="3" t="s">
        <v>423</v>
      </c>
      <c r="BS229" s="3" t="s">
        <v>424</v>
      </c>
      <c r="BT229" s="3" t="s">
        <v>85</v>
      </c>
      <c r="BU229" s="3" t="s">
        <v>98</v>
      </c>
      <c r="BV229" s="3" t="s">
        <v>82</v>
      </c>
      <c r="BW229" s="3" t="s">
        <v>91</v>
      </c>
      <c r="BX229" s="3" t="s">
        <v>82</v>
      </c>
      <c r="BY229" s="3" t="s">
        <v>425</v>
      </c>
      <c r="BZ229" s="3" t="s">
        <v>86</v>
      </c>
      <c r="CB229" s="3" t="s">
        <v>84</v>
      </c>
      <c r="CD229" s="9">
        <v>47</v>
      </c>
      <c r="CG229">
        <v>44</v>
      </c>
    </row>
    <row r="230" spans="1:87" ht="13" x14ac:dyDescent="0.15">
      <c r="A230" s="3">
        <v>1228553666</v>
      </c>
      <c r="B230" s="3" t="s">
        <v>492</v>
      </c>
      <c r="C230" s="3" t="s">
        <v>413</v>
      </c>
      <c r="D230" s="3">
        <v>13</v>
      </c>
      <c r="E230" s="3">
        <v>48</v>
      </c>
      <c r="F230" s="3">
        <v>92.066000000000003</v>
      </c>
      <c r="G230" s="3">
        <v>0</v>
      </c>
      <c r="H230" s="3" t="s">
        <v>81</v>
      </c>
      <c r="I230" s="3" t="s">
        <v>81</v>
      </c>
      <c r="J230" s="3" t="s">
        <v>81</v>
      </c>
      <c r="K230" s="3" t="s">
        <v>81</v>
      </c>
      <c r="L230" s="3" t="s">
        <v>81</v>
      </c>
      <c r="M230" s="3" t="s">
        <v>81</v>
      </c>
      <c r="N230" s="3" t="s">
        <v>81</v>
      </c>
      <c r="O230" s="3" t="s">
        <v>81</v>
      </c>
      <c r="P230" s="3" t="s">
        <v>81</v>
      </c>
      <c r="Q230" s="3">
        <v>80.150000000000006</v>
      </c>
      <c r="R230" s="3">
        <v>0</v>
      </c>
      <c r="S230" s="3" t="s">
        <v>81</v>
      </c>
      <c r="T230" s="3" t="s">
        <v>81</v>
      </c>
      <c r="U230" s="3" t="s">
        <v>81</v>
      </c>
      <c r="V230" s="3" t="s">
        <v>81</v>
      </c>
      <c r="W230" s="3" t="s">
        <v>81</v>
      </c>
      <c r="X230" s="3" t="s">
        <v>81</v>
      </c>
      <c r="Y230" s="3" t="s">
        <v>81</v>
      </c>
      <c r="Z230" s="3" t="s">
        <v>81</v>
      </c>
      <c r="AA230" s="3" t="s">
        <v>81</v>
      </c>
      <c r="AB230" s="3">
        <v>83.709000000000003</v>
      </c>
      <c r="AC230" s="3">
        <v>0</v>
      </c>
      <c r="AD230" s="3" t="s">
        <v>81</v>
      </c>
      <c r="AE230" s="3" t="s">
        <v>81</v>
      </c>
      <c r="AF230" s="3" t="s">
        <v>81</v>
      </c>
      <c r="AG230" s="3" t="s">
        <v>81</v>
      </c>
      <c r="AH230" s="3" t="s">
        <v>81</v>
      </c>
      <c r="AI230" s="3" t="s">
        <v>81</v>
      </c>
      <c r="AJ230" s="3" t="s">
        <v>81</v>
      </c>
      <c r="AK230" s="3" t="s">
        <v>81</v>
      </c>
      <c r="AL230" s="3" t="s">
        <v>81</v>
      </c>
      <c r="AM230" s="3">
        <v>79.507999999999996</v>
      </c>
      <c r="AN230" s="3">
        <v>0</v>
      </c>
      <c r="AO230" s="3" t="s">
        <v>81</v>
      </c>
      <c r="AP230" s="3" t="s">
        <v>81</v>
      </c>
      <c r="AQ230" s="3" t="s">
        <v>81</v>
      </c>
      <c r="AR230" s="3" t="s">
        <v>81</v>
      </c>
      <c r="AS230" s="3" t="s">
        <v>81</v>
      </c>
      <c r="AT230" s="3" t="s">
        <v>81</v>
      </c>
      <c r="AU230" s="3" t="s">
        <v>81</v>
      </c>
      <c r="AV230" s="3" t="s">
        <v>81</v>
      </c>
      <c r="AW230" s="3" t="s">
        <v>81</v>
      </c>
      <c r="AX230" s="3">
        <v>99.488</v>
      </c>
      <c r="AY230" s="3">
        <v>0</v>
      </c>
      <c r="AZ230" s="3" t="s">
        <v>81</v>
      </c>
      <c r="BA230" s="3" t="s">
        <v>81</v>
      </c>
      <c r="BB230" s="3" t="s">
        <v>81</v>
      </c>
      <c r="BC230" s="3" t="s">
        <v>81</v>
      </c>
      <c r="BD230" s="3" t="s">
        <v>81</v>
      </c>
      <c r="BE230" s="3" t="s">
        <v>81</v>
      </c>
      <c r="BF230" s="3" t="s">
        <v>81</v>
      </c>
      <c r="BG230" s="3" t="s">
        <v>81</v>
      </c>
      <c r="BH230" s="3" t="s">
        <v>81</v>
      </c>
      <c r="BI230" s="3" t="s">
        <v>84</v>
      </c>
      <c r="BJ230" s="3" t="s">
        <v>82</v>
      </c>
      <c r="BK230" s="3" t="s">
        <v>83</v>
      </c>
      <c r="BL230" s="3" t="s">
        <v>84</v>
      </c>
      <c r="BM230" s="3" t="s">
        <v>84</v>
      </c>
      <c r="BN230" s="3" t="s">
        <v>82</v>
      </c>
      <c r="BO230" s="3" t="s">
        <v>82</v>
      </c>
      <c r="BP230" s="3" t="s">
        <v>98</v>
      </c>
      <c r="BQ230" s="3" t="s">
        <v>98</v>
      </c>
      <c r="BR230" s="3" t="s">
        <v>98</v>
      </c>
      <c r="BS230" s="3" t="s">
        <v>98</v>
      </c>
      <c r="BT230" s="3" t="s">
        <v>98</v>
      </c>
      <c r="BU230" s="3" t="s">
        <v>81</v>
      </c>
      <c r="BV230" s="3" t="s">
        <v>82</v>
      </c>
      <c r="BW230" s="3" t="s">
        <v>91</v>
      </c>
      <c r="BX230" s="3" t="s">
        <v>82</v>
      </c>
      <c r="BY230" s="3"/>
      <c r="BZ230" s="3" t="s">
        <v>93</v>
      </c>
      <c r="CA230" s="3"/>
      <c r="CB230" s="3" t="s">
        <v>84</v>
      </c>
      <c r="CC230" s="3"/>
      <c r="CD230" s="9">
        <v>49</v>
      </c>
      <c r="CE230" s="3"/>
      <c r="CF230" s="6"/>
      <c r="CG230" s="6"/>
      <c r="CH230" s="6"/>
    </row>
    <row r="231" spans="1:87" ht="13" x14ac:dyDescent="0.15">
      <c r="A231" s="3">
        <v>2625876357</v>
      </c>
      <c r="B231" s="3" t="s">
        <v>492</v>
      </c>
      <c r="C231" s="3" t="s">
        <v>413</v>
      </c>
      <c r="D231" s="3" t="s">
        <v>81</v>
      </c>
      <c r="E231" s="3">
        <v>28</v>
      </c>
      <c r="F231" s="3">
        <v>44.792000000000002</v>
      </c>
      <c r="G231" s="3">
        <v>0</v>
      </c>
      <c r="H231" s="3" t="s">
        <v>81</v>
      </c>
      <c r="I231" s="3" t="s">
        <v>81</v>
      </c>
      <c r="J231" s="3" t="s">
        <v>81</v>
      </c>
      <c r="K231" s="3" t="s">
        <v>81</v>
      </c>
      <c r="L231" s="3" t="s">
        <v>81</v>
      </c>
      <c r="M231" s="3" t="s">
        <v>81</v>
      </c>
      <c r="N231" s="3" t="s">
        <v>81</v>
      </c>
      <c r="O231" s="3" t="s">
        <v>81</v>
      </c>
      <c r="P231" s="3" t="s">
        <v>81</v>
      </c>
      <c r="Q231" s="3">
        <v>38.646000000000001</v>
      </c>
      <c r="R231" s="3">
        <v>0</v>
      </c>
      <c r="S231" s="3" t="s">
        <v>81</v>
      </c>
      <c r="T231" s="3" t="s">
        <v>81</v>
      </c>
      <c r="U231" s="3" t="s">
        <v>81</v>
      </c>
      <c r="V231" s="3" t="s">
        <v>81</v>
      </c>
      <c r="W231" s="3" t="s">
        <v>81</v>
      </c>
      <c r="X231" s="3" t="s">
        <v>81</v>
      </c>
      <c r="Y231" s="3" t="s">
        <v>81</v>
      </c>
      <c r="Z231" s="3" t="s">
        <v>81</v>
      </c>
      <c r="AA231" s="3" t="s">
        <v>81</v>
      </c>
      <c r="AB231" s="3">
        <v>37.652000000000001</v>
      </c>
      <c r="AC231" s="3">
        <v>0</v>
      </c>
      <c r="AD231" s="3" t="s">
        <v>81</v>
      </c>
      <c r="AE231" s="3" t="s">
        <v>81</v>
      </c>
      <c r="AF231" s="3" t="s">
        <v>81</v>
      </c>
      <c r="AG231" s="3" t="s">
        <v>81</v>
      </c>
      <c r="AH231" s="3" t="s">
        <v>81</v>
      </c>
      <c r="AI231" s="3" t="s">
        <v>81</v>
      </c>
      <c r="AJ231" s="3" t="s">
        <v>81</v>
      </c>
      <c r="AK231" s="3" t="s">
        <v>81</v>
      </c>
      <c r="AL231" s="3" t="s">
        <v>81</v>
      </c>
      <c r="AM231" s="3">
        <v>37.243000000000002</v>
      </c>
      <c r="AN231" s="3">
        <v>0</v>
      </c>
      <c r="AO231" s="3" t="s">
        <v>81</v>
      </c>
      <c r="AP231" s="3" t="s">
        <v>81</v>
      </c>
      <c r="AQ231" s="3" t="s">
        <v>81</v>
      </c>
      <c r="AR231" s="3" t="s">
        <v>81</v>
      </c>
      <c r="AS231" s="3" t="s">
        <v>81</v>
      </c>
      <c r="AT231" s="3" t="s">
        <v>81</v>
      </c>
      <c r="AU231" s="3" t="s">
        <v>81</v>
      </c>
      <c r="AV231" s="3" t="s">
        <v>81</v>
      </c>
      <c r="AW231" s="3" t="s">
        <v>81</v>
      </c>
      <c r="AX231" s="3">
        <v>40.536999999999999</v>
      </c>
      <c r="AY231" s="3">
        <v>0</v>
      </c>
      <c r="AZ231" s="3" t="s">
        <v>81</v>
      </c>
      <c r="BA231" s="3" t="s">
        <v>81</v>
      </c>
      <c r="BB231" s="3" t="s">
        <v>81</v>
      </c>
      <c r="BC231" s="3" t="s">
        <v>81</v>
      </c>
      <c r="BD231" s="3" t="s">
        <v>81</v>
      </c>
      <c r="BE231" s="3" t="s">
        <v>81</v>
      </c>
      <c r="BF231" s="3" t="s">
        <v>81</v>
      </c>
      <c r="BG231" s="3" t="s">
        <v>81</v>
      </c>
      <c r="BH231" s="3" t="s">
        <v>81</v>
      </c>
      <c r="BI231" s="3" t="s">
        <v>82</v>
      </c>
      <c r="BJ231" s="3" t="s">
        <v>82</v>
      </c>
      <c r="BK231" s="3" t="s">
        <v>83</v>
      </c>
      <c r="BL231" s="3" t="s">
        <v>84</v>
      </c>
      <c r="BM231" s="3" t="s">
        <v>84</v>
      </c>
      <c r="BN231" s="3" t="s">
        <v>84</v>
      </c>
      <c r="BO231" s="3" t="s">
        <v>84</v>
      </c>
      <c r="BP231" s="3" t="s">
        <v>81</v>
      </c>
      <c r="BQ231" s="3" t="s">
        <v>81</v>
      </c>
      <c r="BR231" s="3" t="s">
        <v>81</v>
      </c>
      <c r="BS231" s="3" t="s">
        <v>81</v>
      </c>
      <c r="BT231" s="3" t="s">
        <v>81</v>
      </c>
      <c r="BU231" s="3" t="s">
        <v>81</v>
      </c>
      <c r="BV231" s="3" t="s">
        <v>82</v>
      </c>
      <c r="BW231" s="3" t="s">
        <v>91</v>
      </c>
      <c r="BX231" s="3" t="s">
        <v>82</v>
      </c>
      <c r="BY231" s="3" t="s">
        <v>493</v>
      </c>
      <c r="BZ231" s="3" t="s">
        <v>86</v>
      </c>
      <c r="CB231" s="3" t="s">
        <v>84</v>
      </c>
      <c r="CD231" s="9">
        <v>27</v>
      </c>
    </row>
    <row r="232" spans="1:87" ht="13" x14ac:dyDescent="0.15">
      <c r="A232" s="3">
        <v>2643321389</v>
      </c>
      <c r="B232" s="3" t="s">
        <v>492</v>
      </c>
      <c r="C232" s="3" t="s">
        <v>413</v>
      </c>
      <c r="D232" s="3">
        <v>9</v>
      </c>
      <c r="E232" s="3">
        <v>52</v>
      </c>
      <c r="F232" s="3">
        <v>87.778999999999996</v>
      </c>
      <c r="G232" s="3">
        <v>0</v>
      </c>
      <c r="H232" s="3" t="s">
        <v>81</v>
      </c>
      <c r="I232" s="3" t="s">
        <v>81</v>
      </c>
      <c r="J232" s="3" t="s">
        <v>81</v>
      </c>
      <c r="K232" s="3" t="s">
        <v>81</v>
      </c>
      <c r="L232" s="3" t="s">
        <v>81</v>
      </c>
      <c r="M232" s="3" t="s">
        <v>81</v>
      </c>
      <c r="N232" s="3" t="s">
        <v>81</v>
      </c>
      <c r="O232" s="3" t="s">
        <v>81</v>
      </c>
      <c r="P232" s="3" t="s">
        <v>81</v>
      </c>
      <c r="Q232" s="3">
        <v>91.26</v>
      </c>
      <c r="R232" s="3">
        <v>0</v>
      </c>
      <c r="S232" s="3" t="s">
        <v>81</v>
      </c>
      <c r="T232" s="3" t="s">
        <v>81</v>
      </c>
      <c r="U232" s="3" t="s">
        <v>81</v>
      </c>
      <c r="V232" s="3" t="s">
        <v>81</v>
      </c>
      <c r="W232" s="3" t="s">
        <v>81</v>
      </c>
      <c r="X232" s="3" t="s">
        <v>81</v>
      </c>
      <c r="Y232" s="3" t="s">
        <v>81</v>
      </c>
      <c r="Z232" s="3" t="s">
        <v>81</v>
      </c>
      <c r="AA232" s="3" t="s">
        <v>81</v>
      </c>
      <c r="AB232" s="3">
        <v>91.528999999999996</v>
      </c>
      <c r="AC232" s="3">
        <v>0</v>
      </c>
      <c r="AD232" s="3" t="s">
        <v>81</v>
      </c>
      <c r="AE232" s="3" t="s">
        <v>81</v>
      </c>
      <c r="AF232" s="3" t="s">
        <v>81</v>
      </c>
      <c r="AG232" s="3" t="s">
        <v>81</v>
      </c>
      <c r="AH232" s="3" t="s">
        <v>81</v>
      </c>
      <c r="AI232" s="3" t="s">
        <v>81</v>
      </c>
      <c r="AJ232" s="3" t="s">
        <v>81</v>
      </c>
      <c r="AK232" s="3" t="s">
        <v>81</v>
      </c>
      <c r="AL232" s="3" t="s">
        <v>81</v>
      </c>
      <c r="AM232" s="3">
        <v>74.703999999999994</v>
      </c>
      <c r="AN232" s="3">
        <v>0</v>
      </c>
      <c r="AO232" s="3" t="s">
        <v>81</v>
      </c>
      <c r="AP232" s="3" t="s">
        <v>81</v>
      </c>
      <c r="AQ232" s="3" t="s">
        <v>81</v>
      </c>
      <c r="AR232" s="3" t="s">
        <v>81</v>
      </c>
      <c r="AS232" s="3" t="s">
        <v>81</v>
      </c>
      <c r="AT232" s="3" t="s">
        <v>81</v>
      </c>
      <c r="AU232" s="3" t="s">
        <v>81</v>
      </c>
      <c r="AV232" s="3" t="s">
        <v>81</v>
      </c>
      <c r="AW232" s="3" t="s">
        <v>81</v>
      </c>
      <c r="AX232" s="3">
        <v>85.863</v>
      </c>
      <c r="AY232" s="3">
        <v>0</v>
      </c>
      <c r="AZ232" s="3" t="s">
        <v>81</v>
      </c>
      <c r="BA232" s="3" t="s">
        <v>81</v>
      </c>
      <c r="BB232" s="3" t="s">
        <v>81</v>
      </c>
      <c r="BC232" s="3" t="s">
        <v>81</v>
      </c>
      <c r="BD232" s="3" t="s">
        <v>81</v>
      </c>
      <c r="BE232" s="3" t="s">
        <v>81</v>
      </c>
      <c r="BF232" s="3" t="s">
        <v>81</v>
      </c>
      <c r="BG232" s="3" t="s">
        <v>81</v>
      </c>
      <c r="BH232" s="3" t="s">
        <v>81</v>
      </c>
      <c r="BI232" s="3" t="s">
        <v>84</v>
      </c>
      <c r="BJ232" s="3" t="s">
        <v>82</v>
      </c>
      <c r="BK232" s="3" t="s">
        <v>83</v>
      </c>
      <c r="BL232" s="3" t="s">
        <v>84</v>
      </c>
      <c r="BM232" s="3" t="s">
        <v>84</v>
      </c>
      <c r="BN232" s="3" t="s">
        <v>84</v>
      </c>
      <c r="BO232" s="3" t="s">
        <v>82</v>
      </c>
      <c r="BP232" s="3" t="s">
        <v>98</v>
      </c>
      <c r="BQ232" s="3" t="s">
        <v>98</v>
      </c>
      <c r="BR232" s="3" t="s">
        <v>98</v>
      </c>
      <c r="BS232" s="3" t="s">
        <v>98</v>
      </c>
      <c r="BT232" s="3" t="s">
        <v>98</v>
      </c>
      <c r="BU232" s="3" t="s">
        <v>81</v>
      </c>
      <c r="BV232" s="3" t="s">
        <v>82</v>
      </c>
      <c r="BW232" s="3" t="s">
        <v>91</v>
      </c>
      <c r="BX232" s="3" t="s">
        <v>82</v>
      </c>
      <c r="BZ232" s="3" t="s">
        <v>86</v>
      </c>
      <c r="CB232" s="3" t="s">
        <v>84</v>
      </c>
      <c r="CD232" s="9">
        <v>52</v>
      </c>
      <c r="CG232">
        <v>51</v>
      </c>
    </row>
    <row r="233" spans="1:87" ht="13" x14ac:dyDescent="0.15">
      <c r="A233" s="3">
        <v>2625915416</v>
      </c>
      <c r="B233" s="3" t="s">
        <v>426</v>
      </c>
      <c r="C233" s="3" t="s">
        <v>426</v>
      </c>
      <c r="D233" s="3" t="s">
        <v>81</v>
      </c>
      <c r="E233" s="3">
        <v>38</v>
      </c>
      <c r="F233" s="3">
        <v>47.984000000000002</v>
      </c>
      <c r="G233" s="3">
        <v>0</v>
      </c>
      <c r="H233" s="3" t="s">
        <v>81</v>
      </c>
      <c r="I233" s="3" t="s">
        <v>81</v>
      </c>
      <c r="J233" s="3" t="s">
        <v>81</v>
      </c>
      <c r="K233" s="3" t="s">
        <v>81</v>
      </c>
      <c r="L233" s="3" t="s">
        <v>81</v>
      </c>
      <c r="M233" s="3" t="s">
        <v>81</v>
      </c>
      <c r="N233" s="3" t="s">
        <v>81</v>
      </c>
      <c r="O233" s="3" t="s">
        <v>81</v>
      </c>
      <c r="P233" s="3" t="s">
        <v>81</v>
      </c>
      <c r="Q233" s="3">
        <v>45.939</v>
      </c>
      <c r="R233" s="3">
        <v>0</v>
      </c>
      <c r="S233" s="3" t="s">
        <v>81</v>
      </c>
      <c r="T233" s="3" t="s">
        <v>81</v>
      </c>
      <c r="U233" s="3" t="s">
        <v>81</v>
      </c>
      <c r="V233" s="3" t="s">
        <v>81</v>
      </c>
      <c r="W233" s="3" t="s">
        <v>81</v>
      </c>
      <c r="X233" s="3" t="s">
        <v>81</v>
      </c>
      <c r="Y233" s="3" t="s">
        <v>81</v>
      </c>
      <c r="Z233" s="3" t="s">
        <v>81</v>
      </c>
      <c r="AA233" s="3" t="s">
        <v>81</v>
      </c>
      <c r="AB233" s="3">
        <v>44.985999999999997</v>
      </c>
      <c r="AC233" s="3">
        <v>0</v>
      </c>
      <c r="AD233" s="3" t="s">
        <v>81</v>
      </c>
      <c r="AE233" s="3" t="s">
        <v>81</v>
      </c>
      <c r="AF233" s="3" t="s">
        <v>81</v>
      </c>
      <c r="AG233" s="3" t="s">
        <v>81</v>
      </c>
      <c r="AH233" s="3" t="s">
        <v>81</v>
      </c>
      <c r="AI233" s="3" t="s">
        <v>81</v>
      </c>
      <c r="AJ233" s="3" t="s">
        <v>81</v>
      </c>
      <c r="AK233" s="3" t="s">
        <v>81</v>
      </c>
      <c r="AL233" s="3" t="s">
        <v>81</v>
      </c>
      <c r="AM233" s="3">
        <v>42.874000000000002</v>
      </c>
      <c r="AN233" s="3">
        <v>0</v>
      </c>
      <c r="AO233" s="3" t="s">
        <v>81</v>
      </c>
      <c r="AP233" s="3" t="s">
        <v>81</v>
      </c>
      <c r="AQ233" s="3" t="s">
        <v>81</v>
      </c>
      <c r="AR233" s="3" t="s">
        <v>81</v>
      </c>
      <c r="AS233" s="3" t="s">
        <v>81</v>
      </c>
      <c r="AT233" s="3" t="s">
        <v>81</v>
      </c>
      <c r="AU233" s="3" t="s">
        <v>81</v>
      </c>
      <c r="AV233" s="3" t="s">
        <v>81</v>
      </c>
      <c r="AW233" s="3" t="s">
        <v>81</v>
      </c>
      <c r="AX233" s="3">
        <v>49.994999999999997</v>
      </c>
      <c r="AY233" s="3">
        <v>0</v>
      </c>
      <c r="AZ233" s="3" t="s">
        <v>81</v>
      </c>
      <c r="BA233" s="3" t="s">
        <v>81</v>
      </c>
      <c r="BB233" s="3" t="s">
        <v>81</v>
      </c>
      <c r="BC233" s="3" t="s">
        <v>81</v>
      </c>
      <c r="BD233" s="3" t="s">
        <v>81</v>
      </c>
      <c r="BE233" s="3" t="s">
        <v>81</v>
      </c>
      <c r="BF233" s="3" t="s">
        <v>81</v>
      </c>
      <c r="BG233" s="3" t="s">
        <v>81</v>
      </c>
      <c r="BH233" s="3" t="s">
        <v>81</v>
      </c>
      <c r="BI233" s="3" t="s">
        <v>84</v>
      </c>
      <c r="BJ233" s="3" t="s">
        <v>82</v>
      </c>
      <c r="BK233" s="3" t="s">
        <v>83</v>
      </c>
      <c r="BL233" s="3" t="s">
        <v>84</v>
      </c>
      <c r="BM233" s="3" t="s">
        <v>84</v>
      </c>
      <c r="BN233" s="3"/>
      <c r="BO233" s="3" t="s">
        <v>82</v>
      </c>
      <c r="BP233" s="3" t="s">
        <v>113</v>
      </c>
      <c r="BQ233" s="3" t="s">
        <v>87</v>
      </c>
      <c r="BR233" s="3" t="s">
        <v>87</v>
      </c>
      <c r="BS233" s="3" t="s">
        <v>87</v>
      </c>
      <c r="BT233" s="3" t="s">
        <v>87</v>
      </c>
      <c r="BU233" s="3" t="s">
        <v>81</v>
      </c>
      <c r="BV233" s="3" t="s">
        <v>84</v>
      </c>
      <c r="BW233" s="3"/>
      <c r="BX233" s="3" t="s">
        <v>82</v>
      </c>
      <c r="BY233" s="3" t="s">
        <v>427</v>
      </c>
      <c r="BZ233" s="3" t="s">
        <v>86</v>
      </c>
      <c r="CB233" s="3" t="s">
        <v>84</v>
      </c>
      <c r="CD233" s="9">
        <v>38</v>
      </c>
    </row>
    <row r="234" spans="1:87" ht="13" x14ac:dyDescent="0.15">
      <c r="A234" s="3">
        <v>1847925674</v>
      </c>
      <c r="B234" s="3" t="s">
        <v>426</v>
      </c>
      <c r="C234" s="3" t="s">
        <v>426</v>
      </c>
      <c r="D234" s="3">
        <v>13</v>
      </c>
      <c r="E234" s="3">
        <v>17</v>
      </c>
      <c r="F234" s="3">
        <v>62.209000000000003</v>
      </c>
      <c r="G234" s="3">
        <v>0</v>
      </c>
      <c r="H234" s="3" t="s">
        <v>81</v>
      </c>
      <c r="I234" s="3" t="s">
        <v>81</v>
      </c>
      <c r="J234" s="3" t="s">
        <v>81</v>
      </c>
      <c r="K234" s="3" t="s">
        <v>81</v>
      </c>
      <c r="L234" s="3" t="s">
        <v>81</v>
      </c>
      <c r="M234" s="3" t="s">
        <v>81</v>
      </c>
      <c r="N234" s="3" t="s">
        <v>81</v>
      </c>
      <c r="O234" s="3" t="s">
        <v>81</v>
      </c>
      <c r="P234" s="3" t="s">
        <v>81</v>
      </c>
      <c r="Q234" s="3">
        <v>47.508000000000003</v>
      </c>
      <c r="R234" s="3">
        <v>0</v>
      </c>
      <c r="S234" s="3" t="s">
        <v>81</v>
      </c>
      <c r="T234" s="3" t="s">
        <v>81</v>
      </c>
      <c r="U234" s="3" t="s">
        <v>81</v>
      </c>
      <c r="V234" s="3" t="s">
        <v>81</v>
      </c>
      <c r="W234" s="3" t="s">
        <v>81</v>
      </c>
      <c r="X234" s="3" t="s">
        <v>81</v>
      </c>
      <c r="Y234" s="3" t="s">
        <v>81</v>
      </c>
      <c r="Z234" s="3" t="s">
        <v>81</v>
      </c>
      <c r="AA234" s="3" t="s">
        <v>81</v>
      </c>
      <c r="AB234" s="3">
        <v>53.305999999999997</v>
      </c>
      <c r="AC234" s="3">
        <v>0</v>
      </c>
      <c r="AD234" s="3" t="s">
        <v>81</v>
      </c>
      <c r="AE234" s="3" t="s">
        <v>81</v>
      </c>
      <c r="AF234" s="3" t="s">
        <v>81</v>
      </c>
      <c r="AG234" s="3" t="s">
        <v>81</v>
      </c>
      <c r="AH234" s="3" t="s">
        <v>81</v>
      </c>
      <c r="AI234" s="3" t="s">
        <v>81</v>
      </c>
      <c r="AJ234" s="3" t="s">
        <v>81</v>
      </c>
      <c r="AK234" s="3" t="s">
        <v>81</v>
      </c>
      <c r="AL234" s="3" t="s">
        <v>81</v>
      </c>
      <c r="AM234" s="3">
        <v>50.073</v>
      </c>
      <c r="AN234" s="3">
        <v>0</v>
      </c>
      <c r="AO234" s="3" t="s">
        <v>81</v>
      </c>
      <c r="AP234" s="3" t="s">
        <v>81</v>
      </c>
      <c r="AQ234" s="3" t="s">
        <v>81</v>
      </c>
      <c r="AR234" s="3" t="s">
        <v>81</v>
      </c>
      <c r="AS234" s="3" t="s">
        <v>81</v>
      </c>
      <c r="AT234" s="3" t="s">
        <v>81</v>
      </c>
      <c r="AU234" s="3" t="s">
        <v>81</v>
      </c>
      <c r="AV234" s="3" t="s">
        <v>81</v>
      </c>
      <c r="AW234" s="3" t="s">
        <v>81</v>
      </c>
      <c r="AX234" s="3">
        <v>47.475999999999999</v>
      </c>
      <c r="AY234" s="3">
        <v>0</v>
      </c>
      <c r="AZ234" s="3" t="s">
        <v>81</v>
      </c>
      <c r="BA234" s="3" t="s">
        <v>81</v>
      </c>
      <c r="BB234" s="3" t="s">
        <v>81</v>
      </c>
      <c r="BC234" s="3" t="s">
        <v>81</v>
      </c>
      <c r="BD234" s="3" t="s">
        <v>81</v>
      </c>
      <c r="BE234" s="3" t="s">
        <v>81</v>
      </c>
      <c r="BF234" s="3" t="s">
        <v>81</v>
      </c>
      <c r="BG234" s="3" t="s">
        <v>81</v>
      </c>
      <c r="BH234" s="3" t="s">
        <v>81</v>
      </c>
      <c r="BI234" s="3" t="s">
        <v>84</v>
      </c>
      <c r="BJ234" s="3" t="s">
        <v>82</v>
      </c>
      <c r="BK234" s="3" t="s">
        <v>83</v>
      </c>
      <c r="BL234" s="3" t="s">
        <v>84</v>
      </c>
      <c r="BM234" s="3" t="s">
        <v>84</v>
      </c>
      <c r="BN234" s="3" t="s">
        <v>84</v>
      </c>
      <c r="BO234" s="3" t="s">
        <v>82</v>
      </c>
      <c r="BP234" s="3" t="s">
        <v>85</v>
      </c>
      <c r="BQ234" s="3" t="s">
        <v>85</v>
      </c>
      <c r="BR234" s="3" t="s">
        <v>85</v>
      </c>
      <c r="BS234" s="3" t="s">
        <v>85</v>
      </c>
      <c r="BT234" s="3" t="s">
        <v>85</v>
      </c>
      <c r="BU234" s="3" t="s">
        <v>81</v>
      </c>
      <c r="BV234" s="3" t="s">
        <v>82</v>
      </c>
      <c r="BW234" s="3" t="s">
        <v>91</v>
      </c>
      <c r="BX234" s="3" t="s">
        <v>82</v>
      </c>
      <c r="BY234" s="3" t="s">
        <v>428</v>
      </c>
      <c r="BZ234" s="3" t="s">
        <v>93</v>
      </c>
      <c r="CB234" s="3" t="s">
        <v>84</v>
      </c>
      <c r="CD234" s="9">
        <v>14</v>
      </c>
      <c r="CI234" s="6"/>
    </row>
    <row r="235" spans="1:87" ht="13" x14ac:dyDescent="0.15">
      <c r="A235" s="3">
        <v>1847944574</v>
      </c>
      <c r="B235" s="3" t="s">
        <v>426</v>
      </c>
      <c r="C235" s="3" t="s">
        <v>426</v>
      </c>
      <c r="D235" s="3" t="s">
        <v>81</v>
      </c>
      <c r="E235" s="3">
        <v>21</v>
      </c>
      <c r="F235" s="3">
        <v>40.177</v>
      </c>
      <c r="G235" s="3">
        <v>0</v>
      </c>
      <c r="H235" s="3" t="s">
        <v>81</v>
      </c>
      <c r="I235" s="3" t="s">
        <v>81</v>
      </c>
      <c r="J235" s="3" t="s">
        <v>81</v>
      </c>
      <c r="K235" s="3" t="s">
        <v>81</v>
      </c>
      <c r="L235" s="3" t="s">
        <v>81</v>
      </c>
      <c r="M235" s="3" t="s">
        <v>81</v>
      </c>
      <c r="N235" s="3" t="s">
        <v>81</v>
      </c>
      <c r="O235" s="3" t="s">
        <v>81</v>
      </c>
      <c r="P235" s="3" t="s">
        <v>81</v>
      </c>
      <c r="Q235" s="3">
        <v>43.405999999999999</v>
      </c>
      <c r="R235" s="3">
        <v>0</v>
      </c>
      <c r="S235" s="3" t="s">
        <v>81</v>
      </c>
      <c r="T235" s="3" t="s">
        <v>81</v>
      </c>
      <c r="U235" s="3" t="s">
        <v>81</v>
      </c>
      <c r="V235" s="3" t="s">
        <v>81</v>
      </c>
      <c r="W235" s="3" t="s">
        <v>81</v>
      </c>
      <c r="X235" s="3" t="s">
        <v>81</v>
      </c>
      <c r="Y235" s="3" t="s">
        <v>81</v>
      </c>
      <c r="Z235" s="3" t="s">
        <v>81</v>
      </c>
      <c r="AA235" s="3" t="s">
        <v>81</v>
      </c>
      <c r="AB235" s="3">
        <v>29.611999999999998</v>
      </c>
      <c r="AC235" s="3">
        <v>0</v>
      </c>
      <c r="AD235" s="3" t="s">
        <v>81</v>
      </c>
      <c r="AE235" s="3" t="s">
        <v>81</v>
      </c>
      <c r="AF235" s="3" t="s">
        <v>81</v>
      </c>
      <c r="AG235" s="3" t="s">
        <v>81</v>
      </c>
      <c r="AH235" s="3" t="s">
        <v>81</v>
      </c>
      <c r="AI235" s="3" t="s">
        <v>81</v>
      </c>
      <c r="AJ235" s="3" t="s">
        <v>81</v>
      </c>
      <c r="AK235" s="3" t="s">
        <v>81</v>
      </c>
      <c r="AL235" s="3" t="s">
        <v>81</v>
      </c>
      <c r="AM235" s="3">
        <v>40.99</v>
      </c>
      <c r="AN235" s="3">
        <v>0</v>
      </c>
      <c r="AO235" s="3" t="s">
        <v>81</v>
      </c>
      <c r="AP235" s="3" t="s">
        <v>81</v>
      </c>
      <c r="AQ235" s="3" t="s">
        <v>81</v>
      </c>
      <c r="AR235" s="3" t="s">
        <v>81</v>
      </c>
      <c r="AS235" s="3" t="s">
        <v>81</v>
      </c>
      <c r="AT235" s="3" t="s">
        <v>81</v>
      </c>
      <c r="AU235" s="3" t="s">
        <v>81</v>
      </c>
      <c r="AV235" s="3" t="s">
        <v>81</v>
      </c>
      <c r="AW235" s="3" t="s">
        <v>81</v>
      </c>
      <c r="AX235" s="3">
        <v>49.654000000000003</v>
      </c>
      <c r="AY235" s="3">
        <v>0</v>
      </c>
      <c r="AZ235" s="3" t="s">
        <v>81</v>
      </c>
      <c r="BA235" s="3" t="s">
        <v>81</v>
      </c>
      <c r="BB235" s="3" t="s">
        <v>81</v>
      </c>
      <c r="BC235" s="3" t="s">
        <v>81</v>
      </c>
      <c r="BD235" s="3" t="s">
        <v>81</v>
      </c>
      <c r="BE235" s="3" t="s">
        <v>81</v>
      </c>
      <c r="BF235" s="3" t="s">
        <v>81</v>
      </c>
      <c r="BG235" s="3" t="s">
        <v>81</v>
      </c>
      <c r="BH235" s="3" t="s">
        <v>81</v>
      </c>
      <c r="BI235" s="3" t="s">
        <v>84</v>
      </c>
      <c r="BJ235" s="3" t="s">
        <v>82</v>
      </c>
      <c r="BK235" s="3" t="s">
        <v>83</v>
      </c>
      <c r="BL235" s="3" t="s">
        <v>84</v>
      </c>
      <c r="BM235" s="3" t="s">
        <v>84</v>
      </c>
      <c r="BN235" s="3" t="s">
        <v>84</v>
      </c>
      <c r="BO235" s="3" t="s">
        <v>82</v>
      </c>
      <c r="BP235" s="3" t="s">
        <v>429</v>
      </c>
      <c r="BQ235" s="3" t="s">
        <v>429</v>
      </c>
      <c r="BR235" s="3" t="s">
        <v>429</v>
      </c>
      <c r="BS235" s="3" t="s">
        <v>429</v>
      </c>
      <c r="BT235" s="3" t="s">
        <v>87</v>
      </c>
      <c r="BU235" s="3" t="s">
        <v>81</v>
      </c>
      <c r="BV235" s="3" t="s">
        <v>82</v>
      </c>
      <c r="BW235" s="3" t="s">
        <v>91</v>
      </c>
      <c r="BX235" s="3" t="s">
        <v>82</v>
      </c>
      <c r="BY235" s="3" t="s">
        <v>430</v>
      </c>
      <c r="BZ235" s="3" t="s">
        <v>93</v>
      </c>
      <c r="CB235" s="3" t="s">
        <v>84</v>
      </c>
      <c r="CD235" s="9">
        <v>22</v>
      </c>
    </row>
    <row r="236" spans="1:87" ht="13" x14ac:dyDescent="0.15">
      <c r="A236" s="3">
        <v>2235977243</v>
      </c>
      <c r="B236" s="3" t="s">
        <v>426</v>
      </c>
      <c r="C236" s="3" t="s">
        <v>426</v>
      </c>
      <c r="D236" s="3" t="s">
        <v>81</v>
      </c>
      <c r="E236" s="3">
        <v>48</v>
      </c>
      <c r="F236" s="3">
        <v>60.908000000000001</v>
      </c>
      <c r="G236" s="3">
        <v>0</v>
      </c>
      <c r="H236" s="3" t="s">
        <v>81</v>
      </c>
      <c r="I236" s="3" t="s">
        <v>81</v>
      </c>
      <c r="J236" s="3" t="s">
        <v>81</v>
      </c>
      <c r="K236" s="3" t="s">
        <v>81</v>
      </c>
      <c r="L236" s="3" t="s">
        <v>81</v>
      </c>
      <c r="M236" s="3" t="s">
        <v>81</v>
      </c>
      <c r="N236" s="3" t="s">
        <v>81</v>
      </c>
      <c r="O236" s="3" t="s">
        <v>81</v>
      </c>
      <c r="P236" s="3" t="s">
        <v>81</v>
      </c>
      <c r="Q236" s="3">
        <v>60.765999999999998</v>
      </c>
      <c r="R236" s="3">
        <v>0</v>
      </c>
      <c r="S236" s="3" t="s">
        <v>81</v>
      </c>
      <c r="T236" s="3" t="s">
        <v>81</v>
      </c>
      <c r="U236" s="3" t="s">
        <v>81</v>
      </c>
      <c r="V236" s="3" t="s">
        <v>81</v>
      </c>
      <c r="W236" s="3" t="s">
        <v>81</v>
      </c>
      <c r="X236" s="3" t="s">
        <v>81</v>
      </c>
      <c r="Y236" s="3" t="s">
        <v>81</v>
      </c>
      <c r="Z236" s="3" t="s">
        <v>81</v>
      </c>
      <c r="AA236" s="3" t="s">
        <v>81</v>
      </c>
      <c r="AB236" s="3">
        <v>52.962000000000003</v>
      </c>
      <c r="AC236" s="3">
        <v>0</v>
      </c>
      <c r="AD236" s="3" t="s">
        <v>81</v>
      </c>
      <c r="AE236" s="3" t="s">
        <v>81</v>
      </c>
      <c r="AF236" s="3" t="s">
        <v>81</v>
      </c>
      <c r="AG236" s="3" t="s">
        <v>81</v>
      </c>
      <c r="AH236" s="3" t="s">
        <v>81</v>
      </c>
      <c r="AI236" s="3" t="s">
        <v>81</v>
      </c>
      <c r="AJ236" s="3" t="s">
        <v>81</v>
      </c>
      <c r="AK236" s="3" t="s">
        <v>81</v>
      </c>
      <c r="AL236" s="3" t="s">
        <v>81</v>
      </c>
      <c r="AM236" s="3">
        <v>55.457999999999998</v>
      </c>
      <c r="AN236" s="3">
        <v>0</v>
      </c>
      <c r="AO236" s="3" t="s">
        <v>81</v>
      </c>
      <c r="AP236" s="3" t="s">
        <v>81</v>
      </c>
      <c r="AQ236" s="3" t="s">
        <v>81</v>
      </c>
      <c r="AR236" s="3" t="s">
        <v>81</v>
      </c>
      <c r="AS236" s="3" t="s">
        <v>81</v>
      </c>
      <c r="AT236" s="3" t="s">
        <v>81</v>
      </c>
      <c r="AU236" s="3" t="s">
        <v>81</v>
      </c>
      <c r="AV236" s="3" t="s">
        <v>81</v>
      </c>
      <c r="AW236" s="3" t="s">
        <v>81</v>
      </c>
      <c r="AX236" s="3">
        <v>58.177</v>
      </c>
      <c r="AY236" s="3">
        <v>0</v>
      </c>
      <c r="AZ236" s="3" t="s">
        <v>81</v>
      </c>
      <c r="BA236" s="3" t="s">
        <v>81</v>
      </c>
      <c r="BB236" s="3" t="s">
        <v>81</v>
      </c>
      <c r="BC236" s="3" t="s">
        <v>81</v>
      </c>
      <c r="BD236" s="3" t="s">
        <v>81</v>
      </c>
      <c r="BE236" s="3" t="s">
        <v>81</v>
      </c>
      <c r="BF236" s="3" t="s">
        <v>81</v>
      </c>
      <c r="BG236" s="3" t="s">
        <v>81</v>
      </c>
      <c r="BH236" s="3" t="s">
        <v>81</v>
      </c>
      <c r="BI236" s="3" t="s">
        <v>84</v>
      </c>
      <c r="BJ236" s="3" t="s">
        <v>84</v>
      </c>
      <c r="BK236" s="3" t="s">
        <v>82</v>
      </c>
      <c r="BL236" s="3" t="s">
        <v>82</v>
      </c>
      <c r="BM236" s="3" t="s">
        <v>83</v>
      </c>
      <c r="BN236" s="3" t="s">
        <v>82</v>
      </c>
      <c r="BO236" s="3" t="s">
        <v>82</v>
      </c>
      <c r="BP236" s="3" t="s">
        <v>87</v>
      </c>
      <c r="BQ236" s="3" t="s">
        <v>87</v>
      </c>
      <c r="BR236" s="3" t="s">
        <v>87</v>
      </c>
      <c r="BS236" s="3" t="s">
        <v>87</v>
      </c>
      <c r="BT236" s="3" t="s">
        <v>87</v>
      </c>
      <c r="BU236" s="3" t="s">
        <v>81</v>
      </c>
      <c r="BV236" s="3" t="s">
        <v>83</v>
      </c>
      <c r="BW236" s="3" t="s">
        <v>83</v>
      </c>
      <c r="BX236" s="3" t="s">
        <v>83</v>
      </c>
      <c r="BY236" s="3" t="s">
        <v>431</v>
      </c>
      <c r="BZ236" s="3" t="s">
        <v>86</v>
      </c>
      <c r="CB236" s="3" t="s">
        <v>84</v>
      </c>
      <c r="CD236" s="9">
        <v>48</v>
      </c>
      <c r="CG236">
        <v>40</v>
      </c>
    </row>
    <row r="237" spans="1:87" ht="13" x14ac:dyDescent="0.15">
      <c r="A237" s="3">
        <v>2643365696</v>
      </c>
      <c r="B237" s="3" t="s">
        <v>426</v>
      </c>
      <c r="C237" s="3" t="s">
        <v>426</v>
      </c>
      <c r="D237" s="3" t="s">
        <v>81</v>
      </c>
      <c r="E237" s="3">
        <v>22</v>
      </c>
      <c r="F237" s="3">
        <v>53.548999999999999</v>
      </c>
      <c r="G237" s="3">
        <v>0</v>
      </c>
      <c r="H237" s="3" t="s">
        <v>81</v>
      </c>
      <c r="I237" s="3" t="s">
        <v>81</v>
      </c>
      <c r="J237" s="3" t="s">
        <v>81</v>
      </c>
      <c r="K237" s="3" t="s">
        <v>81</v>
      </c>
      <c r="L237" s="3" t="s">
        <v>81</v>
      </c>
      <c r="M237" s="3" t="s">
        <v>81</v>
      </c>
      <c r="N237" s="3" t="s">
        <v>81</v>
      </c>
      <c r="O237" s="3" t="s">
        <v>81</v>
      </c>
      <c r="P237" s="3" t="s">
        <v>81</v>
      </c>
      <c r="Q237" s="3">
        <v>47.179000000000002</v>
      </c>
      <c r="R237" s="3">
        <v>0</v>
      </c>
      <c r="S237" s="3" t="s">
        <v>81</v>
      </c>
      <c r="T237" s="3" t="s">
        <v>81</v>
      </c>
      <c r="U237" s="3" t="s">
        <v>81</v>
      </c>
      <c r="V237" s="3" t="s">
        <v>81</v>
      </c>
      <c r="W237" s="3" t="s">
        <v>81</v>
      </c>
      <c r="X237" s="3" t="s">
        <v>81</v>
      </c>
      <c r="Y237" s="3" t="s">
        <v>81</v>
      </c>
      <c r="Z237" s="3" t="s">
        <v>81</v>
      </c>
      <c r="AA237" s="3" t="s">
        <v>81</v>
      </c>
      <c r="AB237" s="3">
        <v>49.616</v>
      </c>
      <c r="AC237" s="3">
        <v>0</v>
      </c>
      <c r="AD237" s="3" t="s">
        <v>81</v>
      </c>
      <c r="AE237" s="3" t="s">
        <v>81</v>
      </c>
      <c r="AF237" s="3" t="s">
        <v>81</v>
      </c>
      <c r="AG237" s="3" t="s">
        <v>81</v>
      </c>
      <c r="AH237" s="3" t="s">
        <v>81</v>
      </c>
      <c r="AI237" s="3" t="s">
        <v>81</v>
      </c>
      <c r="AJ237" s="3" t="s">
        <v>81</v>
      </c>
      <c r="AK237" s="3" t="s">
        <v>81</v>
      </c>
      <c r="AL237" s="3" t="s">
        <v>81</v>
      </c>
      <c r="AM237" s="3">
        <v>47.692999999999998</v>
      </c>
      <c r="AN237" s="3">
        <v>0</v>
      </c>
      <c r="AO237" s="3" t="s">
        <v>81</v>
      </c>
      <c r="AP237" s="3" t="s">
        <v>81</v>
      </c>
      <c r="AQ237" s="3" t="s">
        <v>81</v>
      </c>
      <c r="AR237" s="3" t="s">
        <v>81</v>
      </c>
      <c r="AS237" s="3" t="s">
        <v>81</v>
      </c>
      <c r="AT237" s="3" t="s">
        <v>81</v>
      </c>
      <c r="AU237" s="3" t="s">
        <v>81</v>
      </c>
      <c r="AV237" s="3" t="s">
        <v>81</v>
      </c>
      <c r="AW237" s="3" t="s">
        <v>81</v>
      </c>
      <c r="AX237" s="3" t="s">
        <v>81</v>
      </c>
      <c r="AY237" s="3" t="s">
        <v>81</v>
      </c>
      <c r="AZ237" s="3">
        <v>51.365000000000002</v>
      </c>
      <c r="BA237" s="3">
        <v>0</v>
      </c>
      <c r="BB237" s="3" t="s">
        <v>81</v>
      </c>
      <c r="BC237" s="3" t="s">
        <v>81</v>
      </c>
      <c r="BD237" s="3" t="s">
        <v>81</v>
      </c>
      <c r="BE237" s="3" t="s">
        <v>81</v>
      </c>
      <c r="BF237" s="3" t="s">
        <v>81</v>
      </c>
      <c r="BG237" s="3" t="s">
        <v>81</v>
      </c>
      <c r="BH237" s="3" t="s">
        <v>81</v>
      </c>
      <c r="BI237" s="3" t="s">
        <v>84</v>
      </c>
      <c r="BJ237" s="3" t="s">
        <v>84</v>
      </c>
      <c r="BK237" s="3" t="s">
        <v>84</v>
      </c>
      <c r="BL237" s="3" t="s">
        <v>82</v>
      </c>
      <c r="BM237" s="3" t="s">
        <v>83</v>
      </c>
      <c r="BN237" s="3" t="s">
        <v>82</v>
      </c>
      <c r="BO237" s="3" t="s">
        <v>83</v>
      </c>
      <c r="BP237" s="3" t="s">
        <v>81</v>
      </c>
      <c r="BQ237" s="3" t="s">
        <v>81</v>
      </c>
      <c r="BR237" s="3" t="s">
        <v>81</v>
      </c>
      <c r="BS237" s="3" t="s">
        <v>81</v>
      </c>
      <c r="BT237" s="3" t="s">
        <v>81</v>
      </c>
      <c r="BU237" s="3" t="s">
        <v>81</v>
      </c>
      <c r="BV237" s="3" t="s">
        <v>83</v>
      </c>
      <c r="BW237" s="3" t="s">
        <v>83</v>
      </c>
      <c r="BX237" s="3" t="s">
        <v>83</v>
      </c>
      <c r="BY237" s="3" t="s">
        <v>160</v>
      </c>
      <c r="BZ237" s="3" t="s">
        <v>86</v>
      </c>
      <c r="CB237" s="3" t="s">
        <v>84</v>
      </c>
      <c r="CD237" s="9">
        <v>21</v>
      </c>
    </row>
    <row r="238" spans="1:87" ht="13" x14ac:dyDescent="0.15">
      <c r="A238" s="3">
        <v>1847925734</v>
      </c>
      <c r="B238" s="3" t="s">
        <v>432</v>
      </c>
      <c r="C238" s="3" t="s">
        <v>433</v>
      </c>
      <c r="D238" s="3">
        <v>3</v>
      </c>
      <c r="E238" s="3">
        <v>3</v>
      </c>
      <c r="F238" s="3">
        <v>76.451999999999998</v>
      </c>
      <c r="G238" s="3">
        <v>2</v>
      </c>
      <c r="H238" s="3">
        <v>46.771000000000001</v>
      </c>
      <c r="I238" s="3">
        <v>24.695</v>
      </c>
      <c r="J238" s="3">
        <v>9.8870000000000005</v>
      </c>
      <c r="K238" s="3" t="s">
        <v>81</v>
      </c>
      <c r="L238" s="3">
        <v>17.908999999999999</v>
      </c>
      <c r="M238" s="3" t="s">
        <v>81</v>
      </c>
      <c r="N238" s="3" t="s">
        <v>81</v>
      </c>
      <c r="O238" s="3" t="s">
        <v>81</v>
      </c>
      <c r="P238" s="3" t="s">
        <v>81</v>
      </c>
      <c r="Q238" s="3">
        <v>74.346999999999994</v>
      </c>
      <c r="R238" s="3">
        <v>2</v>
      </c>
      <c r="S238" s="3">
        <v>39.093000000000004</v>
      </c>
      <c r="T238" s="3" t="s">
        <v>81</v>
      </c>
      <c r="U238" s="3">
        <v>17.414999999999999</v>
      </c>
      <c r="V238" s="3" t="s">
        <v>81</v>
      </c>
      <c r="W238" s="3">
        <v>16.422000000000001</v>
      </c>
      <c r="X238" s="3" t="s">
        <v>81</v>
      </c>
      <c r="Y238" s="3" t="s">
        <v>81</v>
      </c>
      <c r="Z238" s="3" t="s">
        <v>81</v>
      </c>
      <c r="AA238" s="3" t="s">
        <v>81</v>
      </c>
      <c r="AB238" s="3">
        <v>75.531000000000006</v>
      </c>
      <c r="AC238" s="3">
        <v>2</v>
      </c>
      <c r="AD238" s="3">
        <v>39.896000000000001</v>
      </c>
      <c r="AE238" s="3">
        <v>26.387</v>
      </c>
      <c r="AF238" s="3">
        <v>16.271999999999998</v>
      </c>
      <c r="AG238" s="3" t="s">
        <v>81</v>
      </c>
      <c r="AH238" s="3">
        <v>15.522</v>
      </c>
      <c r="AI238" s="3" t="s">
        <v>81</v>
      </c>
      <c r="AJ238" s="3" t="s">
        <v>81</v>
      </c>
      <c r="AK238" s="3" t="s">
        <v>81</v>
      </c>
      <c r="AL238" s="3" t="s">
        <v>81</v>
      </c>
      <c r="AM238" s="3" t="s">
        <v>81</v>
      </c>
      <c r="AN238" s="3" t="s">
        <v>81</v>
      </c>
      <c r="AO238" s="3" t="s">
        <v>81</v>
      </c>
      <c r="AP238" s="3" t="s">
        <v>81</v>
      </c>
      <c r="AQ238" s="3" t="s">
        <v>81</v>
      </c>
      <c r="AR238" s="3" t="s">
        <v>81</v>
      </c>
      <c r="AS238" s="3" t="s">
        <v>81</v>
      </c>
      <c r="AT238" s="3" t="s">
        <v>81</v>
      </c>
      <c r="AU238" s="3" t="s">
        <v>81</v>
      </c>
      <c r="AV238" s="3" t="s">
        <v>81</v>
      </c>
      <c r="AW238" s="3" t="s">
        <v>81</v>
      </c>
      <c r="AX238" s="3" t="s">
        <v>81</v>
      </c>
      <c r="AY238" s="3" t="s">
        <v>81</v>
      </c>
      <c r="AZ238" s="3" t="s">
        <v>81</v>
      </c>
      <c r="BA238" s="3" t="s">
        <v>81</v>
      </c>
      <c r="BB238" s="3" t="s">
        <v>81</v>
      </c>
      <c r="BC238" s="3" t="s">
        <v>81</v>
      </c>
      <c r="BD238" s="3" t="s">
        <v>81</v>
      </c>
      <c r="BE238" s="3" t="s">
        <v>81</v>
      </c>
      <c r="BF238" s="3" t="s">
        <v>81</v>
      </c>
      <c r="BG238" s="3" t="s">
        <v>81</v>
      </c>
      <c r="BH238" s="3" t="s">
        <v>81</v>
      </c>
      <c r="BI238" s="3" t="s">
        <v>84</v>
      </c>
      <c r="BJ238" s="3" t="s">
        <v>82</v>
      </c>
      <c r="BK238" s="3" t="s">
        <v>83</v>
      </c>
      <c r="BL238" s="3" t="s">
        <v>84</v>
      </c>
      <c r="BM238" s="3" t="s">
        <v>84</v>
      </c>
      <c r="BN238" s="3" t="s">
        <v>82</v>
      </c>
      <c r="BO238" s="3" t="s">
        <v>84</v>
      </c>
      <c r="BP238" s="3" t="s">
        <v>87</v>
      </c>
      <c r="BQ238" s="3" t="s">
        <v>98</v>
      </c>
      <c r="BR238" s="3" t="s">
        <v>434</v>
      </c>
      <c r="BS238" s="3" t="s">
        <v>435</v>
      </c>
      <c r="BT238" s="3" t="s">
        <v>98</v>
      </c>
      <c r="BU238" s="3" t="s">
        <v>87</v>
      </c>
      <c r="BV238" s="3" t="s">
        <v>84</v>
      </c>
      <c r="BW238" s="3" t="s">
        <v>83</v>
      </c>
      <c r="BX238" s="3" t="s">
        <v>84</v>
      </c>
      <c r="BZ238" s="3" t="s">
        <v>93</v>
      </c>
      <c r="CB238" s="3" t="s">
        <v>84</v>
      </c>
      <c r="CD238" s="9">
        <v>6</v>
      </c>
      <c r="CE238" s="9"/>
      <c r="CF238" s="9"/>
      <c r="CI238" s="6"/>
    </row>
    <row r="239" spans="1:87" ht="13" x14ac:dyDescent="0.15">
      <c r="A239" s="3">
        <v>1322942978</v>
      </c>
      <c r="B239" s="3" t="s">
        <v>432</v>
      </c>
      <c r="C239" s="3" t="s">
        <v>433</v>
      </c>
      <c r="D239" s="3">
        <v>3</v>
      </c>
      <c r="E239" s="3">
        <v>3</v>
      </c>
      <c r="F239" s="3">
        <v>60.167999999999999</v>
      </c>
      <c r="G239" s="3">
        <v>2</v>
      </c>
      <c r="H239" s="3">
        <v>41.357999999999997</v>
      </c>
      <c r="I239" s="3">
        <v>10.141</v>
      </c>
      <c r="J239" s="3">
        <v>17.722999999999999</v>
      </c>
      <c r="K239" s="3">
        <v>15.483000000000001</v>
      </c>
      <c r="L239" s="3">
        <v>0.24399999999999999</v>
      </c>
      <c r="M239" s="3" t="s">
        <v>81</v>
      </c>
      <c r="N239" s="3" t="s">
        <v>81</v>
      </c>
      <c r="O239" s="3" t="s">
        <v>81</v>
      </c>
      <c r="P239" s="3" t="s">
        <v>81</v>
      </c>
      <c r="Q239" s="3">
        <v>66.712000000000003</v>
      </c>
      <c r="R239" s="3">
        <v>2</v>
      </c>
      <c r="S239" s="3">
        <v>46.851999999999997</v>
      </c>
      <c r="T239" s="3" t="s">
        <v>81</v>
      </c>
      <c r="U239" s="3">
        <v>17.827999999999999</v>
      </c>
      <c r="V239" s="3">
        <v>10.74</v>
      </c>
      <c r="W239" s="3">
        <v>0.86499999999999999</v>
      </c>
      <c r="X239" s="3" t="s">
        <v>81</v>
      </c>
      <c r="Y239" s="3" t="s">
        <v>81</v>
      </c>
      <c r="Z239" s="3" t="s">
        <v>81</v>
      </c>
      <c r="AA239" s="3" t="s">
        <v>81</v>
      </c>
      <c r="AB239" s="3" t="s">
        <v>81</v>
      </c>
      <c r="AC239" s="3" t="s">
        <v>81</v>
      </c>
      <c r="AD239" s="3" t="s">
        <v>81</v>
      </c>
      <c r="AE239" s="3" t="s">
        <v>81</v>
      </c>
      <c r="AF239" s="3" t="s">
        <v>81</v>
      </c>
      <c r="AG239" s="3" t="s">
        <v>81</v>
      </c>
      <c r="AH239" s="3" t="s">
        <v>81</v>
      </c>
      <c r="AI239" s="3" t="s">
        <v>81</v>
      </c>
      <c r="AJ239" s="3" t="s">
        <v>81</v>
      </c>
      <c r="AK239" s="3" t="s">
        <v>81</v>
      </c>
      <c r="AL239" s="3" t="s">
        <v>81</v>
      </c>
      <c r="AM239" s="3" t="s">
        <v>81</v>
      </c>
      <c r="AN239" s="3" t="s">
        <v>81</v>
      </c>
      <c r="AO239" s="3" t="s">
        <v>81</v>
      </c>
      <c r="AP239" s="3" t="s">
        <v>81</v>
      </c>
      <c r="AQ239" s="3" t="s">
        <v>81</v>
      </c>
      <c r="AR239" s="3" t="s">
        <v>81</v>
      </c>
      <c r="AS239" s="3" t="s">
        <v>81</v>
      </c>
      <c r="AT239" s="3" t="s">
        <v>81</v>
      </c>
      <c r="AU239" s="3" t="s">
        <v>81</v>
      </c>
      <c r="AV239" s="3" t="s">
        <v>81</v>
      </c>
      <c r="AW239" s="3" t="s">
        <v>81</v>
      </c>
      <c r="AX239" s="3" t="s">
        <v>81</v>
      </c>
      <c r="AY239" s="3" t="s">
        <v>81</v>
      </c>
      <c r="AZ239" s="3" t="s">
        <v>81</v>
      </c>
      <c r="BA239" s="3" t="s">
        <v>81</v>
      </c>
      <c r="BB239" s="3" t="s">
        <v>81</v>
      </c>
      <c r="BC239" s="3" t="s">
        <v>81</v>
      </c>
      <c r="BD239" s="3" t="s">
        <v>81</v>
      </c>
      <c r="BE239" s="3" t="s">
        <v>81</v>
      </c>
      <c r="BF239" s="3" t="s">
        <v>81</v>
      </c>
      <c r="BG239" s="3" t="s">
        <v>81</v>
      </c>
      <c r="BH239" s="3" t="s">
        <v>81</v>
      </c>
      <c r="BI239" s="3" t="s">
        <v>84</v>
      </c>
      <c r="BJ239" s="3" t="s">
        <v>82</v>
      </c>
      <c r="BK239" s="3" t="s">
        <v>83</v>
      </c>
      <c r="BL239" s="3" t="s">
        <v>84</v>
      </c>
      <c r="BM239" s="3" t="s">
        <v>84</v>
      </c>
      <c r="BN239" s="3" t="s">
        <v>82</v>
      </c>
      <c r="BO239" s="3" t="s">
        <v>84</v>
      </c>
      <c r="BP239" s="3" t="s">
        <v>436</v>
      </c>
      <c r="BQ239" s="3" t="s">
        <v>436</v>
      </c>
      <c r="BR239" s="3" t="s">
        <v>437</v>
      </c>
      <c r="BS239" s="3" t="s">
        <v>437</v>
      </c>
      <c r="BT239" s="3" t="s">
        <v>98</v>
      </c>
      <c r="BU239" s="3" t="s">
        <v>87</v>
      </c>
      <c r="BV239" s="3" t="s">
        <v>84</v>
      </c>
      <c r="BW239" s="3" t="s">
        <v>83</v>
      </c>
      <c r="BX239" s="3" t="s">
        <v>84</v>
      </c>
      <c r="BY239" s="3" t="s">
        <v>201</v>
      </c>
      <c r="BZ239" s="3" t="s">
        <v>86</v>
      </c>
      <c r="CB239" s="3" t="s">
        <v>84</v>
      </c>
      <c r="CD239" s="9">
        <v>2</v>
      </c>
      <c r="CE239" s="9"/>
      <c r="CF239" s="9"/>
    </row>
    <row r="240" spans="1:87" ht="13" x14ac:dyDescent="0.15">
      <c r="A240" s="3">
        <v>2643312860</v>
      </c>
      <c r="B240" s="3" t="s">
        <v>432</v>
      </c>
      <c r="C240" s="3" t="s">
        <v>433</v>
      </c>
      <c r="D240" s="3">
        <v>4</v>
      </c>
      <c r="E240" s="3">
        <v>4</v>
      </c>
      <c r="F240" s="3">
        <v>26.792999999999999</v>
      </c>
      <c r="G240" s="3">
        <v>1</v>
      </c>
      <c r="H240" s="3">
        <v>25.927</v>
      </c>
      <c r="I240" s="3">
        <v>9.532</v>
      </c>
      <c r="J240" s="3">
        <v>0.89900000000000002</v>
      </c>
      <c r="K240" s="3" t="s">
        <v>81</v>
      </c>
      <c r="L240" s="3" t="s">
        <v>81</v>
      </c>
      <c r="M240" s="3" t="s">
        <v>81</v>
      </c>
      <c r="N240" s="3" t="s">
        <v>81</v>
      </c>
      <c r="O240" s="3" t="s">
        <v>81</v>
      </c>
      <c r="P240" s="3" t="s">
        <v>81</v>
      </c>
      <c r="Q240" s="3">
        <v>22.411999999999999</v>
      </c>
      <c r="R240" s="3">
        <v>1</v>
      </c>
      <c r="S240" s="3">
        <v>21.286999999999999</v>
      </c>
      <c r="T240" s="3">
        <v>8.3810000000000002</v>
      </c>
      <c r="U240" s="3">
        <v>1.2030000000000001</v>
      </c>
      <c r="V240" s="3" t="s">
        <v>81</v>
      </c>
      <c r="W240" s="3" t="s">
        <v>81</v>
      </c>
      <c r="X240" s="3" t="s">
        <v>81</v>
      </c>
      <c r="Y240" s="3" t="s">
        <v>81</v>
      </c>
      <c r="Z240" s="3" t="s">
        <v>81</v>
      </c>
      <c r="AA240" s="3" t="s">
        <v>81</v>
      </c>
      <c r="AB240" s="3">
        <v>27.856999999999999</v>
      </c>
      <c r="AC240" s="3">
        <v>0</v>
      </c>
      <c r="AD240" s="3">
        <v>26.207999999999998</v>
      </c>
      <c r="AE240" s="3">
        <v>9.9209999999999994</v>
      </c>
      <c r="AF240" s="3">
        <v>1.375</v>
      </c>
      <c r="AG240" s="3" t="s">
        <v>81</v>
      </c>
      <c r="AH240" s="3" t="s">
        <v>81</v>
      </c>
      <c r="AI240" s="3" t="s">
        <v>81</v>
      </c>
      <c r="AJ240" s="3" t="s">
        <v>81</v>
      </c>
      <c r="AK240" s="3" t="s">
        <v>81</v>
      </c>
      <c r="AL240" s="3" t="s">
        <v>81</v>
      </c>
      <c r="AM240" s="3">
        <v>25.283000000000001</v>
      </c>
      <c r="AN240" s="3">
        <v>1</v>
      </c>
      <c r="AO240" s="3">
        <v>23.812000000000001</v>
      </c>
      <c r="AP240" s="3">
        <v>9.8780000000000001</v>
      </c>
      <c r="AQ240" s="3">
        <v>1.3160000000000001</v>
      </c>
      <c r="AR240" s="3" t="s">
        <v>81</v>
      </c>
      <c r="AS240" s="3" t="s">
        <v>81</v>
      </c>
      <c r="AT240" s="3" t="s">
        <v>81</v>
      </c>
      <c r="AU240" s="3" t="s">
        <v>81</v>
      </c>
      <c r="AV240" s="3" t="s">
        <v>81</v>
      </c>
      <c r="AW240" s="3" t="s">
        <v>81</v>
      </c>
      <c r="AX240" s="3" t="s">
        <v>81</v>
      </c>
      <c r="AY240" s="3" t="s">
        <v>81</v>
      </c>
      <c r="AZ240" s="3" t="s">
        <v>81</v>
      </c>
      <c r="BA240" s="3" t="s">
        <v>81</v>
      </c>
      <c r="BB240" s="3" t="s">
        <v>81</v>
      </c>
      <c r="BC240" s="3" t="s">
        <v>81</v>
      </c>
      <c r="BD240" s="3" t="s">
        <v>81</v>
      </c>
      <c r="BE240" s="3" t="s">
        <v>81</v>
      </c>
      <c r="BF240" s="3" t="s">
        <v>81</v>
      </c>
      <c r="BG240" s="3" t="s">
        <v>81</v>
      </c>
      <c r="BH240" s="3" t="s">
        <v>81</v>
      </c>
      <c r="BI240" s="3" t="s">
        <v>84</v>
      </c>
      <c r="BJ240" s="3" t="s">
        <v>82</v>
      </c>
      <c r="BK240" s="3" t="s">
        <v>83</v>
      </c>
      <c r="BL240" s="3" t="s">
        <v>84</v>
      </c>
      <c r="BM240" s="3" t="s">
        <v>84</v>
      </c>
      <c r="BN240" s="3" t="s">
        <v>82</v>
      </c>
      <c r="BO240" s="3" t="s">
        <v>84</v>
      </c>
      <c r="BP240" s="3" t="s">
        <v>133</v>
      </c>
      <c r="BQ240" s="3" t="s">
        <v>438</v>
      </c>
      <c r="BR240" s="3" t="s">
        <v>439</v>
      </c>
      <c r="BS240" s="3" t="s">
        <v>439</v>
      </c>
      <c r="BT240" s="3" t="s">
        <v>98</v>
      </c>
      <c r="BU240" s="3" t="s">
        <v>87</v>
      </c>
      <c r="BV240" s="3" t="s">
        <v>84</v>
      </c>
      <c r="BW240" s="3" t="s">
        <v>83</v>
      </c>
      <c r="BX240" s="3" t="s">
        <v>82</v>
      </c>
      <c r="BZ240" s="3" t="s">
        <v>86</v>
      </c>
      <c r="CB240" s="3" t="s">
        <v>84</v>
      </c>
    </row>
    <row r="241" spans="1:87" ht="13" x14ac:dyDescent="0.15">
      <c r="A241" s="3">
        <v>2643317998</v>
      </c>
      <c r="B241" s="3" t="s">
        <v>440</v>
      </c>
      <c r="C241" s="3" t="s">
        <v>433</v>
      </c>
      <c r="D241" s="3">
        <v>2</v>
      </c>
      <c r="E241" s="3">
        <v>2</v>
      </c>
      <c r="F241" s="3">
        <v>31.152999999999999</v>
      </c>
      <c r="G241" s="3">
        <v>0</v>
      </c>
      <c r="H241" s="3" t="s">
        <v>81</v>
      </c>
      <c r="I241" s="3" t="s">
        <v>81</v>
      </c>
      <c r="J241" s="3" t="s">
        <v>81</v>
      </c>
      <c r="K241" s="3" t="s">
        <v>81</v>
      </c>
      <c r="L241" s="3" t="s">
        <v>81</v>
      </c>
      <c r="M241" s="3" t="s">
        <v>81</v>
      </c>
      <c r="N241" s="3" t="s">
        <v>81</v>
      </c>
      <c r="O241" s="3" t="s">
        <v>81</v>
      </c>
      <c r="P241" s="3" t="s">
        <v>81</v>
      </c>
      <c r="Q241" s="3">
        <v>30.614999999999998</v>
      </c>
      <c r="R241" s="3">
        <v>0</v>
      </c>
      <c r="S241" s="3" t="s">
        <v>81</v>
      </c>
      <c r="T241" s="3" t="s">
        <v>81</v>
      </c>
      <c r="U241" s="3" t="s">
        <v>81</v>
      </c>
      <c r="V241" s="3" t="s">
        <v>81</v>
      </c>
      <c r="W241" s="3" t="s">
        <v>81</v>
      </c>
      <c r="X241" s="3" t="s">
        <v>81</v>
      </c>
      <c r="Y241" s="3" t="s">
        <v>81</v>
      </c>
      <c r="Z241" s="3" t="s">
        <v>81</v>
      </c>
      <c r="AA241" s="3" t="s">
        <v>81</v>
      </c>
      <c r="AB241" s="3" t="s">
        <v>81</v>
      </c>
      <c r="AC241" s="3" t="s">
        <v>81</v>
      </c>
      <c r="AD241" s="3" t="s">
        <v>81</v>
      </c>
      <c r="AE241" s="3" t="s">
        <v>81</v>
      </c>
      <c r="AF241" s="3" t="s">
        <v>81</v>
      </c>
      <c r="AG241" s="3" t="s">
        <v>81</v>
      </c>
      <c r="AH241" s="3" t="s">
        <v>81</v>
      </c>
      <c r="AI241" s="3" t="s">
        <v>81</v>
      </c>
      <c r="AJ241" s="3" t="s">
        <v>81</v>
      </c>
      <c r="AK241" s="3" t="s">
        <v>81</v>
      </c>
      <c r="AL241" s="3" t="s">
        <v>81</v>
      </c>
      <c r="AM241" s="3" t="s">
        <v>81</v>
      </c>
      <c r="AN241" s="3" t="s">
        <v>81</v>
      </c>
      <c r="AO241" s="3" t="s">
        <v>81</v>
      </c>
      <c r="AP241" s="3" t="s">
        <v>81</v>
      </c>
      <c r="AQ241" s="3" t="s">
        <v>81</v>
      </c>
      <c r="AR241" s="3" t="s">
        <v>81</v>
      </c>
      <c r="AS241" s="3" t="s">
        <v>81</v>
      </c>
      <c r="AT241" s="3" t="s">
        <v>81</v>
      </c>
      <c r="AU241" s="3" t="s">
        <v>81</v>
      </c>
      <c r="AV241" s="3" t="s">
        <v>81</v>
      </c>
      <c r="AW241" s="3" t="s">
        <v>81</v>
      </c>
      <c r="AX241" s="3" t="s">
        <v>81</v>
      </c>
      <c r="AY241" s="3" t="s">
        <v>81</v>
      </c>
      <c r="AZ241" s="3" t="s">
        <v>81</v>
      </c>
      <c r="BA241" s="3" t="s">
        <v>81</v>
      </c>
      <c r="BB241" s="3" t="s">
        <v>81</v>
      </c>
      <c r="BC241" s="3" t="s">
        <v>81</v>
      </c>
      <c r="BD241" s="3" t="s">
        <v>81</v>
      </c>
      <c r="BE241" s="3" t="s">
        <v>81</v>
      </c>
      <c r="BF241" s="3" t="s">
        <v>81</v>
      </c>
      <c r="BG241" s="3" t="s">
        <v>81</v>
      </c>
      <c r="BH241" s="3" t="s">
        <v>81</v>
      </c>
      <c r="BI241" s="3" t="s">
        <v>84</v>
      </c>
      <c r="BJ241" s="3" t="s">
        <v>82</v>
      </c>
      <c r="BK241" s="3" t="s">
        <v>83</v>
      </c>
      <c r="BL241" s="3" t="s">
        <v>84</v>
      </c>
      <c r="BM241" s="3" t="s">
        <v>82</v>
      </c>
      <c r="BN241" s="3" t="s">
        <v>84</v>
      </c>
      <c r="BO241" s="3" t="s">
        <v>83</v>
      </c>
      <c r="BP241" s="3" t="s">
        <v>81</v>
      </c>
      <c r="BQ241" s="3" t="s">
        <v>81</v>
      </c>
      <c r="BR241" s="3" t="s">
        <v>81</v>
      </c>
      <c r="BS241" s="3" t="s">
        <v>81</v>
      </c>
      <c r="BT241" s="3" t="s">
        <v>81</v>
      </c>
      <c r="BU241" s="3" t="s">
        <v>81</v>
      </c>
      <c r="BV241" s="3" t="s">
        <v>83</v>
      </c>
      <c r="BW241" s="3" t="s">
        <v>83</v>
      </c>
      <c r="BX241" s="3" t="s">
        <v>83</v>
      </c>
      <c r="BY241" s="3" t="s">
        <v>173</v>
      </c>
      <c r="BZ241" s="3" t="s">
        <v>86</v>
      </c>
      <c r="CB241" s="3" t="s">
        <v>84</v>
      </c>
      <c r="CD241" s="9">
        <v>2</v>
      </c>
      <c r="CE241" s="9">
        <v>2</v>
      </c>
      <c r="CF241" s="9">
        <v>2</v>
      </c>
    </row>
    <row r="242" spans="1:87" ht="13" x14ac:dyDescent="0.15">
      <c r="A242" s="3">
        <v>1847921869</v>
      </c>
      <c r="B242" s="3" t="s">
        <v>433</v>
      </c>
      <c r="C242" s="3" t="s">
        <v>433</v>
      </c>
      <c r="D242" s="3">
        <v>4</v>
      </c>
      <c r="E242" s="3">
        <v>4</v>
      </c>
      <c r="F242" s="3">
        <v>31.481000000000002</v>
      </c>
      <c r="G242" s="3">
        <v>1</v>
      </c>
      <c r="H242" s="3">
        <v>17.515000000000001</v>
      </c>
      <c r="I242" s="3" t="s">
        <v>81</v>
      </c>
      <c r="J242" s="3">
        <v>13.958</v>
      </c>
      <c r="K242" s="3" t="s">
        <v>81</v>
      </c>
      <c r="L242" s="3" t="s">
        <v>81</v>
      </c>
      <c r="M242" s="3" t="s">
        <v>81</v>
      </c>
      <c r="N242" s="3" t="s">
        <v>81</v>
      </c>
      <c r="O242" s="3" t="s">
        <v>81</v>
      </c>
      <c r="P242" s="3" t="s">
        <v>81</v>
      </c>
      <c r="Q242" s="3">
        <v>38.606000000000002</v>
      </c>
      <c r="R242" s="3">
        <v>1</v>
      </c>
      <c r="S242" s="3">
        <v>26.25</v>
      </c>
      <c r="T242" s="3">
        <v>13.321</v>
      </c>
      <c r="U242" s="3">
        <v>6.32</v>
      </c>
      <c r="V242" s="3" t="s">
        <v>81</v>
      </c>
      <c r="W242" s="3">
        <v>3.43</v>
      </c>
      <c r="X242" s="3" t="s">
        <v>81</v>
      </c>
      <c r="Y242" s="3" t="s">
        <v>81</v>
      </c>
      <c r="Z242" s="3" t="s">
        <v>81</v>
      </c>
      <c r="AA242" s="3" t="s">
        <v>81</v>
      </c>
      <c r="AB242" s="3">
        <v>27.215</v>
      </c>
      <c r="AC242" s="3">
        <v>1</v>
      </c>
      <c r="AD242" s="3">
        <v>24.53</v>
      </c>
      <c r="AE242" s="3">
        <v>5.4029999999999996</v>
      </c>
      <c r="AF242" s="3">
        <v>1.121</v>
      </c>
      <c r="AG242" s="3" t="s">
        <v>81</v>
      </c>
      <c r="AH242" s="3" t="s">
        <v>81</v>
      </c>
      <c r="AI242" s="3" t="s">
        <v>81</v>
      </c>
      <c r="AJ242" s="3" t="s">
        <v>81</v>
      </c>
      <c r="AK242" s="3" t="s">
        <v>81</v>
      </c>
      <c r="AL242" s="3" t="s">
        <v>81</v>
      </c>
      <c r="AM242" s="3">
        <v>24.760999999999999</v>
      </c>
      <c r="AN242" s="3">
        <v>1</v>
      </c>
      <c r="AO242" s="3">
        <v>23.097000000000001</v>
      </c>
      <c r="AP242" s="3" t="s">
        <v>81</v>
      </c>
      <c r="AQ242" s="3">
        <v>1.871</v>
      </c>
      <c r="AR242" s="3" t="s">
        <v>81</v>
      </c>
      <c r="AS242" s="3" t="s">
        <v>81</v>
      </c>
      <c r="AT242" s="3" t="s">
        <v>81</v>
      </c>
      <c r="AU242" s="3" t="s">
        <v>81</v>
      </c>
      <c r="AV242" s="3" t="s">
        <v>81</v>
      </c>
      <c r="AW242" s="3" t="s">
        <v>81</v>
      </c>
      <c r="AX242" s="3" t="s">
        <v>81</v>
      </c>
      <c r="AY242" s="3" t="s">
        <v>81</v>
      </c>
      <c r="AZ242" s="3" t="s">
        <v>81</v>
      </c>
      <c r="BA242" s="3" t="s">
        <v>81</v>
      </c>
      <c r="BB242" s="3" t="s">
        <v>81</v>
      </c>
      <c r="BC242" s="3" t="s">
        <v>81</v>
      </c>
      <c r="BD242" s="3" t="s">
        <v>81</v>
      </c>
      <c r="BE242" s="3" t="s">
        <v>81</v>
      </c>
      <c r="BF242" s="3" t="s">
        <v>81</v>
      </c>
      <c r="BG242" s="3" t="s">
        <v>81</v>
      </c>
      <c r="BH242" s="3" t="s">
        <v>81</v>
      </c>
      <c r="BI242" s="3" t="s">
        <v>84</v>
      </c>
      <c r="BJ242" s="3" t="s">
        <v>82</v>
      </c>
      <c r="BK242" s="3" t="s">
        <v>83</v>
      </c>
      <c r="BL242" s="3" t="s">
        <v>84</v>
      </c>
      <c r="BM242" s="3" t="s">
        <v>84</v>
      </c>
      <c r="BN242" s="3" t="s">
        <v>82</v>
      </c>
      <c r="BO242" s="3" t="s">
        <v>84</v>
      </c>
      <c r="BP242" s="3" t="s">
        <v>133</v>
      </c>
      <c r="BQ242" s="3" t="s">
        <v>438</v>
      </c>
      <c r="BR242" s="3" t="s">
        <v>439</v>
      </c>
      <c r="BS242" s="3" t="s">
        <v>439</v>
      </c>
      <c r="BT242" s="3" t="s">
        <v>87</v>
      </c>
      <c r="BU242" s="3" t="s">
        <v>98</v>
      </c>
      <c r="BV242" s="3" t="s">
        <v>84</v>
      </c>
      <c r="BW242" s="3" t="s">
        <v>83</v>
      </c>
      <c r="BX242" s="3" t="s">
        <v>82</v>
      </c>
      <c r="BY242" s="3" t="s">
        <v>441</v>
      </c>
      <c r="CB242" s="3" t="s">
        <v>84</v>
      </c>
      <c r="CD242" s="9">
        <v>2</v>
      </c>
      <c r="CE242" s="9">
        <v>5</v>
      </c>
      <c r="CF242" s="9"/>
      <c r="CI242" s="6"/>
    </row>
    <row r="243" spans="1:87" ht="13" x14ac:dyDescent="0.15">
      <c r="A243" s="3">
        <v>1847938664</v>
      </c>
      <c r="B243" s="3" t="s">
        <v>433</v>
      </c>
      <c r="C243" s="3" t="s">
        <v>433</v>
      </c>
      <c r="D243" s="3">
        <v>7</v>
      </c>
      <c r="E243" s="3">
        <v>7</v>
      </c>
      <c r="F243" s="3">
        <v>116.64400000000001</v>
      </c>
      <c r="G243" s="3">
        <v>1</v>
      </c>
      <c r="H243" s="3">
        <v>68.471999999999994</v>
      </c>
      <c r="I243" s="3">
        <v>19.303999999999998</v>
      </c>
      <c r="J243" s="3">
        <v>48.070999999999998</v>
      </c>
      <c r="K243" s="3" t="s">
        <v>81</v>
      </c>
      <c r="L243" s="3" t="s">
        <v>81</v>
      </c>
      <c r="M243" s="3" t="s">
        <v>81</v>
      </c>
      <c r="N243" s="3" t="s">
        <v>81</v>
      </c>
      <c r="O243" s="3" t="s">
        <v>81</v>
      </c>
      <c r="P243" s="3" t="s">
        <v>81</v>
      </c>
      <c r="Q243" s="3">
        <v>119.747</v>
      </c>
      <c r="R243" s="3">
        <v>1</v>
      </c>
      <c r="S243" s="3">
        <v>75.122</v>
      </c>
      <c r="T243" s="3">
        <v>18.835999999999999</v>
      </c>
      <c r="U243" s="3">
        <v>43.661000000000001</v>
      </c>
      <c r="V243" s="3" t="s">
        <v>81</v>
      </c>
      <c r="W243" s="3" t="s">
        <v>81</v>
      </c>
      <c r="X243" s="3" t="s">
        <v>81</v>
      </c>
      <c r="Y243" s="3" t="s">
        <v>81</v>
      </c>
      <c r="Z243" s="3" t="s">
        <v>81</v>
      </c>
      <c r="AA243" s="3" t="s">
        <v>81</v>
      </c>
      <c r="AB243" s="3">
        <v>117.001</v>
      </c>
      <c r="AC243" s="3">
        <v>1</v>
      </c>
      <c r="AD243" s="3">
        <v>70.225999999999999</v>
      </c>
      <c r="AE243" s="3">
        <v>21.148</v>
      </c>
      <c r="AF243" s="3">
        <v>44.264000000000003</v>
      </c>
      <c r="AG243" s="3" t="s">
        <v>81</v>
      </c>
      <c r="AH243" s="3" t="s">
        <v>81</v>
      </c>
      <c r="AI243" s="3" t="s">
        <v>81</v>
      </c>
      <c r="AJ243" s="3" t="s">
        <v>81</v>
      </c>
      <c r="AK243" s="3" t="s">
        <v>81</v>
      </c>
      <c r="AL243" s="3" t="s">
        <v>81</v>
      </c>
      <c r="AM243" s="3" t="s">
        <v>81</v>
      </c>
      <c r="AN243" s="3" t="s">
        <v>81</v>
      </c>
      <c r="AO243" s="3" t="s">
        <v>81</v>
      </c>
      <c r="AP243" s="3" t="s">
        <v>81</v>
      </c>
      <c r="AQ243" s="3" t="s">
        <v>81</v>
      </c>
      <c r="AR243" s="3" t="s">
        <v>81</v>
      </c>
      <c r="AS243" s="3" t="s">
        <v>81</v>
      </c>
      <c r="AT243" s="3" t="s">
        <v>81</v>
      </c>
      <c r="AU243" s="3" t="s">
        <v>81</v>
      </c>
      <c r="AV243" s="3" t="s">
        <v>81</v>
      </c>
      <c r="AW243" s="3" t="s">
        <v>81</v>
      </c>
      <c r="AX243" s="3" t="s">
        <v>81</v>
      </c>
      <c r="AY243" s="3" t="s">
        <v>81</v>
      </c>
      <c r="AZ243" s="3" t="s">
        <v>81</v>
      </c>
      <c r="BA243" s="3" t="s">
        <v>81</v>
      </c>
      <c r="BB243" s="3" t="s">
        <v>81</v>
      </c>
      <c r="BC243" s="3" t="s">
        <v>81</v>
      </c>
      <c r="BD243" s="3" t="s">
        <v>81</v>
      </c>
      <c r="BE243" s="3" t="s">
        <v>81</v>
      </c>
      <c r="BF243" s="3" t="s">
        <v>81</v>
      </c>
      <c r="BG243" s="3" t="s">
        <v>81</v>
      </c>
      <c r="BH243" s="3" t="s">
        <v>81</v>
      </c>
      <c r="BI243" s="3" t="s">
        <v>84</v>
      </c>
      <c r="BJ243" s="3" t="s">
        <v>84</v>
      </c>
      <c r="BK243" s="3" t="s">
        <v>82</v>
      </c>
      <c r="BL243" s="3" t="s">
        <v>84</v>
      </c>
      <c r="BM243" s="3" t="s">
        <v>84</v>
      </c>
      <c r="BN243" s="3" t="s">
        <v>84</v>
      </c>
      <c r="BO243" s="3" t="s">
        <v>82</v>
      </c>
      <c r="BP243" s="3" t="s">
        <v>133</v>
      </c>
      <c r="BQ243" s="3" t="s">
        <v>438</v>
      </c>
      <c r="BR243" s="3" t="s">
        <v>442</v>
      </c>
      <c r="BS243" s="3" t="s">
        <v>443</v>
      </c>
      <c r="BT243" s="3" t="s">
        <v>87</v>
      </c>
      <c r="BU243" s="3" t="s">
        <v>98</v>
      </c>
      <c r="BV243" s="3" t="s">
        <v>84</v>
      </c>
      <c r="BW243" s="3" t="s">
        <v>83</v>
      </c>
      <c r="BX243" s="3" t="s">
        <v>82</v>
      </c>
      <c r="BY243" s="3" t="s">
        <v>444</v>
      </c>
      <c r="BZ243" s="3" t="s">
        <v>93</v>
      </c>
      <c r="CB243" s="3" t="s">
        <v>84</v>
      </c>
      <c r="CD243" s="9">
        <v>13</v>
      </c>
      <c r="CE243" s="9"/>
      <c r="CF243" s="9"/>
    </row>
    <row r="244" spans="1:87" ht="13" x14ac:dyDescent="0.15">
      <c r="A244" s="3">
        <v>1847941932</v>
      </c>
      <c r="B244" s="3" t="s">
        <v>445</v>
      </c>
      <c r="C244" s="3" t="s">
        <v>445</v>
      </c>
      <c r="D244" s="3">
        <v>15</v>
      </c>
      <c r="E244" s="3">
        <v>20</v>
      </c>
      <c r="F244" s="3">
        <v>86.957999999999998</v>
      </c>
      <c r="G244" s="3">
        <v>0</v>
      </c>
      <c r="H244" s="3" t="s">
        <v>81</v>
      </c>
      <c r="I244" s="3" t="s">
        <v>81</v>
      </c>
      <c r="J244" s="3" t="s">
        <v>81</v>
      </c>
      <c r="K244" s="3" t="s">
        <v>81</v>
      </c>
      <c r="L244" s="3" t="s">
        <v>81</v>
      </c>
      <c r="M244" s="3" t="s">
        <v>81</v>
      </c>
      <c r="N244" s="3" t="s">
        <v>81</v>
      </c>
      <c r="O244" s="3" t="s">
        <v>81</v>
      </c>
      <c r="P244" s="3" t="s">
        <v>81</v>
      </c>
      <c r="Q244" s="3">
        <v>84.688000000000002</v>
      </c>
      <c r="R244" s="3">
        <v>0</v>
      </c>
      <c r="S244" s="3" t="s">
        <v>81</v>
      </c>
      <c r="T244" s="3" t="s">
        <v>81</v>
      </c>
      <c r="U244" s="3" t="s">
        <v>81</v>
      </c>
      <c r="V244" s="3" t="s">
        <v>81</v>
      </c>
      <c r="W244" s="3" t="s">
        <v>81</v>
      </c>
      <c r="X244" s="3" t="s">
        <v>81</v>
      </c>
      <c r="Y244" s="3" t="s">
        <v>81</v>
      </c>
      <c r="Z244" s="3" t="s">
        <v>81</v>
      </c>
      <c r="AA244" s="3" t="s">
        <v>81</v>
      </c>
      <c r="AB244" s="3">
        <v>83.212999999999994</v>
      </c>
      <c r="AC244" s="3">
        <v>0</v>
      </c>
      <c r="AD244" s="3" t="s">
        <v>81</v>
      </c>
      <c r="AE244" s="3" t="s">
        <v>81</v>
      </c>
      <c r="AF244" s="3" t="s">
        <v>81</v>
      </c>
      <c r="AG244" s="3" t="s">
        <v>81</v>
      </c>
      <c r="AH244" s="3" t="s">
        <v>81</v>
      </c>
      <c r="AI244" s="3" t="s">
        <v>81</v>
      </c>
      <c r="AJ244" s="3" t="s">
        <v>81</v>
      </c>
      <c r="AK244" s="3" t="s">
        <v>81</v>
      </c>
      <c r="AL244" s="3" t="s">
        <v>81</v>
      </c>
      <c r="AM244" s="3">
        <v>68.332999999999998</v>
      </c>
      <c r="AN244" s="3">
        <v>0</v>
      </c>
      <c r="AO244" s="3" t="s">
        <v>81</v>
      </c>
      <c r="AP244" s="3" t="s">
        <v>81</v>
      </c>
      <c r="AQ244" s="3" t="s">
        <v>81</v>
      </c>
      <c r="AR244" s="3" t="s">
        <v>81</v>
      </c>
      <c r="AS244" s="3" t="s">
        <v>81</v>
      </c>
      <c r="AT244" s="3" t="s">
        <v>81</v>
      </c>
      <c r="AU244" s="3" t="s">
        <v>81</v>
      </c>
      <c r="AV244" s="3" t="s">
        <v>81</v>
      </c>
      <c r="AW244" s="3" t="s">
        <v>81</v>
      </c>
      <c r="AX244" s="3">
        <v>81.903000000000006</v>
      </c>
      <c r="AY244" s="3">
        <v>0</v>
      </c>
      <c r="AZ244" s="3" t="s">
        <v>81</v>
      </c>
      <c r="BA244" s="3" t="s">
        <v>81</v>
      </c>
      <c r="BB244" s="3" t="s">
        <v>81</v>
      </c>
      <c r="BC244" s="3" t="s">
        <v>81</v>
      </c>
      <c r="BD244" s="3" t="s">
        <v>81</v>
      </c>
      <c r="BE244" s="3" t="s">
        <v>81</v>
      </c>
      <c r="BF244" s="3" t="s">
        <v>81</v>
      </c>
      <c r="BG244" s="3" t="s">
        <v>81</v>
      </c>
      <c r="BH244" s="3" t="s">
        <v>81</v>
      </c>
      <c r="BI244" s="3" t="s">
        <v>82</v>
      </c>
      <c r="BJ244" s="3" t="s">
        <v>82</v>
      </c>
      <c r="BK244" s="3" t="s">
        <v>83</v>
      </c>
      <c r="BL244" s="3" t="s">
        <v>84</v>
      </c>
      <c r="BM244" s="3" t="s">
        <v>84</v>
      </c>
      <c r="BN244" s="3" t="s">
        <v>84</v>
      </c>
      <c r="BO244" s="3" t="s">
        <v>82</v>
      </c>
      <c r="BP244" s="3" t="s">
        <v>87</v>
      </c>
      <c r="BQ244" s="3" t="s">
        <v>87</v>
      </c>
      <c r="BR244" s="3" t="s">
        <v>87</v>
      </c>
      <c r="BS244" s="3" t="s">
        <v>87</v>
      </c>
      <c r="BT244" s="3" t="s">
        <v>87</v>
      </c>
      <c r="BU244" s="3" t="s">
        <v>81</v>
      </c>
      <c r="BV244" s="3" t="s">
        <v>82</v>
      </c>
      <c r="BW244" s="3" t="s">
        <v>91</v>
      </c>
      <c r="BX244" s="3" t="s">
        <v>82</v>
      </c>
      <c r="BY244" s="3"/>
      <c r="BZ244" s="3" t="s">
        <v>93</v>
      </c>
      <c r="CA244" s="3" t="s">
        <v>103</v>
      </c>
      <c r="CB244" s="3" t="s">
        <v>84</v>
      </c>
      <c r="CC244" s="3"/>
      <c r="CD244" s="9">
        <v>20</v>
      </c>
      <c r="CE244" s="3"/>
      <c r="CF244" s="4"/>
      <c r="CG244" s="4">
        <v>19</v>
      </c>
      <c r="CH244" s="4"/>
    </row>
    <row r="245" spans="1:87" ht="13" x14ac:dyDescent="0.15">
      <c r="A245" s="9" t="s">
        <v>557</v>
      </c>
      <c r="B245" s="9" t="s">
        <v>563</v>
      </c>
      <c r="C245" s="9" t="s">
        <v>563</v>
      </c>
      <c r="E245">
        <v>6</v>
      </c>
      <c r="G245" s="3">
        <v>2</v>
      </c>
      <c r="H245">
        <v>104.08</v>
      </c>
      <c r="I245" s="3">
        <v>20.82</v>
      </c>
      <c r="J245">
        <v>68.27</v>
      </c>
      <c r="K245">
        <v>63.4</v>
      </c>
      <c r="L245">
        <v>57.73</v>
      </c>
      <c r="M245">
        <v>69.290000000000006</v>
      </c>
      <c r="N245" s="3" t="s">
        <v>81</v>
      </c>
      <c r="O245" s="3" t="s">
        <v>81</v>
      </c>
      <c r="P245" s="3" t="s">
        <v>81</v>
      </c>
      <c r="Q245" s="3">
        <f>SUM(S245+U245+W245)</f>
        <v>249.21999999999997</v>
      </c>
      <c r="R245" s="3">
        <v>2</v>
      </c>
      <c r="S245">
        <f>SUM(39.32+26.02+35.58)</f>
        <v>100.92</v>
      </c>
      <c r="T245">
        <v>67.58</v>
      </c>
      <c r="U245">
        <f>SUM(33.18+27.04)</f>
        <v>60.22</v>
      </c>
      <c r="V245">
        <f>SUM(40.88+29.66)</f>
        <v>70.540000000000006</v>
      </c>
      <c r="W245">
        <v>88.08</v>
      </c>
      <c r="X245" s="3" t="s">
        <v>81</v>
      </c>
      <c r="Y245" s="3" t="s">
        <v>81</v>
      </c>
      <c r="Z245" s="3" t="s">
        <v>81</v>
      </c>
      <c r="AA245" s="3" t="s">
        <v>81</v>
      </c>
      <c r="AB245" s="3">
        <f>SUM(AD245,AF245,AH245)</f>
        <v>247.31</v>
      </c>
      <c r="AC245">
        <v>2</v>
      </c>
      <c r="AD245">
        <f>SUM(60.38+70.31)</f>
        <v>130.69</v>
      </c>
      <c r="AE245">
        <v>57.58</v>
      </c>
      <c r="AF245">
        <f>SUM(41.31+18.44)</f>
        <v>59.75</v>
      </c>
      <c r="AG245">
        <v>19.5</v>
      </c>
      <c r="AH245">
        <v>56.87</v>
      </c>
      <c r="AI245" s="3" t="s">
        <v>81</v>
      </c>
      <c r="AJ245" s="3" t="s">
        <v>81</v>
      </c>
      <c r="AK245" s="3" t="s">
        <v>81</v>
      </c>
      <c r="AL245" s="3" t="s">
        <v>81</v>
      </c>
      <c r="AM245">
        <f>SUM(AO245+AQ245)</f>
        <v>173.32</v>
      </c>
      <c r="AN245">
        <v>1</v>
      </c>
      <c r="AO245">
        <v>117.47</v>
      </c>
      <c r="AP245">
        <v>92.82</v>
      </c>
      <c r="AQ245">
        <f>SUM(29.63+26.22)</f>
        <v>55.849999999999994</v>
      </c>
      <c r="AR245" s="3" t="s">
        <v>81</v>
      </c>
      <c r="AS245" s="3" t="s">
        <v>81</v>
      </c>
      <c r="AT245" s="3" t="s">
        <v>81</v>
      </c>
      <c r="AU245" s="3" t="s">
        <v>81</v>
      </c>
      <c r="AV245" s="3" t="s">
        <v>81</v>
      </c>
      <c r="AW245" s="3" t="s">
        <v>81</v>
      </c>
      <c r="AX245">
        <f>SUM(AZ245,BB245,BD245,BF245,BH245)</f>
        <v>325.5</v>
      </c>
      <c r="AY245">
        <v>4</v>
      </c>
      <c r="AZ245">
        <f>SUM(68.65+15.42+9.42+15.95)</f>
        <v>109.44000000000001</v>
      </c>
      <c r="BA245">
        <f>SUM(48.17+14.21)</f>
        <v>62.38</v>
      </c>
      <c r="BB245">
        <f>SUM(8.93+16.43+24.49)</f>
        <v>49.849999999999994</v>
      </c>
      <c r="BC245">
        <v>29.97</v>
      </c>
      <c r="BD245">
        <f>SUM(20.04+12.54)</f>
        <v>32.58</v>
      </c>
      <c r="BE245">
        <f>SUM(24.48+43.13)</f>
        <v>67.61</v>
      </c>
      <c r="BF245">
        <v>58.33</v>
      </c>
      <c r="BG245">
        <v>55.48</v>
      </c>
      <c r="BH245">
        <v>75.3</v>
      </c>
      <c r="BI245" s="3" t="s">
        <v>84</v>
      </c>
      <c r="BJ245" s="3" t="s">
        <v>84</v>
      </c>
      <c r="BK245" s="3" t="s">
        <v>84</v>
      </c>
      <c r="BL245" s="3" t="s">
        <v>82</v>
      </c>
      <c r="BM245" s="3" t="s">
        <v>83</v>
      </c>
      <c r="BN245" s="3" t="s">
        <v>83</v>
      </c>
      <c r="BO245" s="3"/>
      <c r="BV245" s="3"/>
      <c r="BW245" s="3"/>
      <c r="BX245" s="3"/>
      <c r="BZ245" s="9" t="s">
        <v>93</v>
      </c>
      <c r="CB245" s="9" t="s">
        <v>84</v>
      </c>
      <c r="CD245">
        <v>30</v>
      </c>
      <c r="CG245">
        <v>30</v>
      </c>
      <c r="CI245" s="6"/>
    </row>
    <row r="246" spans="1:87" ht="13" x14ac:dyDescent="0.15">
      <c r="A246" s="3">
        <v>1228381036</v>
      </c>
      <c r="B246" s="3" t="s">
        <v>446</v>
      </c>
      <c r="C246" s="3" t="s">
        <v>446</v>
      </c>
      <c r="D246" s="3">
        <v>7</v>
      </c>
      <c r="E246" s="3">
        <v>8</v>
      </c>
      <c r="F246" s="3">
        <v>18.841000000000001</v>
      </c>
      <c r="G246" s="3">
        <v>0</v>
      </c>
      <c r="H246" s="3" t="s">
        <v>81</v>
      </c>
      <c r="I246" s="3" t="s">
        <v>81</v>
      </c>
      <c r="J246" s="3" t="s">
        <v>81</v>
      </c>
      <c r="K246" s="3" t="s">
        <v>81</v>
      </c>
      <c r="L246" s="3" t="s">
        <v>81</v>
      </c>
      <c r="M246" s="3" t="s">
        <v>81</v>
      </c>
      <c r="N246" s="3" t="s">
        <v>81</v>
      </c>
      <c r="O246" s="3" t="s">
        <v>81</v>
      </c>
      <c r="P246" s="3" t="s">
        <v>81</v>
      </c>
      <c r="Q246" s="3">
        <v>15.670999999999999</v>
      </c>
      <c r="R246" s="3">
        <v>0</v>
      </c>
      <c r="S246" s="3" t="s">
        <v>81</v>
      </c>
      <c r="T246" s="3" t="s">
        <v>81</v>
      </c>
      <c r="U246" s="3" t="s">
        <v>81</v>
      </c>
      <c r="V246" s="3" t="s">
        <v>81</v>
      </c>
      <c r="W246" s="3" t="s">
        <v>81</v>
      </c>
      <c r="X246" s="3" t="s">
        <v>81</v>
      </c>
      <c r="Y246" s="3" t="s">
        <v>81</v>
      </c>
      <c r="Z246" s="3" t="s">
        <v>81</v>
      </c>
      <c r="AA246" s="3" t="s">
        <v>81</v>
      </c>
      <c r="AB246" s="3">
        <v>14.722</v>
      </c>
      <c r="AC246" s="3">
        <v>0</v>
      </c>
      <c r="AD246" s="3" t="s">
        <v>81</v>
      </c>
      <c r="AE246" s="3" t="s">
        <v>81</v>
      </c>
      <c r="AF246" s="3" t="s">
        <v>81</v>
      </c>
      <c r="AG246" s="3" t="s">
        <v>81</v>
      </c>
      <c r="AH246" s="3" t="s">
        <v>81</v>
      </c>
      <c r="AI246" s="3" t="s">
        <v>81</v>
      </c>
      <c r="AJ246" s="3" t="s">
        <v>81</v>
      </c>
      <c r="AK246" s="3" t="s">
        <v>81</v>
      </c>
      <c r="AL246" s="3" t="s">
        <v>81</v>
      </c>
      <c r="AM246" s="3">
        <v>14.324999999999999</v>
      </c>
      <c r="AN246" s="3">
        <v>0</v>
      </c>
      <c r="AO246" s="3" t="s">
        <v>81</v>
      </c>
      <c r="AP246" s="3" t="s">
        <v>81</v>
      </c>
      <c r="AQ246" s="3" t="s">
        <v>81</v>
      </c>
      <c r="AR246" s="3" t="s">
        <v>81</v>
      </c>
      <c r="AS246" s="3" t="s">
        <v>81</v>
      </c>
      <c r="AT246" s="3" t="s">
        <v>81</v>
      </c>
      <c r="AU246" s="3" t="s">
        <v>81</v>
      </c>
      <c r="AV246" s="3" t="s">
        <v>81</v>
      </c>
      <c r="AW246" s="3" t="s">
        <v>81</v>
      </c>
      <c r="AX246" s="3">
        <v>14.922000000000001</v>
      </c>
      <c r="AY246" s="3">
        <v>0</v>
      </c>
      <c r="AZ246" s="3" t="s">
        <v>81</v>
      </c>
      <c r="BA246" s="3" t="s">
        <v>81</v>
      </c>
      <c r="BB246" s="3" t="s">
        <v>81</v>
      </c>
      <c r="BC246" s="3" t="s">
        <v>81</v>
      </c>
      <c r="BD246" s="3" t="s">
        <v>81</v>
      </c>
      <c r="BE246" s="3" t="s">
        <v>81</v>
      </c>
      <c r="BF246" s="3" t="s">
        <v>81</v>
      </c>
      <c r="BG246" s="3" t="s">
        <v>81</v>
      </c>
      <c r="BH246" s="3" t="s">
        <v>81</v>
      </c>
      <c r="BI246" s="3" t="s">
        <v>84</v>
      </c>
      <c r="BJ246" s="3" t="s">
        <v>84</v>
      </c>
      <c r="BK246" s="3" t="s">
        <v>82</v>
      </c>
      <c r="BL246" s="3" t="s">
        <v>84</v>
      </c>
      <c r="BM246" s="3" t="s">
        <v>84</v>
      </c>
      <c r="BN246" s="3" t="s">
        <v>82</v>
      </c>
      <c r="BO246" s="3" t="s">
        <v>84</v>
      </c>
      <c r="BP246" s="3" t="s">
        <v>447</v>
      </c>
      <c r="BQ246" s="3" t="s">
        <v>447</v>
      </c>
      <c r="BR246" s="3" t="s">
        <v>448</v>
      </c>
      <c r="BS246" s="3" t="s">
        <v>448</v>
      </c>
      <c r="BT246" s="3" t="s">
        <v>87</v>
      </c>
      <c r="BU246" s="3" t="s">
        <v>98</v>
      </c>
      <c r="BV246" s="3" t="s">
        <v>84</v>
      </c>
      <c r="BW246" s="3" t="s">
        <v>83</v>
      </c>
      <c r="BX246" s="3" t="s">
        <v>82</v>
      </c>
      <c r="BY246" s="3"/>
      <c r="BZ246" s="3" t="s">
        <v>93</v>
      </c>
      <c r="CA246" s="3"/>
      <c r="CB246" s="3" t="s">
        <v>84</v>
      </c>
      <c r="CC246" s="3"/>
      <c r="CD246" s="9">
        <v>8</v>
      </c>
      <c r="CE246" s="9">
        <v>4</v>
      </c>
      <c r="CF246" s="9">
        <v>14</v>
      </c>
      <c r="CG246" s="6"/>
      <c r="CH246" s="6"/>
    </row>
    <row r="247" spans="1:87" ht="13" x14ac:dyDescent="0.15">
      <c r="A247" s="3">
        <v>1228606915</v>
      </c>
      <c r="B247" s="3" t="s">
        <v>446</v>
      </c>
      <c r="C247" s="3" t="s">
        <v>446</v>
      </c>
      <c r="D247" s="3">
        <v>4</v>
      </c>
      <c r="E247" s="3">
        <v>4</v>
      </c>
      <c r="F247" s="3">
        <v>18</v>
      </c>
      <c r="G247" s="3">
        <v>1</v>
      </c>
      <c r="H247" s="3">
        <v>8.5139999999999993</v>
      </c>
      <c r="I247" s="3">
        <v>7.2169999999999996</v>
      </c>
      <c r="J247" s="3">
        <v>8.7620000000000005</v>
      </c>
      <c r="K247" s="3" t="s">
        <v>81</v>
      </c>
      <c r="L247" s="3" t="s">
        <v>81</v>
      </c>
      <c r="M247" s="3" t="s">
        <v>81</v>
      </c>
      <c r="N247" s="3" t="s">
        <v>81</v>
      </c>
      <c r="O247" s="3" t="s">
        <v>81</v>
      </c>
      <c r="P247" s="3" t="s">
        <v>81</v>
      </c>
      <c r="Q247" s="3">
        <v>21.126999999999999</v>
      </c>
      <c r="R247" s="3">
        <v>1</v>
      </c>
      <c r="S247" s="3">
        <v>12.022</v>
      </c>
      <c r="T247" s="3">
        <v>8.6519999999999992</v>
      </c>
      <c r="U247" s="3">
        <v>7.976</v>
      </c>
      <c r="V247" s="3" t="s">
        <v>81</v>
      </c>
      <c r="W247" s="3" t="s">
        <v>81</v>
      </c>
      <c r="X247" s="3" t="s">
        <v>81</v>
      </c>
      <c r="Y247" s="3" t="s">
        <v>81</v>
      </c>
      <c r="Z247" s="3" t="s">
        <v>81</v>
      </c>
      <c r="AA247" s="3" t="s">
        <v>81</v>
      </c>
      <c r="AB247" s="3">
        <v>15.209</v>
      </c>
      <c r="AC247" s="3">
        <v>1</v>
      </c>
      <c r="AD247" s="3">
        <v>11.833</v>
      </c>
      <c r="AE247" s="3">
        <v>6.923</v>
      </c>
      <c r="AF247" s="3" t="s">
        <v>81</v>
      </c>
      <c r="AG247" s="3" t="s">
        <v>81</v>
      </c>
      <c r="AH247" s="3" t="s">
        <v>81</v>
      </c>
      <c r="AI247" s="3" t="s">
        <v>81</v>
      </c>
      <c r="AJ247" s="3" t="s">
        <v>81</v>
      </c>
      <c r="AK247" s="3" t="s">
        <v>81</v>
      </c>
      <c r="AL247" s="3" t="s">
        <v>81</v>
      </c>
      <c r="AM247" s="3">
        <v>19.748000000000001</v>
      </c>
      <c r="AN247" s="3">
        <v>1</v>
      </c>
      <c r="AO247" s="3">
        <v>10.724</v>
      </c>
      <c r="AP247" s="3">
        <v>7.9329999999999998</v>
      </c>
      <c r="AQ247" s="3">
        <v>9.6039999999999992</v>
      </c>
      <c r="AR247" s="3" t="s">
        <v>81</v>
      </c>
      <c r="AS247" s="3" t="s">
        <v>81</v>
      </c>
      <c r="AT247" s="3" t="s">
        <v>81</v>
      </c>
      <c r="AU247" s="3" t="s">
        <v>81</v>
      </c>
      <c r="AV247" s="3" t="s">
        <v>81</v>
      </c>
      <c r="AW247" s="3" t="s">
        <v>81</v>
      </c>
      <c r="AX247" s="3" t="s">
        <v>81</v>
      </c>
      <c r="AY247" s="3" t="s">
        <v>81</v>
      </c>
      <c r="AZ247" s="3" t="s">
        <v>81</v>
      </c>
      <c r="BA247" s="3" t="s">
        <v>81</v>
      </c>
      <c r="BB247" s="3" t="s">
        <v>81</v>
      </c>
      <c r="BC247" s="3" t="s">
        <v>81</v>
      </c>
      <c r="BD247" s="3" t="s">
        <v>81</v>
      </c>
      <c r="BE247" s="3" t="s">
        <v>81</v>
      </c>
      <c r="BF247" s="3" t="s">
        <v>81</v>
      </c>
      <c r="BG247" s="3" t="s">
        <v>81</v>
      </c>
      <c r="BH247" s="3" t="s">
        <v>81</v>
      </c>
      <c r="BI247" s="3" t="s">
        <v>84</v>
      </c>
      <c r="BJ247" s="3" t="s">
        <v>82</v>
      </c>
      <c r="BK247" s="3" t="s">
        <v>83</v>
      </c>
      <c r="BL247" s="3" t="s">
        <v>84</v>
      </c>
      <c r="BM247" s="3" t="s">
        <v>84</v>
      </c>
      <c r="BN247" s="3" t="s">
        <v>82</v>
      </c>
      <c r="BO247" s="3" t="s">
        <v>82</v>
      </c>
      <c r="BP247" s="3" t="s">
        <v>87</v>
      </c>
      <c r="BQ247" s="3" t="s">
        <v>87</v>
      </c>
      <c r="BR247" s="3" t="s">
        <v>87</v>
      </c>
      <c r="BS247" s="3" t="s">
        <v>87</v>
      </c>
      <c r="BT247" s="3" t="s">
        <v>87</v>
      </c>
      <c r="BU247" s="3" t="s">
        <v>81</v>
      </c>
      <c r="BV247" s="3" t="s">
        <v>84</v>
      </c>
      <c r="BW247" s="3" t="s">
        <v>83</v>
      </c>
      <c r="BX247" s="3" t="s">
        <v>82</v>
      </c>
      <c r="BY247" s="3" t="s">
        <v>449</v>
      </c>
      <c r="BZ247" s="3" t="s">
        <v>93</v>
      </c>
      <c r="CB247" s="3" t="s">
        <v>84</v>
      </c>
      <c r="CD247" s="9">
        <v>8</v>
      </c>
      <c r="CE247" s="9">
        <v>7</v>
      </c>
      <c r="CF247" s="9"/>
    </row>
    <row r="248" spans="1:87" ht="13" x14ac:dyDescent="0.15">
      <c r="A248" s="3">
        <v>1318214206</v>
      </c>
      <c r="B248" s="3" t="s">
        <v>446</v>
      </c>
      <c r="C248" s="3" t="s">
        <v>446</v>
      </c>
      <c r="D248" s="3" t="s">
        <v>81</v>
      </c>
      <c r="E248" s="3">
        <v>3</v>
      </c>
      <c r="F248" s="3">
        <v>6.5369999999999999</v>
      </c>
      <c r="G248" s="3">
        <v>2</v>
      </c>
      <c r="H248" s="3">
        <v>1.589</v>
      </c>
      <c r="I248" s="3">
        <v>12.375999999999999</v>
      </c>
      <c r="J248" s="3">
        <v>4.3140000000000001</v>
      </c>
      <c r="K248" s="3">
        <v>7.4950000000000001</v>
      </c>
      <c r="L248" s="3">
        <v>0.48799999999999999</v>
      </c>
      <c r="M248" s="3" t="s">
        <v>81</v>
      </c>
      <c r="N248" s="3" t="s">
        <v>81</v>
      </c>
      <c r="O248" s="3" t="s">
        <v>81</v>
      </c>
      <c r="P248" s="3" t="s">
        <v>81</v>
      </c>
      <c r="Q248" s="3">
        <v>6.7370000000000001</v>
      </c>
      <c r="R248" s="3">
        <v>2</v>
      </c>
      <c r="S248" s="3">
        <v>2.0139999999999998</v>
      </c>
      <c r="T248" s="3">
        <v>12.792</v>
      </c>
      <c r="U248" s="3">
        <v>3.375</v>
      </c>
      <c r="V248" s="3">
        <v>9.2379999999999995</v>
      </c>
      <c r="W248" s="3">
        <v>0.85</v>
      </c>
      <c r="X248" s="3" t="s">
        <v>81</v>
      </c>
      <c r="Y248" s="3" t="s">
        <v>81</v>
      </c>
      <c r="Z248" s="3" t="s">
        <v>81</v>
      </c>
      <c r="AA248" s="3" t="s">
        <v>81</v>
      </c>
      <c r="AB248" s="3" t="s">
        <v>81</v>
      </c>
      <c r="AC248" s="3" t="s">
        <v>81</v>
      </c>
      <c r="AD248" s="3" t="s">
        <v>81</v>
      </c>
      <c r="AE248" s="3" t="s">
        <v>81</v>
      </c>
      <c r="AF248" s="3" t="s">
        <v>81</v>
      </c>
      <c r="AG248" s="3" t="s">
        <v>81</v>
      </c>
      <c r="AH248" s="3" t="s">
        <v>81</v>
      </c>
      <c r="AI248" s="3" t="s">
        <v>81</v>
      </c>
      <c r="AJ248" s="3" t="s">
        <v>81</v>
      </c>
      <c r="AK248" s="3" t="s">
        <v>81</v>
      </c>
      <c r="AL248" s="3" t="s">
        <v>81</v>
      </c>
      <c r="AM248" s="3" t="s">
        <v>81</v>
      </c>
      <c r="AN248" s="3" t="s">
        <v>81</v>
      </c>
      <c r="AO248" s="3" t="s">
        <v>81</v>
      </c>
      <c r="AP248" s="3" t="s">
        <v>81</v>
      </c>
      <c r="AQ248" s="3" t="s">
        <v>81</v>
      </c>
      <c r="AR248" s="3" t="s">
        <v>81</v>
      </c>
      <c r="AS248" s="3" t="s">
        <v>81</v>
      </c>
      <c r="AT248" s="3" t="s">
        <v>81</v>
      </c>
      <c r="AU248" s="3" t="s">
        <v>81</v>
      </c>
      <c r="AV248" s="3" t="s">
        <v>81</v>
      </c>
      <c r="AW248" s="3" t="s">
        <v>81</v>
      </c>
      <c r="AX248" s="3" t="s">
        <v>81</v>
      </c>
      <c r="AY248" s="3" t="s">
        <v>81</v>
      </c>
      <c r="AZ248" s="3" t="s">
        <v>81</v>
      </c>
      <c r="BA248" s="3" t="s">
        <v>81</v>
      </c>
      <c r="BB248" s="3" t="s">
        <v>81</v>
      </c>
      <c r="BC248" s="3" t="s">
        <v>81</v>
      </c>
      <c r="BD248" s="3" t="s">
        <v>81</v>
      </c>
      <c r="BE248" s="3" t="s">
        <v>81</v>
      </c>
      <c r="BF248" s="3" t="s">
        <v>81</v>
      </c>
      <c r="BG248" s="3" t="s">
        <v>81</v>
      </c>
      <c r="BH248" s="3" t="s">
        <v>81</v>
      </c>
      <c r="BI248" s="3" t="s">
        <v>84</v>
      </c>
      <c r="BJ248" s="3" t="s">
        <v>84</v>
      </c>
      <c r="BK248" s="3" t="s">
        <v>82</v>
      </c>
      <c r="BL248" s="3" t="s">
        <v>84</v>
      </c>
      <c r="BM248" s="3" t="s">
        <v>84</v>
      </c>
      <c r="BN248" s="3" t="s">
        <v>82</v>
      </c>
      <c r="BO248" s="3" t="s">
        <v>84</v>
      </c>
      <c r="BP248" s="3" t="s">
        <v>447</v>
      </c>
      <c r="BQ248" s="3" t="s">
        <v>447</v>
      </c>
      <c r="BR248" s="3" t="s">
        <v>450</v>
      </c>
      <c r="BS248" s="3" t="s">
        <v>451</v>
      </c>
      <c r="BT248" s="3" t="s">
        <v>106</v>
      </c>
      <c r="BU248" s="3" t="s">
        <v>98</v>
      </c>
      <c r="BV248" s="3" t="s">
        <v>84</v>
      </c>
      <c r="BW248" s="3" t="s">
        <v>83</v>
      </c>
      <c r="BX248" s="3" t="s">
        <v>82</v>
      </c>
      <c r="BY248" s="3" t="s">
        <v>452</v>
      </c>
      <c r="BZ248" s="3" t="s">
        <v>86</v>
      </c>
      <c r="CB248" s="3" t="s">
        <v>84</v>
      </c>
      <c r="CD248" s="9">
        <v>6</v>
      </c>
      <c r="CE248" s="9"/>
      <c r="CF248" s="9"/>
      <c r="CI248" s="4"/>
    </row>
    <row r="249" spans="1:87" ht="13" x14ac:dyDescent="0.15">
      <c r="A249" s="3">
        <v>1228382386</v>
      </c>
      <c r="B249" s="3" t="s">
        <v>453</v>
      </c>
      <c r="C249" s="3" t="s">
        <v>453</v>
      </c>
      <c r="D249" s="3">
        <v>1</v>
      </c>
      <c r="E249" s="3">
        <v>1</v>
      </c>
      <c r="F249" s="3">
        <v>25.132999999999999</v>
      </c>
      <c r="G249" s="3">
        <v>0</v>
      </c>
      <c r="H249" s="3" t="s">
        <v>81</v>
      </c>
      <c r="I249" s="3" t="s">
        <v>81</v>
      </c>
      <c r="J249" s="3" t="s">
        <v>81</v>
      </c>
      <c r="K249" s="3" t="s">
        <v>81</v>
      </c>
      <c r="L249" s="3" t="s">
        <v>81</v>
      </c>
      <c r="M249" s="3" t="s">
        <v>81</v>
      </c>
      <c r="N249" s="3" t="s">
        <v>81</v>
      </c>
      <c r="O249" s="3" t="s">
        <v>81</v>
      </c>
      <c r="P249" s="3" t="s">
        <v>81</v>
      </c>
      <c r="Q249" s="3" t="s">
        <v>81</v>
      </c>
      <c r="R249" s="3" t="s">
        <v>81</v>
      </c>
      <c r="S249" s="3" t="s">
        <v>81</v>
      </c>
      <c r="T249" s="3" t="s">
        <v>81</v>
      </c>
      <c r="U249" s="3" t="s">
        <v>81</v>
      </c>
      <c r="V249" s="3" t="s">
        <v>81</v>
      </c>
      <c r="W249" s="3" t="s">
        <v>81</v>
      </c>
      <c r="X249" s="3" t="s">
        <v>81</v>
      </c>
      <c r="Y249" s="3" t="s">
        <v>81</v>
      </c>
      <c r="Z249" s="3" t="s">
        <v>81</v>
      </c>
      <c r="AA249" s="3" t="s">
        <v>81</v>
      </c>
      <c r="AB249" s="3" t="s">
        <v>81</v>
      </c>
      <c r="AC249" s="3" t="s">
        <v>81</v>
      </c>
      <c r="AD249" s="3" t="s">
        <v>81</v>
      </c>
      <c r="AE249" s="3" t="s">
        <v>81</v>
      </c>
      <c r="AF249" s="3" t="s">
        <v>81</v>
      </c>
      <c r="AG249" s="3" t="s">
        <v>81</v>
      </c>
      <c r="AH249" s="3" t="s">
        <v>81</v>
      </c>
      <c r="AI249" s="3" t="s">
        <v>81</v>
      </c>
      <c r="AJ249" s="3" t="s">
        <v>81</v>
      </c>
      <c r="AK249" s="3" t="s">
        <v>81</v>
      </c>
      <c r="AL249" s="3" t="s">
        <v>81</v>
      </c>
      <c r="AM249" s="3" t="s">
        <v>81</v>
      </c>
      <c r="AN249" s="3" t="s">
        <v>81</v>
      </c>
      <c r="AO249" s="3" t="s">
        <v>81</v>
      </c>
      <c r="AP249" s="3" t="s">
        <v>81</v>
      </c>
      <c r="AQ249" s="3" t="s">
        <v>81</v>
      </c>
      <c r="AR249" s="3" t="s">
        <v>81</v>
      </c>
      <c r="AS249" s="3" t="s">
        <v>81</v>
      </c>
      <c r="AT249" s="3" t="s">
        <v>81</v>
      </c>
      <c r="AU249" s="3" t="s">
        <v>81</v>
      </c>
      <c r="AV249" s="3" t="s">
        <v>81</v>
      </c>
      <c r="AW249" s="3" t="s">
        <v>81</v>
      </c>
      <c r="AX249" s="3" t="s">
        <v>81</v>
      </c>
      <c r="AY249" s="3" t="s">
        <v>81</v>
      </c>
      <c r="AZ249" s="3" t="s">
        <v>81</v>
      </c>
      <c r="BA249" s="3" t="s">
        <v>81</v>
      </c>
      <c r="BB249" s="3" t="s">
        <v>81</v>
      </c>
      <c r="BC249" s="3" t="s">
        <v>81</v>
      </c>
      <c r="BD249" s="3" t="s">
        <v>81</v>
      </c>
      <c r="BE249" s="3" t="s">
        <v>81</v>
      </c>
      <c r="BF249" s="3" t="s">
        <v>81</v>
      </c>
      <c r="BG249" s="3" t="s">
        <v>81</v>
      </c>
      <c r="BH249" s="3" t="s">
        <v>81</v>
      </c>
      <c r="BI249" s="3" t="s">
        <v>82</v>
      </c>
      <c r="BJ249" s="3" t="s">
        <v>82</v>
      </c>
      <c r="BK249" s="3" t="s">
        <v>83</v>
      </c>
      <c r="BL249" s="3" t="s">
        <v>84</v>
      </c>
      <c r="BM249" s="3" t="s">
        <v>84</v>
      </c>
      <c r="BN249" s="3" t="s">
        <v>83</v>
      </c>
      <c r="BO249" s="3" t="s">
        <v>82</v>
      </c>
      <c r="BP249" s="3" t="s">
        <v>218</v>
      </c>
      <c r="BQ249" s="3" t="s">
        <v>218</v>
      </c>
      <c r="BR249" s="3" t="s">
        <v>454</v>
      </c>
      <c r="BS249" s="3" t="s">
        <v>454</v>
      </c>
      <c r="BT249" s="3" t="s">
        <v>85</v>
      </c>
      <c r="BU249" s="3" t="s">
        <v>98</v>
      </c>
      <c r="BV249" s="3" t="s">
        <v>84</v>
      </c>
      <c r="BW249" s="3" t="s">
        <v>83</v>
      </c>
      <c r="BX249" s="3" t="s">
        <v>82</v>
      </c>
      <c r="BY249" s="3" t="s">
        <v>455</v>
      </c>
      <c r="BZ249" s="3" t="s">
        <v>93</v>
      </c>
      <c r="CA249" s="3"/>
      <c r="CB249" s="3" t="s">
        <v>84</v>
      </c>
      <c r="CC249" s="3"/>
      <c r="CD249" s="9">
        <v>1</v>
      </c>
      <c r="CE249" s="9">
        <v>1</v>
      </c>
      <c r="CF249" s="9">
        <v>1</v>
      </c>
      <c r="CG249" s="6"/>
      <c r="CH249" s="6"/>
      <c r="CI249" s="6"/>
    </row>
    <row r="250" spans="1:87" ht="13" x14ac:dyDescent="0.15">
      <c r="A250" s="3">
        <v>2643381650</v>
      </c>
      <c r="B250" s="3" t="s">
        <v>453</v>
      </c>
      <c r="C250" s="3" t="s">
        <v>453</v>
      </c>
      <c r="D250" s="3">
        <v>1</v>
      </c>
      <c r="E250" s="3">
        <v>1</v>
      </c>
      <c r="F250" s="3">
        <v>27.585999999999999</v>
      </c>
      <c r="G250" s="3">
        <v>0</v>
      </c>
      <c r="H250" s="3" t="s">
        <v>81</v>
      </c>
      <c r="I250" s="3" t="s">
        <v>81</v>
      </c>
      <c r="J250" s="3" t="s">
        <v>81</v>
      </c>
      <c r="K250" s="3" t="s">
        <v>81</v>
      </c>
      <c r="L250" s="3" t="s">
        <v>81</v>
      </c>
      <c r="M250" s="3" t="s">
        <v>81</v>
      </c>
      <c r="N250" s="3" t="s">
        <v>81</v>
      </c>
      <c r="O250" s="3" t="s">
        <v>81</v>
      </c>
      <c r="P250" s="3" t="s">
        <v>81</v>
      </c>
      <c r="Q250" s="3" t="s">
        <v>81</v>
      </c>
      <c r="R250" s="3" t="s">
        <v>81</v>
      </c>
      <c r="S250" s="3" t="s">
        <v>81</v>
      </c>
      <c r="T250" s="3" t="s">
        <v>81</v>
      </c>
      <c r="U250" s="3" t="s">
        <v>81</v>
      </c>
      <c r="V250" s="3" t="s">
        <v>81</v>
      </c>
      <c r="W250" s="3" t="s">
        <v>81</v>
      </c>
      <c r="X250" s="3" t="s">
        <v>81</v>
      </c>
      <c r="Y250" s="3" t="s">
        <v>81</v>
      </c>
      <c r="Z250" s="3" t="s">
        <v>81</v>
      </c>
      <c r="AA250" s="3" t="s">
        <v>81</v>
      </c>
      <c r="AB250" s="3" t="s">
        <v>81</v>
      </c>
      <c r="AC250" s="3" t="s">
        <v>81</v>
      </c>
      <c r="AD250" s="3" t="s">
        <v>81</v>
      </c>
      <c r="AE250" s="3" t="s">
        <v>81</v>
      </c>
      <c r="AF250" s="3" t="s">
        <v>81</v>
      </c>
      <c r="AG250" s="3" t="s">
        <v>81</v>
      </c>
      <c r="AH250" s="3" t="s">
        <v>81</v>
      </c>
      <c r="AI250" s="3" t="s">
        <v>81</v>
      </c>
      <c r="AJ250" s="3" t="s">
        <v>81</v>
      </c>
      <c r="AK250" s="3" t="s">
        <v>81</v>
      </c>
      <c r="AL250" s="3" t="s">
        <v>81</v>
      </c>
      <c r="AM250" s="3" t="s">
        <v>81</v>
      </c>
      <c r="AN250" s="3" t="s">
        <v>81</v>
      </c>
      <c r="AO250" s="3" t="s">
        <v>81</v>
      </c>
      <c r="AP250" s="3" t="s">
        <v>81</v>
      </c>
      <c r="AQ250" s="3" t="s">
        <v>81</v>
      </c>
      <c r="AR250" s="3" t="s">
        <v>81</v>
      </c>
      <c r="AS250" s="3" t="s">
        <v>81</v>
      </c>
      <c r="AT250" s="3" t="s">
        <v>81</v>
      </c>
      <c r="AU250" s="3" t="s">
        <v>81</v>
      </c>
      <c r="AV250" s="3" t="s">
        <v>81</v>
      </c>
      <c r="AW250" s="3" t="s">
        <v>81</v>
      </c>
      <c r="AX250" s="3" t="s">
        <v>81</v>
      </c>
      <c r="AY250" s="3" t="s">
        <v>81</v>
      </c>
      <c r="AZ250" s="3" t="s">
        <v>81</v>
      </c>
      <c r="BA250" s="3" t="s">
        <v>81</v>
      </c>
      <c r="BB250" s="3" t="s">
        <v>81</v>
      </c>
      <c r="BC250" s="3" t="s">
        <v>81</v>
      </c>
      <c r="BD250" s="3" t="s">
        <v>81</v>
      </c>
      <c r="BE250" s="3" t="s">
        <v>81</v>
      </c>
      <c r="BF250" s="3" t="s">
        <v>81</v>
      </c>
      <c r="BG250" s="3" t="s">
        <v>81</v>
      </c>
      <c r="BH250" s="3" t="s">
        <v>81</v>
      </c>
      <c r="BI250" s="3" t="s">
        <v>84</v>
      </c>
      <c r="BJ250" s="3" t="s">
        <v>82</v>
      </c>
      <c r="BK250" s="3" t="s">
        <v>83</v>
      </c>
      <c r="BL250" s="3" t="s">
        <v>84</v>
      </c>
      <c r="BM250" s="3" t="s">
        <v>84</v>
      </c>
      <c r="BN250" s="3" t="s">
        <v>84</v>
      </c>
      <c r="BO250" s="3" t="s">
        <v>83</v>
      </c>
      <c r="BP250" s="3" t="s">
        <v>81</v>
      </c>
      <c r="BQ250" s="3" t="s">
        <v>81</v>
      </c>
      <c r="BR250" s="3" t="s">
        <v>81</v>
      </c>
      <c r="BS250" s="3" t="s">
        <v>81</v>
      </c>
      <c r="BT250" s="3" t="s">
        <v>81</v>
      </c>
      <c r="BU250" s="3" t="s">
        <v>81</v>
      </c>
      <c r="BV250" s="3" t="s">
        <v>84</v>
      </c>
      <c r="BW250" s="3" t="s">
        <v>83</v>
      </c>
      <c r="BX250" s="3" t="s">
        <v>82</v>
      </c>
      <c r="BY250" s="3" t="s">
        <v>173</v>
      </c>
      <c r="BZ250" s="3" t="s">
        <v>86</v>
      </c>
      <c r="CB250" s="3" t="s">
        <v>84</v>
      </c>
      <c r="CD250" s="9">
        <v>1</v>
      </c>
      <c r="CE250" s="9">
        <v>1</v>
      </c>
      <c r="CF250" s="9">
        <v>1</v>
      </c>
      <c r="CI250" s="4"/>
    </row>
    <row r="251" spans="1:87" ht="13" x14ac:dyDescent="0.15">
      <c r="A251" s="3">
        <v>2643381650</v>
      </c>
      <c r="B251" s="3" t="s">
        <v>453</v>
      </c>
      <c r="C251" s="3" t="s">
        <v>453</v>
      </c>
      <c r="D251" s="3">
        <v>1</v>
      </c>
      <c r="E251" s="3">
        <v>1</v>
      </c>
      <c r="F251" s="3">
        <v>17.744</v>
      </c>
      <c r="G251" s="3">
        <v>0</v>
      </c>
      <c r="H251" s="3" t="s">
        <v>81</v>
      </c>
      <c r="I251" s="3" t="s">
        <v>81</v>
      </c>
      <c r="J251" s="3" t="s">
        <v>81</v>
      </c>
      <c r="K251" s="3" t="s">
        <v>81</v>
      </c>
      <c r="L251" s="3" t="s">
        <v>81</v>
      </c>
      <c r="M251" s="3" t="s">
        <v>81</v>
      </c>
      <c r="N251" s="3" t="s">
        <v>81</v>
      </c>
      <c r="O251" s="3" t="s">
        <v>81</v>
      </c>
      <c r="P251" s="3" t="s">
        <v>81</v>
      </c>
      <c r="Q251" s="3" t="s">
        <v>81</v>
      </c>
      <c r="R251" s="3" t="s">
        <v>81</v>
      </c>
      <c r="S251" s="3" t="s">
        <v>81</v>
      </c>
      <c r="T251" s="3" t="s">
        <v>81</v>
      </c>
      <c r="U251" s="3" t="s">
        <v>81</v>
      </c>
      <c r="V251" s="3" t="s">
        <v>81</v>
      </c>
      <c r="W251" s="3" t="s">
        <v>81</v>
      </c>
      <c r="X251" s="3" t="s">
        <v>81</v>
      </c>
      <c r="Y251" s="3" t="s">
        <v>81</v>
      </c>
      <c r="Z251" s="3" t="s">
        <v>81</v>
      </c>
      <c r="AA251" s="3" t="s">
        <v>81</v>
      </c>
      <c r="AB251" s="3" t="s">
        <v>81</v>
      </c>
      <c r="AC251" s="3" t="s">
        <v>81</v>
      </c>
      <c r="AD251" s="3" t="s">
        <v>81</v>
      </c>
      <c r="AE251" s="3" t="s">
        <v>81</v>
      </c>
      <c r="AF251" s="3" t="s">
        <v>81</v>
      </c>
      <c r="AG251" s="3" t="s">
        <v>81</v>
      </c>
      <c r="AH251" s="3" t="s">
        <v>81</v>
      </c>
      <c r="AI251" s="3" t="s">
        <v>81</v>
      </c>
      <c r="AJ251" s="3" t="s">
        <v>81</v>
      </c>
      <c r="AK251" s="3" t="s">
        <v>81</v>
      </c>
      <c r="AL251" s="3" t="s">
        <v>81</v>
      </c>
      <c r="AM251" s="3" t="s">
        <v>81</v>
      </c>
      <c r="AN251" s="3" t="s">
        <v>81</v>
      </c>
      <c r="AO251" s="3" t="s">
        <v>81</v>
      </c>
      <c r="AP251" s="3" t="s">
        <v>81</v>
      </c>
      <c r="AQ251" s="3" t="s">
        <v>81</v>
      </c>
      <c r="AR251" s="3" t="s">
        <v>81</v>
      </c>
      <c r="AS251" s="3" t="s">
        <v>81</v>
      </c>
      <c r="AT251" s="3" t="s">
        <v>81</v>
      </c>
      <c r="AU251" s="3" t="s">
        <v>81</v>
      </c>
      <c r="AV251" s="3" t="s">
        <v>81</v>
      </c>
      <c r="AW251" s="3" t="s">
        <v>81</v>
      </c>
      <c r="AX251" s="3" t="s">
        <v>81</v>
      </c>
      <c r="AY251" s="3" t="s">
        <v>81</v>
      </c>
      <c r="AZ251" s="3" t="s">
        <v>81</v>
      </c>
      <c r="BA251" s="3" t="s">
        <v>81</v>
      </c>
      <c r="BB251" s="3" t="s">
        <v>81</v>
      </c>
      <c r="BC251" s="3" t="s">
        <v>81</v>
      </c>
      <c r="BD251" s="3" t="s">
        <v>81</v>
      </c>
      <c r="BE251" s="3" t="s">
        <v>81</v>
      </c>
      <c r="BF251" s="3" t="s">
        <v>81</v>
      </c>
      <c r="BG251" s="3" t="s">
        <v>81</v>
      </c>
      <c r="BH251" s="3" t="s">
        <v>81</v>
      </c>
      <c r="BI251" s="3" t="s">
        <v>84</v>
      </c>
      <c r="BJ251" s="3" t="s">
        <v>82</v>
      </c>
      <c r="BK251" s="3" t="s">
        <v>83</v>
      </c>
      <c r="BL251" s="3" t="s">
        <v>84</v>
      </c>
      <c r="BM251" s="3" t="s">
        <v>84</v>
      </c>
      <c r="BN251" s="3" t="s">
        <v>84</v>
      </c>
      <c r="BO251" s="3" t="s">
        <v>83</v>
      </c>
      <c r="BP251" s="3" t="s">
        <v>81</v>
      </c>
      <c r="BQ251" s="3" t="s">
        <v>81</v>
      </c>
      <c r="BR251" s="3" t="s">
        <v>81</v>
      </c>
      <c r="BS251" s="3" t="s">
        <v>81</v>
      </c>
      <c r="BT251" s="3" t="s">
        <v>81</v>
      </c>
      <c r="BU251" s="3" t="s">
        <v>81</v>
      </c>
      <c r="BV251" s="3" t="s">
        <v>84</v>
      </c>
      <c r="BW251" s="3" t="s">
        <v>83</v>
      </c>
      <c r="BX251" s="3" t="s">
        <v>82</v>
      </c>
      <c r="BY251" s="3" t="s">
        <v>173</v>
      </c>
      <c r="BZ251" s="3" t="s">
        <v>86</v>
      </c>
      <c r="CB251" s="3" t="s">
        <v>84</v>
      </c>
      <c r="CD251" s="9">
        <v>1</v>
      </c>
      <c r="CE251" s="9">
        <v>1</v>
      </c>
      <c r="CF251" s="9">
        <v>1</v>
      </c>
      <c r="CI251" s="6"/>
    </row>
    <row r="252" spans="1:87" ht="13" x14ac:dyDescent="0.15">
      <c r="A252" s="3">
        <v>2235911604</v>
      </c>
      <c r="B252" s="3" t="s">
        <v>456</v>
      </c>
      <c r="C252" s="3" t="s">
        <v>456</v>
      </c>
      <c r="D252" s="3">
        <v>3</v>
      </c>
      <c r="E252" s="3">
        <v>3</v>
      </c>
      <c r="F252" s="3">
        <v>41.77</v>
      </c>
      <c r="G252" s="3">
        <v>0</v>
      </c>
      <c r="H252" s="3" t="s">
        <v>81</v>
      </c>
      <c r="I252" s="3" t="s">
        <v>81</v>
      </c>
      <c r="J252" s="3" t="s">
        <v>81</v>
      </c>
      <c r="K252" s="3" t="s">
        <v>81</v>
      </c>
      <c r="L252" s="3" t="s">
        <v>81</v>
      </c>
      <c r="M252" s="3" t="s">
        <v>81</v>
      </c>
      <c r="N252" s="3" t="s">
        <v>81</v>
      </c>
      <c r="O252" s="3" t="s">
        <v>81</v>
      </c>
      <c r="P252" s="3" t="s">
        <v>81</v>
      </c>
      <c r="Q252" s="3">
        <v>41.308</v>
      </c>
      <c r="R252" s="3">
        <v>0</v>
      </c>
      <c r="S252" s="3" t="s">
        <v>81</v>
      </c>
      <c r="T252" s="3" t="s">
        <v>81</v>
      </c>
      <c r="U252" s="3" t="s">
        <v>81</v>
      </c>
      <c r="V252" s="3" t="s">
        <v>81</v>
      </c>
      <c r="W252" s="3" t="s">
        <v>81</v>
      </c>
      <c r="X252" s="3" t="s">
        <v>81</v>
      </c>
      <c r="Y252" s="3" t="s">
        <v>81</v>
      </c>
      <c r="Z252" s="3" t="s">
        <v>81</v>
      </c>
      <c r="AA252" s="3" t="s">
        <v>81</v>
      </c>
      <c r="AB252" s="3" t="s">
        <v>81</v>
      </c>
      <c r="AC252" s="3" t="s">
        <v>81</v>
      </c>
      <c r="AD252" s="3" t="s">
        <v>81</v>
      </c>
      <c r="AE252" s="3" t="s">
        <v>81</v>
      </c>
      <c r="AF252" s="3" t="s">
        <v>81</v>
      </c>
      <c r="AG252" s="3" t="s">
        <v>81</v>
      </c>
      <c r="AH252" s="3" t="s">
        <v>81</v>
      </c>
      <c r="AI252" s="3" t="s">
        <v>81</v>
      </c>
      <c r="AJ252" s="3" t="s">
        <v>81</v>
      </c>
      <c r="AK252" s="3" t="s">
        <v>81</v>
      </c>
      <c r="AL252" s="3" t="s">
        <v>81</v>
      </c>
      <c r="AM252" s="3" t="s">
        <v>81</v>
      </c>
      <c r="AN252" s="3" t="s">
        <v>81</v>
      </c>
      <c r="AO252" s="3" t="s">
        <v>81</v>
      </c>
      <c r="AP252" s="3" t="s">
        <v>81</v>
      </c>
      <c r="AQ252" s="3" t="s">
        <v>81</v>
      </c>
      <c r="AR252" s="3" t="s">
        <v>81</v>
      </c>
      <c r="AS252" s="3" t="s">
        <v>81</v>
      </c>
      <c r="AT252" s="3" t="s">
        <v>81</v>
      </c>
      <c r="AU252" s="3" t="s">
        <v>81</v>
      </c>
      <c r="AV252" s="3" t="s">
        <v>81</v>
      </c>
      <c r="AW252" s="3" t="s">
        <v>81</v>
      </c>
      <c r="AX252" s="3" t="s">
        <v>81</v>
      </c>
      <c r="AY252" s="3" t="s">
        <v>81</v>
      </c>
      <c r="AZ252" s="3" t="s">
        <v>81</v>
      </c>
      <c r="BA252" s="3" t="s">
        <v>81</v>
      </c>
      <c r="BB252" s="3" t="s">
        <v>81</v>
      </c>
      <c r="BC252" s="3" t="s">
        <v>81</v>
      </c>
      <c r="BD252" s="3" t="s">
        <v>81</v>
      </c>
      <c r="BE252" s="3" t="s">
        <v>81</v>
      </c>
      <c r="BF252" s="3" t="s">
        <v>81</v>
      </c>
      <c r="BG252" s="3" t="s">
        <v>81</v>
      </c>
      <c r="BH252" s="3" t="s">
        <v>81</v>
      </c>
      <c r="BI252" s="3" t="s">
        <v>84</v>
      </c>
      <c r="BJ252" s="3" t="s">
        <v>82</v>
      </c>
      <c r="BK252" s="3" t="s">
        <v>83</v>
      </c>
      <c r="BL252" s="3" t="s">
        <v>84</v>
      </c>
      <c r="BM252" s="3" t="s">
        <v>84</v>
      </c>
      <c r="BN252" s="3" t="s">
        <v>84</v>
      </c>
      <c r="BO252" s="3" t="s">
        <v>83</v>
      </c>
      <c r="BP252" s="3" t="s">
        <v>81</v>
      </c>
      <c r="BQ252" s="3" t="s">
        <v>81</v>
      </c>
      <c r="BR252" s="3" t="s">
        <v>81</v>
      </c>
      <c r="BS252" s="3" t="s">
        <v>81</v>
      </c>
      <c r="BT252" s="3" t="s">
        <v>81</v>
      </c>
      <c r="BU252" s="3" t="s">
        <v>81</v>
      </c>
      <c r="BV252" s="3" t="s">
        <v>82</v>
      </c>
      <c r="BW252" s="3" t="s">
        <v>91</v>
      </c>
      <c r="BX252" s="3" t="s">
        <v>82</v>
      </c>
      <c r="BY252" s="3" t="s">
        <v>173</v>
      </c>
      <c r="BZ252" s="3" t="s">
        <v>86</v>
      </c>
      <c r="CA252" s="3"/>
      <c r="CB252" s="3" t="s">
        <v>84</v>
      </c>
      <c r="CC252" s="3"/>
      <c r="CD252" s="9">
        <v>3</v>
      </c>
      <c r="CE252" s="9"/>
      <c r="CF252" s="9"/>
      <c r="CG252" s="6"/>
      <c r="CH252" s="6"/>
    </row>
    <row r="253" spans="1:87" ht="13" x14ac:dyDescent="0.15">
      <c r="A253" s="3">
        <v>2236155623</v>
      </c>
      <c r="B253" s="3" t="s">
        <v>456</v>
      </c>
      <c r="C253" s="3" t="s">
        <v>456</v>
      </c>
      <c r="D253" s="3">
        <v>7</v>
      </c>
      <c r="E253" s="3">
        <v>13</v>
      </c>
      <c r="F253" s="3">
        <v>26.893000000000001</v>
      </c>
      <c r="G253" s="3">
        <v>0</v>
      </c>
      <c r="H253" s="3" t="s">
        <v>81</v>
      </c>
      <c r="I253" s="3" t="s">
        <v>81</v>
      </c>
      <c r="J253" s="3" t="s">
        <v>81</v>
      </c>
      <c r="K253" s="3" t="s">
        <v>81</v>
      </c>
      <c r="L253" s="3" t="s">
        <v>81</v>
      </c>
      <c r="M253" s="3" t="s">
        <v>81</v>
      </c>
      <c r="N253" s="3" t="s">
        <v>81</v>
      </c>
      <c r="O253" s="3" t="s">
        <v>81</v>
      </c>
      <c r="P253" s="3" t="s">
        <v>81</v>
      </c>
      <c r="Q253" s="3">
        <v>30.591999999999999</v>
      </c>
      <c r="R253" s="3">
        <v>0</v>
      </c>
      <c r="S253" s="3" t="s">
        <v>81</v>
      </c>
      <c r="T253" s="3" t="s">
        <v>81</v>
      </c>
      <c r="U253" s="3" t="s">
        <v>81</v>
      </c>
      <c r="V253" s="3" t="s">
        <v>81</v>
      </c>
      <c r="W253" s="3" t="s">
        <v>81</v>
      </c>
      <c r="X253" s="3" t="s">
        <v>81</v>
      </c>
      <c r="Y253" s="3" t="s">
        <v>81</v>
      </c>
      <c r="Z253" s="3" t="s">
        <v>81</v>
      </c>
      <c r="AA253" s="3" t="s">
        <v>81</v>
      </c>
      <c r="AB253" s="3">
        <v>29.991</v>
      </c>
      <c r="AC253" s="3">
        <v>0</v>
      </c>
      <c r="AD253" s="3" t="s">
        <v>81</v>
      </c>
      <c r="AE253" s="3" t="s">
        <v>81</v>
      </c>
      <c r="AF253" s="3" t="s">
        <v>81</v>
      </c>
      <c r="AG253" s="3" t="s">
        <v>81</v>
      </c>
      <c r="AH253" s="3" t="s">
        <v>81</v>
      </c>
      <c r="AI253" s="3" t="s">
        <v>81</v>
      </c>
      <c r="AJ253" s="3" t="s">
        <v>81</v>
      </c>
      <c r="AK253" s="3" t="s">
        <v>81</v>
      </c>
      <c r="AL253" s="3" t="s">
        <v>81</v>
      </c>
      <c r="AM253" s="3">
        <v>34.953000000000003</v>
      </c>
      <c r="AN253" s="3">
        <v>0</v>
      </c>
      <c r="AO253" s="3" t="s">
        <v>81</v>
      </c>
      <c r="AP253" s="3" t="s">
        <v>81</v>
      </c>
      <c r="AQ253" s="3" t="s">
        <v>81</v>
      </c>
      <c r="AR253" s="3" t="s">
        <v>81</v>
      </c>
      <c r="AS253" s="3" t="s">
        <v>81</v>
      </c>
      <c r="AT253" s="3" t="s">
        <v>81</v>
      </c>
      <c r="AU253" s="3" t="s">
        <v>81</v>
      </c>
      <c r="AV253" s="3" t="s">
        <v>81</v>
      </c>
      <c r="AW253" s="3" t="s">
        <v>81</v>
      </c>
      <c r="AX253" s="3">
        <v>32.713000000000001</v>
      </c>
      <c r="AY253" s="3">
        <v>0</v>
      </c>
      <c r="AZ253" s="3" t="s">
        <v>81</v>
      </c>
      <c r="BA253" s="3" t="s">
        <v>81</v>
      </c>
      <c r="BB253" s="3" t="s">
        <v>81</v>
      </c>
      <c r="BC253" s="3" t="s">
        <v>81</v>
      </c>
      <c r="BD253" s="3" t="s">
        <v>81</v>
      </c>
      <c r="BE253" s="3" t="s">
        <v>81</v>
      </c>
      <c r="BF253" s="3" t="s">
        <v>81</v>
      </c>
      <c r="BG253" s="3" t="s">
        <v>81</v>
      </c>
      <c r="BH253" s="3" t="s">
        <v>81</v>
      </c>
      <c r="BI253" s="3" t="s">
        <v>84</v>
      </c>
      <c r="BJ253" s="3" t="s">
        <v>82</v>
      </c>
      <c r="BK253" s="3" t="s">
        <v>83</v>
      </c>
      <c r="BL253" s="3" t="s">
        <v>84</v>
      </c>
      <c r="BM253" s="3" t="s">
        <v>84</v>
      </c>
      <c r="BN253" s="3" t="s">
        <v>84</v>
      </c>
      <c r="BO253" s="3" t="s">
        <v>82</v>
      </c>
      <c r="BP253" s="3" t="s">
        <v>87</v>
      </c>
      <c r="BQ253" s="3" t="s">
        <v>87</v>
      </c>
      <c r="BR253" s="3" t="s">
        <v>457</v>
      </c>
      <c r="BS253" s="3" t="s">
        <v>457</v>
      </c>
      <c r="BT253" s="3" t="s">
        <v>87</v>
      </c>
      <c r="BU253" s="3" t="s">
        <v>98</v>
      </c>
      <c r="BV253" s="3" t="s">
        <v>82</v>
      </c>
      <c r="BW253" s="3" t="s">
        <v>91</v>
      </c>
      <c r="BX253" s="3" t="s">
        <v>82</v>
      </c>
      <c r="BZ253" s="3" t="s">
        <v>86</v>
      </c>
      <c r="CB253" s="3" t="s">
        <v>84</v>
      </c>
      <c r="CD253" s="9">
        <v>7</v>
      </c>
      <c r="CE253" s="9">
        <v>13</v>
      </c>
      <c r="CF253" s="9"/>
    </row>
    <row r="254" spans="1:87" ht="13" x14ac:dyDescent="0.15">
      <c r="A254" s="3">
        <v>2235832671</v>
      </c>
      <c r="B254" s="3" t="s">
        <v>456</v>
      </c>
      <c r="C254" s="3" t="s">
        <v>456</v>
      </c>
      <c r="D254" s="3">
        <v>5</v>
      </c>
      <c r="E254" s="3">
        <v>9</v>
      </c>
      <c r="F254" s="3">
        <v>24.709</v>
      </c>
      <c r="G254" s="3">
        <v>0</v>
      </c>
      <c r="H254" s="3" t="s">
        <v>81</v>
      </c>
      <c r="I254" s="3" t="s">
        <v>81</v>
      </c>
      <c r="J254" s="3" t="s">
        <v>81</v>
      </c>
      <c r="K254" s="3" t="s">
        <v>81</v>
      </c>
      <c r="L254" s="3" t="s">
        <v>81</v>
      </c>
      <c r="M254" s="3" t="s">
        <v>81</v>
      </c>
      <c r="N254" s="3" t="s">
        <v>81</v>
      </c>
      <c r="O254" s="3" t="s">
        <v>81</v>
      </c>
      <c r="P254" s="3" t="s">
        <v>81</v>
      </c>
      <c r="Q254" s="3">
        <v>20.446999999999999</v>
      </c>
      <c r="R254" s="3">
        <v>0</v>
      </c>
      <c r="S254" s="3" t="s">
        <v>81</v>
      </c>
      <c r="T254" s="3" t="s">
        <v>81</v>
      </c>
      <c r="U254" s="3" t="s">
        <v>81</v>
      </c>
      <c r="V254" s="3" t="s">
        <v>81</v>
      </c>
      <c r="W254" s="3" t="s">
        <v>81</v>
      </c>
      <c r="X254" s="3" t="s">
        <v>81</v>
      </c>
      <c r="Y254" s="3" t="s">
        <v>81</v>
      </c>
      <c r="Z254" s="3" t="s">
        <v>81</v>
      </c>
      <c r="AA254" s="3" t="s">
        <v>81</v>
      </c>
      <c r="AB254" s="3">
        <v>23.07</v>
      </c>
      <c r="AC254" s="3">
        <v>0</v>
      </c>
      <c r="AD254" s="3" t="s">
        <v>81</v>
      </c>
      <c r="AE254" s="3" t="s">
        <v>81</v>
      </c>
      <c r="AF254" s="3" t="s">
        <v>81</v>
      </c>
      <c r="AG254" s="3" t="s">
        <v>81</v>
      </c>
      <c r="AH254" s="3" t="s">
        <v>81</v>
      </c>
      <c r="AI254" s="3" t="s">
        <v>81</v>
      </c>
      <c r="AJ254" s="3" t="s">
        <v>81</v>
      </c>
      <c r="AK254" s="3" t="s">
        <v>81</v>
      </c>
      <c r="AL254" s="3" t="s">
        <v>81</v>
      </c>
      <c r="AM254" s="3">
        <v>19.652000000000001</v>
      </c>
      <c r="AN254" s="3">
        <v>0</v>
      </c>
      <c r="AO254" s="3" t="s">
        <v>81</v>
      </c>
      <c r="AP254" s="3" t="s">
        <v>81</v>
      </c>
      <c r="AQ254" s="3" t="s">
        <v>81</v>
      </c>
      <c r="AR254" s="3" t="s">
        <v>81</v>
      </c>
      <c r="AS254" s="3" t="s">
        <v>81</v>
      </c>
      <c r="AT254" s="3" t="s">
        <v>81</v>
      </c>
      <c r="AU254" s="3" t="s">
        <v>81</v>
      </c>
      <c r="AV254" s="3" t="s">
        <v>81</v>
      </c>
      <c r="AW254" s="3" t="s">
        <v>81</v>
      </c>
      <c r="AX254" s="3">
        <v>23.763000000000002</v>
      </c>
      <c r="AY254" s="3">
        <v>0</v>
      </c>
      <c r="AZ254" s="3" t="s">
        <v>81</v>
      </c>
      <c r="BA254" s="3" t="s">
        <v>81</v>
      </c>
      <c r="BB254" s="3" t="s">
        <v>81</v>
      </c>
      <c r="BC254" s="3" t="s">
        <v>81</v>
      </c>
      <c r="BD254" s="3" t="s">
        <v>81</v>
      </c>
      <c r="BE254" s="3" t="s">
        <v>81</v>
      </c>
      <c r="BF254" s="3" t="s">
        <v>81</v>
      </c>
      <c r="BG254" s="3" t="s">
        <v>81</v>
      </c>
      <c r="BH254" s="3" t="s">
        <v>81</v>
      </c>
      <c r="BI254" s="3" t="s">
        <v>84</v>
      </c>
      <c r="BJ254" s="3" t="s">
        <v>82</v>
      </c>
      <c r="BK254" s="3" t="s">
        <v>83</v>
      </c>
      <c r="BL254" s="3" t="s">
        <v>84</v>
      </c>
      <c r="BM254" s="3" t="s">
        <v>84</v>
      </c>
      <c r="BN254" s="3" t="s">
        <v>82</v>
      </c>
      <c r="BO254" s="3" t="s">
        <v>84</v>
      </c>
      <c r="BP254" s="3" t="s">
        <v>458</v>
      </c>
      <c r="BQ254" s="3" t="s">
        <v>458</v>
      </c>
      <c r="BR254" s="3" t="s">
        <v>459</v>
      </c>
      <c r="BS254" s="3" t="s">
        <v>460</v>
      </c>
      <c r="BT254" s="3" t="s">
        <v>87</v>
      </c>
      <c r="BU254" s="3" t="s">
        <v>98</v>
      </c>
      <c r="BV254" s="3" t="s">
        <v>82</v>
      </c>
      <c r="BW254" s="3" t="s">
        <v>91</v>
      </c>
      <c r="BX254" s="3" t="s">
        <v>82</v>
      </c>
      <c r="BY254" s="3" t="s">
        <v>461</v>
      </c>
      <c r="BZ254" s="3" t="s">
        <v>86</v>
      </c>
      <c r="CB254" s="3" t="s">
        <v>84</v>
      </c>
      <c r="CD254" s="9">
        <v>6</v>
      </c>
      <c r="CE254" s="9"/>
      <c r="CF254" s="9"/>
      <c r="CI254" s="6"/>
    </row>
    <row r="255" spans="1:87" ht="13" x14ac:dyDescent="0.15">
      <c r="A255" s="3">
        <v>1847924430</v>
      </c>
      <c r="B255" s="3" t="s">
        <v>469</v>
      </c>
      <c r="C255" s="3" t="s">
        <v>469</v>
      </c>
      <c r="D255" s="3" t="s">
        <v>81</v>
      </c>
      <c r="E255" s="3">
        <v>9</v>
      </c>
      <c r="F255" s="3">
        <v>39.061999999999998</v>
      </c>
      <c r="G255" s="3">
        <v>1</v>
      </c>
      <c r="H255" s="3">
        <v>21.24</v>
      </c>
      <c r="I255" s="3">
        <v>3.302</v>
      </c>
      <c r="J255" s="3">
        <v>16.32</v>
      </c>
      <c r="K255" s="3" t="s">
        <v>81</v>
      </c>
      <c r="L255" s="3" t="s">
        <v>81</v>
      </c>
      <c r="M255" s="3" t="s">
        <v>81</v>
      </c>
      <c r="N255" s="3" t="s">
        <v>81</v>
      </c>
      <c r="O255" s="3" t="s">
        <v>81</v>
      </c>
      <c r="P255" s="3" t="s">
        <v>81</v>
      </c>
      <c r="Q255" s="3">
        <v>34.786000000000001</v>
      </c>
      <c r="R255" s="3">
        <v>1</v>
      </c>
      <c r="S255" s="3">
        <v>19.219000000000001</v>
      </c>
      <c r="T255" s="3">
        <v>4.5709999999999997</v>
      </c>
      <c r="U255" s="3">
        <v>14.231999999999999</v>
      </c>
      <c r="V255" s="3" t="s">
        <v>81</v>
      </c>
      <c r="W255" s="3" t="s">
        <v>81</v>
      </c>
      <c r="X255" s="3" t="s">
        <v>81</v>
      </c>
      <c r="Y255" s="3" t="s">
        <v>81</v>
      </c>
      <c r="Z255" s="3" t="s">
        <v>81</v>
      </c>
      <c r="AA255" s="3" t="s">
        <v>81</v>
      </c>
      <c r="AB255" s="3">
        <v>31.404</v>
      </c>
      <c r="AC255" s="3">
        <v>1</v>
      </c>
      <c r="AD255" s="3">
        <v>18.704999999999998</v>
      </c>
      <c r="AE255" s="3">
        <v>4.58</v>
      </c>
      <c r="AF255" s="3">
        <v>14.722</v>
      </c>
      <c r="AG255" s="3" t="s">
        <v>81</v>
      </c>
      <c r="AH255" s="3" t="s">
        <v>81</v>
      </c>
      <c r="AI255" s="3" t="s">
        <v>81</v>
      </c>
      <c r="AJ255" s="3" t="s">
        <v>81</v>
      </c>
      <c r="AK255" s="3" t="s">
        <v>81</v>
      </c>
      <c r="AL255" s="3" t="s">
        <v>81</v>
      </c>
      <c r="AM255" s="3">
        <v>33.427999999999997</v>
      </c>
      <c r="AN255" s="3">
        <v>1</v>
      </c>
      <c r="AO255" s="3">
        <v>19.594000000000001</v>
      </c>
      <c r="AP255" s="3">
        <v>3.6339999999999999</v>
      </c>
      <c r="AQ255" s="3">
        <v>13.358000000000001</v>
      </c>
      <c r="AR255" s="3" t="s">
        <v>81</v>
      </c>
      <c r="AS255" s="3" t="s">
        <v>81</v>
      </c>
      <c r="AT255" s="3" t="s">
        <v>81</v>
      </c>
      <c r="AU255" s="3" t="s">
        <v>81</v>
      </c>
      <c r="AV255" s="3" t="s">
        <v>81</v>
      </c>
      <c r="AW255" s="3" t="s">
        <v>81</v>
      </c>
      <c r="AX255" s="3" t="s">
        <v>81</v>
      </c>
      <c r="AY255" s="3" t="s">
        <v>81</v>
      </c>
      <c r="AZ255" s="3" t="s">
        <v>81</v>
      </c>
      <c r="BA255" s="3" t="s">
        <v>81</v>
      </c>
      <c r="BB255" s="3" t="s">
        <v>81</v>
      </c>
      <c r="BC255" s="3" t="s">
        <v>81</v>
      </c>
      <c r="BD255" s="3" t="s">
        <v>81</v>
      </c>
      <c r="BE255" s="3" t="s">
        <v>81</v>
      </c>
      <c r="BF255" s="3" t="s">
        <v>81</v>
      </c>
      <c r="BG255" s="3" t="s">
        <v>81</v>
      </c>
      <c r="BH255" s="3" t="s">
        <v>81</v>
      </c>
      <c r="BI255" s="3" t="s">
        <v>84</v>
      </c>
      <c r="BJ255" s="3" t="s">
        <v>82</v>
      </c>
      <c r="BK255" s="3" t="s">
        <v>83</v>
      </c>
      <c r="BL255" s="3" t="s">
        <v>84</v>
      </c>
      <c r="BM255" s="3" t="s">
        <v>84</v>
      </c>
      <c r="BN255" s="3" t="s">
        <v>84</v>
      </c>
      <c r="BO255" s="3" t="s">
        <v>82</v>
      </c>
      <c r="BP255" s="3" t="s">
        <v>81</v>
      </c>
      <c r="BQ255" s="3" t="s">
        <v>81</v>
      </c>
      <c r="BR255" s="3" t="s">
        <v>81</v>
      </c>
      <c r="BS255" s="3" t="s">
        <v>81</v>
      </c>
      <c r="BT255" s="3" t="s">
        <v>81</v>
      </c>
      <c r="BU255" s="3" t="s">
        <v>81</v>
      </c>
      <c r="BV255" s="3" t="s">
        <v>84</v>
      </c>
      <c r="BW255" s="3" t="s">
        <v>83</v>
      </c>
      <c r="BX255" s="3" t="s">
        <v>82</v>
      </c>
      <c r="BY255" s="3" t="s">
        <v>470</v>
      </c>
      <c r="BZ255" s="3" t="s">
        <v>93</v>
      </c>
      <c r="CA255" s="3"/>
      <c r="CB255" s="3" t="s">
        <v>84</v>
      </c>
      <c r="CC255" s="3"/>
      <c r="CD255" s="9"/>
      <c r="CE255" s="9"/>
      <c r="CF255" s="6"/>
      <c r="CG255" s="6"/>
      <c r="CH255" s="6"/>
    </row>
    <row r="256" spans="1:87" ht="13" x14ac:dyDescent="0.15">
      <c r="A256" s="3">
        <v>2625892819</v>
      </c>
      <c r="B256" s="3" t="s">
        <v>469</v>
      </c>
      <c r="C256" s="3" t="s">
        <v>469</v>
      </c>
      <c r="D256" s="3" t="s">
        <v>81</v>
      </c>
      <c r="E256" s="3">
        <v>7</v>
      </c>
      <c r="F256" s="3">
        <v>31.914999999999999</v>
      </c>
      <c r="G256" s="3">
        <v>1</v>
      </c>
      <c r="H256" s="3">
        <v>2.347</v>
      </c>
      <c r="I256" s="3">
        <v>18.579000000000001</v>
      </c>
      <c r="J256" s="3">
        <v>29.129000000000001</v>
      </c>
      <c r="K256" s="3" t="s">
        <v>81</v>
      </c>
      <c r="L256" s="3" t="s">
        <v>81</v>
      </c>
      <c r="M256" s="3" t="s">
        <v>81</v>
      </c>
      <c r="N256" s="3" t="s">
        <v>81</v>
      </c>
      <c r="O256" s="3" t="s">
        <v>81</v>
      </c>
      <c r="P256" s="3" t="s">
        <v>81</v>
      </c>
      <c r="Q256" s="3">
        <v>37.186999999999998</v>
      </c>
      <c r="R256" s="3">
        <v>1</v>
      </c>
      <c r="S256" s="3">
        <v>3.0390000000000001</v>
      </c>
      <c r="T256" s="3">
        <v>16.631</v>
      </c>
      <c r="U256" s="3">
        <v>34.317</v>
      </c>
      <c r="V256" s="3" t="s">
        <v>81</v>
      </c>
      <c r="W256" s="3" t="s">
        <v>81</v>
      </c>
      <c r="X256" s="3" t="s">
        <v>81</v>
      </c>
      <c r="Y256" s="3" t="s">
        <v>81</v>
      </c>
      <c r="Z256" s="3" t="s">
        <v>81</v>
      </c>
      <c r="AA256" s="3" t="s">
        <v>81</v>
      </c>
      <c r="AB256" s="3">
        <v>36.139000000000003</v>
      </c>
      <c r="AC256" s="3">
        <v>1</v>
      </c>
      <c r="AD256" s="3">
        <v>3.9929999999999999</v>
      </c>
      <c r="AE256" s="3">
        <v>18.143000000000001</v>
      </c>
      <c r="AF256" s="3">
        <v>31.861999999999998</v>
      </c>
      <c r="AG256" s="3" t="s">
        <v>81</v>
      </c>
      <c r="AH256" s="3" t="s">
        <v>81</v>
      </c>
      <c r="AI256" s="3" t="s">
        <v>81</v>
      </c>
      <c r="AJ256" s="3" t="s">
        <v>81</v>
      </c>
      <c r="AK256" s="3" t="s">
        <v>81</v>
      </c>
      <c r="AL256" s="3" t="s">
        <v>81</v>
      </c>
      <c r="AM256" s="3">
        <v>32.045000000000002</v>
      </c>
      <c r="AN256" s="3">
        <v>1</v>
      </c>
      <c r="AO256" s="3">
        <v>4.0990000000000002</v>
      </c>
      <c r="AP256" s="3">
        <v>13.247999999999999</v>
      </c>
      <c r="AQ256" s="3">
        <v>27.463000000000001</v>
      </c>
      <c r="AR256" s="3" t="s">
        <v>81</v>
      </c>
      <c r="AS256" s="3" t="s">
        <v>81</v>
      </c>
      <c r="AT256" s="3" t="s">
        <v>81</v>
      </c>
      <c r="AU256" s="3" t="s">
        <v>81</v>
      </c>
      <c r="AV256" s="3" t="s">
        <v>81</v>
      </c>
      <c r="AW256" s="3" t="s">
        <v>81</v>
      </c>
      <c r="AX256" s="3">
        <v>38.323</v>
      </c>
      <c r="AY256" s="3">
        <v>1</v>
      </c>
      <c r="AZ256" s="3">
        <v>10.085000000000001</v>
      </c>
      <c r="BA256" s="3">
        <v>11.731</v>
      </c>
      <c r="BB256" s="3">
        <v>27.852</v>
      </c>
      <c r="BC256" s="3" t="s">
        <v>81</v>
      </c>
      <c r="BD256" s="3" t="s">
        <v>81</v>
      </c>
      <c r="BE256" s="3" t="s">
        <v>81</v>
      </c>
      <c r="BF256" s="3" t="s">
        <v>81</v>
      </c>
      <c r="BG256" s="3" t="s">
        <v>81</v>
      </c>
      <c r="BH256" s="3" t="s">
        <v>81</v>
      </c>
      <c r="BI256" s="3" t="s">
        <v>84</v>
      </c>
      <c r="BJ256" s="3" t="s">
        <v>84</v>
      </c>
      <c r="BK256" s="3" t="s">
        <v>84</v>
      </c>
      <c r="BL256" s="3" t="s">
        <v>84</v>
      </c>
      <c r="BM256" s="3" t="s">
        <v>84</v>
      </c>
      <c r="BN256" s="3" t="s">
        <v>82</v>
      </c>
      <c r="BO256" s="3" t="s">
        <v>84</v>
      </c>
      <c r="BP256" s="3" t="s">
        <v>87</v>
      </c>
      <c r="BQ256" s="3" t="s">
        <v>87</v>
      </c>
      <c r="BR256" s="3" t="s">
        <v>87</v>
      </c>
      <c r="BS256" s="3" t="s">
        <v>471</v>
      </c>
      <c r="BT256" s="3" t="s">
        <v>87</v>
      </c>
      <c r="BU256" s="3" t="s">
        <v>81</v>
      </c>
      <c r="BV256" s="3" t="s">
        <v>84</v>
      </c>
      <c r="BW256" s="3" t="s">
        <v>83</v>
      </c>
      <c r="BX256" s="3" t="s">
        <v>82</v>
      </c>
      <c r="BZ256" s="3" t="s">
        <v>86</v>
      </c>
      <c r="CB256" s="3" t="s">
        <v>84</v>
      </c>
      <c r="CD256" s="9">
        <v>13</v>
      </c>
      <c r="CE256" s="9"/>
      <c r="CI256" s="4"/>
    </row>
    <row r="257" spans="1:86" ht="13" hidden="1" x14ac:dyDescent="0.15">
      <c r="A257" s="3">
        <v>1847936341</v>
      </c>
      <c r="B257" s="3" t="s">
        <v>511</v>
      </c>
      <c r="C257" s="3" t="s">
        <v>511</v>
      </c>
      <c r="D257" s="3">
        <v>4</v>
      </c>
      <c r="E257" s="3">
        <v>5</v>
      </c>
      <c r="F257" s="3">
        <v>25.574000000000002</v>
      </c>
      <c r="G257" s="3">
        <v>0</v>
      </c>
      <c r="H257" s="3" t="s">
        <v>81</v>
      </c>
      <c r="I257" s="3" t="s">
        <v>81</v>
      </c>
      <c r="J257" s="3" t="s">
        <v>81</v>
      </c>
      <c r="K257" s="3" t="s">
        <v>81</v>
      </c>
      <c r="L257" s="3" t="s">
        <v>81</v>
      </c>
      <c r="M257" s="3" t="s">
        <v>81</v>
      </c>
      <c r="N257" s="3" t="s">
        <v>81</v>
      </c>
      <c r="O257" s="3" t="s">
        <v>81</v>
      </c>
      <c r="P257" s="3" t="s">
        <v>81</v>
      </c>
      <c r="Q257" s="3" t="s">
        <v>81</v>
      </c>
      <c r="R257" s="3" t="s">
        <v>81</v>
      </c>
      <c r="S257" s="3" t="s">
        <v>81</v>
      </c>
      <c r="T257" s="3" t="s">
        <v>81</v>
      </c>
      <c r="U257" s="3" t="s">
        <v>81</v>
      </c>
      <c r="V257" s="3" t="s">
        <v>81</v>
      </c>
      <c r="W257" s="3" t="s">
        <v>81</v>
      </c>
      <c r="X257" s="3" t="s">
        <v>81</v>
      </c>
      <c r="Y257" s="3" t="s">
        <v>81</v>
      </c>
      <c r="Z257" s="3" t="s">
        <v>81</v>
      </c>
      <c r="AA257" s="3" t="s">
        <v>81</v>
      </c>
      <c r="AB257" s="3" t="s">
        <v>81</v>
      </c>
      <c r="AC257" s="3" t="s">
        <v>81</v>
      </c>
      <c r="AD257" s="3" t="s">
        <v>81</v>
      </c>
      <c r="AE257" s="3" t="s">
        <v>81</v>
      </c>
      <c r="AF257" s="3" t="s">
        <v>81</v>
      </c>
      <c r="AG257" s="3" t="s">
        <v>81</v>
      </c>
      <c r="AH257" s="3" t="s">
        <v>81</v>
      </c>
      <c r="AI257" s="3" t="s">
        <v>81</v>
      </c>
      <c r="AJ257" s="3" t="s">
        <v>81</v>
      </c>
      <c r="AK257" s="3" t="s">
        <v>81</v>
      </c>
      <c r="AL257" s="3" t="s">
        <v>81</v>
      </c>
      <c r="AM257" s="3" t="s">
        <v>81</v>
      </c>
      <c r="AN257" s="3" t="s">
        <v>81</v>
      </c>
      <c r="AO257" s="3" t="s">
        <v>81</v>
      </c>
      <c r="AP257" s="3" t="s">
        <v>81</v>
      </c>
      <c r="AQ257" s="3" t="s">
        <v>81</v>
      </c>
      <c r="AR257" s="3" t="s">
        <v>81</v>
      </c>
      <c r="AS257" s="3" t="s">
        <v>81</v>
      </c>
      <c r="AT257" s="3" t="s">
        <v>81</v>
      </c>
      <c r="AU257" s="3" t="s">
        <v>81</v>
      </c>
      <c r="AV257" s="3" t="s">
        <v>81</v>
      </c>
      <c r="AW257" s="3" t="s">
        <v>81</v>
      </c>
      <c r="AX257" s="3" t="s">
        <v>81</v>
      </c>
      <c r="AY257" s="3" t="s">
        <v>81</v>
      </c>
      <c r="AZ257" s="3" t="s">
        <v>81</v>
      </c>
      <c r="BA257" s="3" t="s">
        <v>81</v>
      </c>
      <c r="BB257" s="3" t="s">
        <v>81</v>
      </c>
      <c r="BC257" s="3" t="s">
        <v>81</v>
      </c>
      <c r="BD257" s="3" t="s">
        <v>81</v>
      </c>
      <c r="BE257" s="3" t="s">
        <v>81</v>
      </c>
      <c r="BF257" s="3" t="s">
        <v>81</v>
      </c>
      <c r="BG257" s="3" t="s">
        <v>81</v>
      </c>
      <c r="BH257" s="3" t="s">
        <v>81</v>
      </c>
      <c r="BI257" s="3" t="s">
        <v>84</v>
      </c>
      <c r="BJ257" s="3" t="s">
        <v>82</v>
      </c>
      <c r="BK257" s="3" t="s">
        <v>83</v>
      </c>
      <c r="BL257" s="3" t="s">
        <v>84</v>
      </c>
      <c r="BM257" s="3" t="s">
        <v>84</v>
      </c>
      <c r="BN257" s="3" t="s">
        <v>82</v>
      </c>
      <c r="BO257" s="3" t="s">
        <v>84</v>
      </c>
      <c r="BP257" s="3" t="s">
        <v>512</v>
      </c>
      <c r="BQ257" s="3" t="s">
        <v>512</v>
      </c>
      <c r="BR257" s="3" t="s">
        <v>513</v>
      </c>
      <c r="BS257" s="3" t="s">
        <v>514</v>
      </c>
      <c r="BT257" s="3" t="s">
        <v>106</v>
      </c>
      <c r="BU257" s="3" t="s">
        <v>129</v>
      </c>
      <c r="BV257" s="3" t="s">
        <v>84</v>
      </c>
      <c r="BW257" s="3" t="s">
        <v>83</v>
      </c>
      <c r="BX257" s="3" t="s">
        <v>82</v>
      </c>
      <c r="BY257" s="3" t="s">
        <v>515</v>
      </c>
      <c r="BZ257" s="3" t="s">
        <v>93</v>
      </c>
      <c r="CA257" s="3"/>
      <c r="CB257" s="3"/>
      <c r="CC257" s="3"/>
      <c r="CD257" s="9">
        <v>5</v>
      </c>
      <c r="CE257" s="9"/>
      <c r="CF257" s="9"/>
      <c r="CG257" s="4">
        <v>3</v>
      </c>
      <c r="CH257" s="4"/>
    </row>
    <row r="258" spans="1:86" ht="13" hidden="1" x14ac:dyDescent="0.15">
      <c r="F258" s="3">
        <v>0</v>
      </c>
      <c r="G258" s="3">
        <v>0</v>
      </c>
      <c r="H258" s="3" t="s">
        <v>81</v>
      </c>
      <c r="I258" s="3" t="s">
        <v>81</v>
      </c>
      <c r="J258" s="3" t="s">
        <v>81</v>
      </c>
      <c r="K258" s="3" t="s">
        <v>81</v>
      </c>
      <c r="L258" s="3" t="s">
        <v>81</v>
      </c>
      <c r="M258" s="3" t="s">
        <v>81</v>
      </c>
      <c r="N258" s="3" t="s">
        <v>81</v>
      </c>
      <c r="O258" s="3" t="s">
        <v>81</v>
      </c>
      <c r="P258" s="3" t="s">
        <v>81</v>
      </c>
      <c r="Q258" s="3" t="s">
        <v>81</v>
      </c>
      <c r="R258" s="3">
        <v>0</v>
      </c>
      <c r="S258" s="3" t="s">
        <v>81</v>
      </c>
      <c r="T258" s="3" t="s">
        <v>81</v>
      </c>
      <c r="U258" s="3" t="s">
        <v>81</v>
      </c>
      <c r="V258" s="3" t="s">
        <v>81</v>
      </c>
      <c r="W258" s="3" t="s">
        <v>81</v>
      </c>
      <c r="X258" s="3" t="s">
        <v>81</v>
      </c>
      <c r="Y258" s="3" t="s">
        <v>81</v>
      </c>
      <c r="Z258" s="3" t="s">
        <v>81</v>
      </c>
      <c r="AA258" s="3" t="s">
        <v>81</v>
      </c>
      <c r="AB258" s="3" t="s">
        <v>81</v>
      </c>
      <c r="AC258" s="3">
        <v>0</v>
      </c>
      <c r="AD258" s="3" t="s">
        <v>81</v>
      </c>
      <c r="AE258" s="3" t="s">
        <v>81</v>
      </c>
      <c r="AF258" s="3" t="s">
        <v>81</v>
      </c>
      <c r="AG258" s="3" t="s">
        <v>81</v>
      </c>
      <c r="AH258" s="3" t="s">
        <v>81</v>
      </c>
      <c r="AI258" s="3" t="s">
        <v>81</v>
      </c>
      <c r="AJ258" s="3" t="s">
        <v>81</v>
      </c>
      <c r="AK258" s="3" t="s">
        <v>81</v>
      </c>
      <c r="AL258" s="3" t="s">
        <v>81</v>
      </c>
      <c r="AM258" s="3" t="s">
        <v>81</v>
      </c>
      <c r="AN258" s="3">
        <v>0</v>
      </c>
      <c r="AO258" s="3" t="s">
        <v>81</v>
      </c>
      <c r="AP258" s="3" t="s">
        <v>81</v>
      </c>
      <c r="AQ258" s="3" t="s">
        <v>81</v>
      </c>
      <c r="AR258" s="3" t="s">
        <v>81</v>
      </c>
      <c r="AS258" s="3" t="s">
        <v>81</v>
      </c>
      <c r="AT258" s="3" t="s">
        <v>81</v>
      </c>
      <c r="AU258" s="3" t="s">
        <v>81</v>
      </c>
      <c r="AV258" s="3" t="s">
        <v>81</v>
      </c>
      <c r="AW258" s="3" t="s">
        <v>81</v>
      </c>
      <c r="AX258" s="3" t="s">
        <v>81</v>
      </c>
      <c r="AY258" s="3" t="s">
        <v>81</v>
      </c>
      <c r="AZ258" s="3" t="s">
        <v>81</v>
      </c>
      <c r="BA258" s="3" t="s">
        <v>81</v>
      </c>
      <c r="BB258" s="3" t="s">
        <v>81</v>
      </c>
      <c r="BC258" s="3" t="s">
        <v>81</v>
      </c>
      <c r="BD258" s="3" t="s">
        <v>81</v>
      </c>
      <c r="BE258" s="3" t="s">
        <v>81</v>
      </c>
      <c r="BF258" s="3" t="s">
        <v>81</v>
      </c>
      <c r="BG258" s="3" t="s">
        <v>81</v>
      </c>
      <c r="BH258" s="3" t="s">
        <v>81</v>
      </c>
      <c r="BI258" s="3"/>
      <c r="BJ258" s="3"/>
      <c r="BK258" s="3"/>
      <c r="BL258" s="3"/>
      <c r="BM258" s="3"/>
      <c r="BN258" s="3"/>
      <c r="BO258" s="3"/>
      <c r="BV258" s="3"/>
      <c r="BW258" s="3"/>
      <c r="BX258" s="3"/>
    </row>
    <row r="259" spans="1:86" ht="13" hidden="1" x14ac:dyDescent="0.15">
      <c r="F259" s="3">
        <v>0</v>
      </c>
      <c r="G259" s="3">
        <v>0</v>
      </c>
      <c r="H259" s="3" t="s">
        <v>81</v>
      </c>
      <c r="I259" s="3" t="s">
        <v>81</v>
      </c>
      <c r="J259" s="3" t="s">
        <v>81</v>
      </c>
      <c r="K259" s="3" t="s">
        <v>81</v>
      </c>
      <c r="L259" s="3" t="s">
        <v>81</v>
      </c>
      <c r="M259" s="3" t="s">
        <v>81</v>
      </c>
      <c r="N259" s="3" t="s">
        <v>81</v>
      </c>
      <c r="O259" s="3" t="s">
        <v>81</v>
      </c>
      <c r="P259" s="3" t="s">
        <v>81</v>
      </c>
      <c r="Q259" s="3" t="s">
        <v>81</v>
      </c>
      <c r="R259" s="3">
        <v>0</v>
      </c>
      <c r="S259" s="3" t="s">
        <v>81</v>
      </c>
      <c r="T259" s="3" t="s">
        <v>81</v>
      </c>
      <c r="U259" s="3" t="s">
        <v>81</v>
      </c>
      <c r="V259" s="3" t="s">
        <v>81</v>
      </c>
      <c r="W259" s="3" t="s">
        <v>81</v>
      </c>
      <c r="X259" s="3" t="s">
        <v>81</v>
      </c>
      <c r="Y259" s="3" t="s">
        <v>81</v>
      </c>
      <c r="Z259" s="3" t="s">
        <v>81</v>
      </c>
      <c r="AA259" s="3" t="s">
        <v>81</v>
      </c>
      <c r="AB259" s="3" t="s">
        <v>81</v>
      </c>
      <c r="AC259" s="3">
        <v>0</v>
      </c>
      <c r="AD259" s="3" t="s">
        <v>81</v>
      </c>
      <c r="AE259" s="3" t="s">
        <v>81</v>
      </c>
      <c r="AF259" s="3" t="s">
        <v>81</v>
      </c>
      <c r="AG259" s="3" t="s">
        <v>81</v>
      </c>
      <c r="AH259" s="3" t="s">
        <v>81</v>
      </c>
      <c r="AI259" s="3" t="s">
        <v>81</v>
      </c>
      <c r="AJ259" s="3" t="s">
        <v>81</v>
      </c>
      <c r="AK259" s="3" t="s">
        <v>81</v>
      </c>
      <c r="AL259" s="3" t="s">
        <v>81</v>
      </c>
      <c r="AM259" s="3" t="s">
        <v>81</v>
      </c>
      <c r="AN259" s="3">
        <v>0</v>
      </c>
      <c r="AO259" s="3" t="s">
        <v>81</v>
      </c>
      <c r="AP259" s="3" t="s">
        <v>81</v>
      </c>
      <c r="AQ259" s="3" t="s">
        <v>81</v>
      </c>
      <c r="AR259" s="3" t="s">
        <v>81</v>
      </c>
      <c r="AS259" s="3" t="s">
        <v>81</v>
      </c>
      <c r="AT259" s="3" t="s">
        <v>81</v>
      </c>
      <c r="AU259" s="3" t="s">
        <v>81</v>
      </c>
      <c r="AV259" s="3" t="s">
        <v>81</v>
      </c>
      <c r="AW259" s="3" t="s">
        <v>81</v>
      </c>
      <c r="AX259" s="3" t="s">
        <v>81</v>
      </c>
      <c r="AY259" s="3" t="s">
        <v>81</v>
      </c>
      <c r="AZ259" s="3" t="s">
        <v>81</v>
      </c>
      <c r="BA259" s="3" t="s">
        <v>81</v>
      </c>
      <c r="BB259" s="3" t="s">
        <v>81</v>
      </c>
      <c r="BC259" s="3" t="s">
        <v>81</v>
      </c>
      <c r="BD259" s="3" t="s">
        <v>81</v>
      </c>
      <c r="BE259" s="3" t="s">
        <v>81</v>
      </c>
      <c r="BF259" s="3" t="s">
        <v>81</v>
      </c>
      <c r="BG259" s="3" t="s">
        <v>81</v>
      </c>
      <c r="BH259" s="3" t="s">
        <v>81</v>
      </c>
      <c r="BI259" s="3"/>
      <c r="BJ259" s="3"/>
      <c r="BK259" s="3"/>
      <c r="BL259" s="3"/>
      <c r="BM259" s="3"/>
      <c r="BN259" s="3"/>
      <c r="BO259" s="3"/>
      <c r="BV259" s="3"/>
      <c r="BW259" s="3"/>
      <c r="BX259" s="3"/>
    </row>
    <row r="260" spans="1:86" ht="13" hidden="1" x14ac:dyDescent="0.15">
      <c r="F260" s="3">
        <v>0</v>
      </c>
      <c r="G260" s="3">
        <v>0</v>
      </c>
      <c r="H260" s="3" t="s">
        <v>81</v>
      </c>
      <c r="I260" s="3" t="s">
        <v>81</v>
      </c>
      <c r="J260" s="3" t="s">
        <v>81</v>
      </c>
      <c r="K260" s="3" t="s">
        <v>81</v>
      </c>
      <c r="L260" s="3" t="s">
        <v>81</v>
      </c>
      <c r="M260" s="3" t="s">
        <v>81</v>
      </c>
      <c r="N260" s="3" t="s">
        <v>81</v>
      </c>
      <c r="O260" s="3" t="s">
        <v>81</v>
      </c>
      <c r="P260" s="3" t="s">
        <v>81</v>
      </c>
      <c r="Q260" s="3" t="s">
        <v>81</v>
      </c>
      <c r="R260" s="3">
        <v>0</v>
      </c>
      <c r="S260" s="3" t="s">
        <v>81</v>
      </c>
      <c r="T260" s="3" t="s">
        <v>81</v>
      </c>
      <c r="U260" s="3" t="s">
        <v>81</v>
      </c>
      <c r="V260" s="3" t="s">
        <v>81</v>
      </c>
      <c r="W260" s="3" t="s">
        <v>81</v>
      </c>
      <c r="X260" s="3" t="s">
        <v>81</v>
      </c>
      <c r="Y260" s="3" t="s">
        <v>81</v>
      </c>
      <c r="Z260" s="3" t="s">
        <v>81</v>
      </c>
      <c r="AA260" s="3" t="s">
        <v>81</v>
      </c>
      <c r="AB260" s="3" t="s">
        <v>81</v>
      </c>
      <c r="AC260" s="3">
        <v>0</v>
      </c>
      <c r="AD260" s="3" t="s">
        <v>81</v>
      </c>
      <c r="AE260" s="3" t="s">
        <v>81</v>
      </c>
      <c r="AF260" s="3" t="s">
        <v>81</v>
      </c>
      <c r="AG260" s="3" t="s">
        <v>81</v>
      </c>
      <c r="AH260" s="3" t="s">
        <v>81</v>
      </c>
      <c r="AI260" s="3" t="s">
        <v>81</v>
      </c>
      <c r="AJ260" s="3" t="s">
        <v>81</v>
      </c>
      <c r="AK260" s="3" t="s">
        <v>81</v>
      </c>
      <c r="AL260" s="3" t="s">
        <v>81</v>
      </c>
      <c r="AM260" s="3" t="s">
        <v>81</v>
      </c>
      <c r="AN260" s="3">
        <v>0</v>
      </c>
      <c r="AO260" s="3" t="s">
        <v>81</v>
      </c>
      <c r="AP260" s="3" t="s">
        <v>81</v>
      </c>
      <c r="AQ260" s="3" t="s">
        <v>81</v>
      </c>
      <c r="AR260" s="3" t="s">
        <v>81</v>
      </c>
      <c r="AS260" s="3" t="s">
        <v>81</v>
      </c>
      <c r="AT260" s="3" t="s">
        <v>81</v>
      </c>
      <c r="AU260" s="3" t="s">
        <v>81</v>
      </c>
      <c r="AV260" s="3" t="s">
        <v>81</v>
      </c>
      <c r="AW260" s="3" t="s">
        <v>81</v>
      </c>
      <c r="AX260" s="3" t="s">
        <v>81</v>
      </c>
      <c r="AY260" s="3" t="s">
        <v>81</v>
      </c>
      <c r="AZ260" s="3" t="s">
        <v>81</v>
      </c>
      <c r="BA260" s="3" t="s">
        <v>81</v>
      </c>
      <c r="BB260" s="3" t="s">
        <v>81</v>
      </c>
      <c r="BC260" s="3" t="s">
        <v>81</v>
      </c>
      <c r="BD260" s="3" t="s">
        <v>81</v>
      </c>
      <c r="BE260" s="3" t="s">
        <v>81</v>
      </c>
      <c r="BF260" s="3" t="s">
        <v>81</v>
      </c>
      <c r="BG260" s="3" t="s">
        <v>81</v>
      </c>
      <c r="BH260" s="3" t="s">
        <v>81</v>
      </c>
      <c r="BI260" s="3"/>
      <c r="BJ260" s="3"/>
      <c r="BK260" s="3"/>
      <c r="BL260" s="3"/>
      <c r="BM260" s="3"/>
      <c r="BN260" s="3"/>
      <c r="BO260" s="3"/>
      <c r="BV260" s="3"/>
      <c r="BW260" s="3"/>
      <c r="BX260" s="3"/>
    </row>
    <row r="261" spans="1:86" ht="13" hidden="1" x14ac:dyDescent="0.15">
      <c r="F261" s="3">
        <v>0</v>
      </c>
      <c r="G261" s="3">
        <v>0</v>
      </c>
      <c r="H261" s="3" t="s">
        <v>81</v>
      </c>
      <c r="I261" s="3" t="s">
        <v>81</v>
      </c>
      <c r="J261" s="3" t="s">
        <v>81</v>
      </c>
      <c r="K261" s="3" t="s">
        <v>81</v>
      </c>
      <c r="L261" s="3" t="s">
        <v>81</v>
      </c>
      <c r="M261" s="3" t="s">
        <v>81</v>
      </c>
      <c r="N261" s="3" t="s">
        <v>81</v>
      </c>
      <c r="O261" s="3" t="s">
        <v>81</v>
      </c>
      <c r="P261" s="3" t="s">
        <v>81</v>
      </c>
      <c r="Q261" s="3" t="s">
        <v>81</v>
      </c>
      <c r="R261" s="3">
        <v>0</v>
      </c>
      <c r="S261" s="3" t="s">
        <v>81</v>
      </c>
      <c r="T261" s="3" t="s">
        <v>81</v>
      </c>
      <c r="U261" s="3" t="s">
        <v>81</v>
      </c>
      <c r="V261" s="3" t="s">
        <v>81</v>
      </c>
      <c r="W261" s="3" t="s">
        <v>81</v>
      </c>
      <c r="X261" s="3" t="s">
        <v>81</v>
      </c>
      <c r="Y261" s="3" t="s">
        <v>81</v>
      </c>
      <c r="Z261" s="3" t="s">
        <v>81</v>
      </c>
      <c r="AA261" s="3" t="s">
        <v>81</v>
      </c>
      <c r="AB261" s="3" t="s">
        <v>81</v>
      </c>
      <c r="AC261" s="3">
        <v>0</v>
      </c>
      <c r="AD261" s="3" t="s">
        <v>81</v>
      </c>
      <c r="AE261" s="3" t="s">
        <v>81</v>
      </c>
      <c r="AF261" s="3" t="s">
        <v>81</v>
      </c>
      <c r="AG261" s="3" t="s">
        <v>81</v>
      </c>
      <c r="AH261" s="3" t="s">
        <v>81</v>
      </c>
      <c r="AI261" s="3" t="s">
        <v>81</v>
      </c>
      <c r="AJ261" s="3" t="s">
        <v>81</v>
      </c>
      <c r="AK261" s="3" t="s">
        <v>81</v>
      </c>
      <c r="AL261" s="3" t="s">
        <v>81</v>
      </c>
      <c r="AM261" s="3" t="s">
        <v>81</v>
      </c>
      <c r="AN261" s="3">
        <v>0</v>
      </c>
      <c r="AO261" s="3" t="s">
        <v>81</v>
      </c>
      <c r="AP261" s="3" t="s">
        <v>81</v>
      </c>
      <c r="AQ261" s="3" t="s">
        <v>81</v>
      </c>
      <c r="AR261" s="3" t="s">
        <v>81</v>
      </c>
      <c r="AS261" s="3" t="s">
        <v>81</v>
      </c>
      <c r="AT261" s="3" t="s">
        <v>81</v>
      </c>
      <c r="AU261" s="3" t="s">
        <v>81</v>
      </c>
      <c r="AV261" s="3" t="s">
        <v>81</v>
      </c>
      <c r="AW261" s="3" t="s">
        <v>81</v>
      </c>
      <c r="AX261" s="3" t="s">
        <v>81</v>
      </c>
      <c r="AY261" s="3" t="s">
        <v>81</v>
      </c>
      <c r="AZ261" s="3" t="s">
        <v>81</v>
      </c>
      <c r="BA261" s="3" t="s">
        <v>81</v>
      </c>
      <c r="BB261" s="3" t="s">
        <v>81</v>
      </c>
      <c r="BC261" s="3" t="s">
        <v>81</v>
      </c>
      <c r="BD261" s="3" t="s">
        <v>81</v>
      </c>
      <c r="BE261" s="3" t="s">
        <v>81</v>
      </c>
      <c r="BF261" s="3" t="s">
        <v>81</v>
      </c>
      <c r="BG261" s="3" t="s">
        <v>81</v>
      </c>
      <c r="BH261" s="3" t="s">
        <v>81</v>
      </c>
      <c r="BI261" s="3"/>
      <c r="BJ261" s="3"/>
      <c r="BK261" s="3"/>
      <c r="BL261" s="3"/>
      <c r="BM261" s="3"/>
      <c r="BN261" s="3"/>
      <c r="BO261" s="3"/>
      <c r="BV261" s="3"/>
      <c r="BW261" s="3"/>
      <c r="BX261" s="3"/>
    </row>
    <row r="262" spans="1:86" ht="13" hidden="1" x14ac:dyDescent="0.15">
      <c r="F262" s="3">
        <v>0</v>
      </c>
      <c r="G262" s="3">
        <v>0</v>
      </c>
      <c r="H262" s="3" t="s">
        <v>81</v>
      </c>
      <c r="I262" s="3" t="s">
        <v>81</v>
      </c>
      <c r="J262" s="3" t="s">
        <v>81</v>
      </c>
      <c r="K262" s="3" t="s">
        <v>81</v>
      </c>
      <c r="L262" s="3" t="s">
        <v>81</v>
      </c>
      <c r="M262" s="3" t="s">
        <v>81</v>
      </c>
      <c r="N262" s="3" t="s">
        <v>81</v>
      </c>
      <c r="O262" s="3" t="s">
        <v>81</v>
      </c>
      <c r="P262" s="3" t="s">
        <v>81</v>
      </c>
      <c r="Q262" s="3" t="s">
        <v>81</v>
      </c>
      <c r="R262" s="3">
        <v>0</v>
      </c>
      <c r="S262" s="3" t="s">
        <v>81</v>
      </c>
      <c r="T262" s="3" t="s">
        <v>81</v>
      </c>
      <c r="U262" s="3" t="s">
        <v>81</v>
      </c>
      <c r="V262" s="3" t="s">
        <v>81</v>
      </c>
      <c r="W262" s="3" t="s">
        <v>81</v>
      </c>
      <c r="X262" s="3" t="s">
        <v>81</v>
      </c>
      <c r="Y262" s="3" t="s">
        <v>81</v>
      </c>
      <c r="Z262" s="3" t="s">
        <v>81</v>
      </c>
      <c r="AA262" s="3" t="s">
        <v>81</v>
      </c>
      <c r="AB262" s="3" t="s">
        <v>81</v>
      </c>
      <c r="AC262" s="3">
        <v>0</v>
      </c>
      <c r="AD262" s="3" t="s">
        <v>81</v>
      </c>
      <c r="AE262" s="3" t="s">
        <v>81</v>
      </c>
      <c r="AF262" s="3" t="s">
        <v>81</v>
      </c>
      <c r="AG262" s="3" t="s">
        <v>81</v>
      </c>
      <c r="AH262" s="3" t="s">
        <v>81</v>
      </c>
      <c r="AI262" s="3" t="s">
        <v>81</v>
      </c>
      <c r="AJ262" s="3" t="s">
        <v>81</v>
      </c>
      <c r="AK262" s="3" t="s">
        <v>81</v>
      </c>
      <c r="AL262" s="3" t="s">
        <v>81</v>
      </c>
      <c r="AM262" s="3" t="s">
        <v>81</v>
      </c>
      <c r="AN262" s="3">
        <v>0</v>
      </c>
      <c r="AO262" s="3" t="s">
        <v>81</v>
      </c>
      <c r="AP262" s="3" t="s">
        <v>81</v>
      </c>
      <c r="AQ262" s="3" t="s">
        <v>81</v>
      </c>
      <c r="AR262" s="3" t="s">
        <v>81</v>
      </c>
      <c r="AS262" s="3" t="s">
        <v>81</v>
      </c>
      <c r="AT262" s="3" t="s">
        <v>81</v>
      </c>
      <c r="AU262" s="3" t="s">
        <v>81</v>
      </c>
      <c r="AV262" s="3" t="s">
        <v>81</v>
      </c>
      <c r="AW262" s="3" t="s">
        <v>81</v>
      </c>
      <c r="AX262" s="3" t="s">
        <v>81</v>
      </c>
      <c r="AY262" s="3" t="s">
        <v>81</v>
      </c>
      <c r="AZ262" s="3" t="s">
        <v>81</v>
      </c>
      <c r="BA262" s="3" t="s">
        <v>81</v>
      </c>
      <c r="BB262" s="3" t="s">
        <v>81</v>
      </c>
      <c r="BC262" s="3" t="s">
        <v>81</v>
      </c>
      <c r="BD262" s="3" t="s">
        <v>81</v>
      </c>
      <c r="BE262" s="3" t="s">
        <v>81</v>
      </c>
      <c r="BF262" s="3" t="s">
        <v>81</v>
      </c>
      <c r="BG262" s="3" t="s">
        <v>81</v>
      </c>
      <c r="BH262" s="3" t="s">
        <v>81</v>
      </c>
      <c r="BI262" s="3"/>
      <c r="BJ262" s="3"/>
      <c r="BK262" s="3"/>
      <c r="BL262" s="3"/>
      <c r="BM262" s="3"/>
      <c r="BN262" s="3"/>
      <c r="BO262" s="3"/>
      <c r="BV262" s="3"/>
      <c r="BW262" s="3"/>
      <c r="BX262" s="3"/>
    </row>
    <row r="263" spans="1:86" ht="13" hidden="1" x14ac:dyDescent="0.15">
      <c r="F263" s="3">
        <v>0</v>
      </c>
      <c r="G263" s="3">
        <v>0</v>
      </c>
      <c r="H263" s="3" t="s">
        <v>81</v>
      </c>
      <c r="I263" s="3" t="s">
        <v>81</v>
      </c>
      <c r="J263" s="3" t="s">
        <v>81</v>
      </c>
      <c r="K263" s="3" t="s">
        <v>81</v>
      </c>
      <c r="L263" s="3" t="s">
        <v>81</v>
      </c>
      <c r="M263" s="3" t="s">
        <v>81</v>
      </c>
      <c r="N263" s="3" t="s">
        <v>81</v>
      </c>
      <c r="O263" s="3" t="s">
        <v>81</v>
      </c>
      <c r="P263" s="3" t="s">
        <v>81</v>
      </c>
      <c r="Q263" s="3" t="s">
        <v>81</v>
      </c>
      <c r="R263" s="3">
        <v>0</v>
      </c>
      <c r="S263" s="3" t="s">
        <v>81</v>
      </c>
      <c r="T263" s="3" t="s">
        <v>81</v>
      </c>
      <c r="U263" s="3" t="s">
        <v>81</v>
      </c>
      <c r="V263" s="3" t="s">
        <v>81</v>
      </c>
      <c r="W263" s="3" t="s">
        <v>81</v>
      </c>
      <c r="X263" s="3" t="s">
        <v>81</v>
      </c>
      <c r="Y263" s="3" t="s">
        <v>81</v>
      </c>
      <c r="Z263" s="3" t="s">
        <v>81</v>
      </c>
      <c r="AA263" s="3" t="s">
        <v>81</v>
      </c>
      <c r="AB263" s="3" t="s">
        <v>81</v>
      </c>
      <c r="AC263" s="3">
        <v>0</v>
      </c>
      <c r="AD263" s="3" t="s">
        <v>81</v>
      </c>
      <c r="AE263" s="3" t="s">
        <v>81</v>
      </c>
      <c r="AF263" s="3" t="s">
        <v>81</v>
      </c>
      <c r="AG263" s="3" t="s">
        <v>81</v>
      </c>
      <c r="AH263" s="3" t="s">
        <v>81</v>
      </c>
      <c r="AI263" s="3" t="s">
        <v>81</v>
      </c>
      <c r="AJ263" s="3" t="s">
        <v>81</v>
      </c>
      <c r="AK263" s="3" t="s">
        <v>81</v>
      </c>
      <c r="AL263" s="3" t="s">
        <v>81</v>
      </c>
      <c r="AM263" s="3" t="s">
        <v>81</v>
      </c>
      <c r="AN263" s="3">
        <v>0</v>
      </c>
      <c r="AO263" s="3" t="s">
        <v>81</v>
      </c>
      <c r="AP263" s="3" t="s">
        <v>81</v>
      </c>
      <c r="AQ263" s="3" t="s">
        <v>81</v>
      </c>
      <c r="AR263" s="3" t="s">
        <v>81</v>
      </c>
      <c r="AS263" s="3" t="s">
        <v>81</v>
      </c>
      <c r="AT263" s="3" t="s">
        <v>81</v>
      </c>
      <c r="AU263" s="3" t="s">
        <v>81</v>
      </c>
      <c r="AV263" s="3" t="s">
        <v>81</v>
      </c>
      <c r="AW263" s="3" t="s">
        <v>81</v>
      </c>
      <c r="AX263" s="3" t="s">
        <v>81</v>
      </c>
      <c r="AY263" s="3" t="s">
        <v>81</v>
      </c>
      <c r="AZ263" s="3" t="s">
        <v>81</v>
      </c>
      <c r="BA263" s="3" t="s">
        <v>81</v>
      </c>
      <c r="BB263" s="3" t="s">
        <v>81</v>
      </c>
      <c r="BC263" s="3" t="s">
        <v>81</v>
      </c>
      <c r="BD263" s="3" t="s">
        <v>81</v>
      </c>
      <c r="BE263" s="3" t="s">
        <v>81</v>
      </c>
      <c r="BF263" s="3" t="s">
        <v>81</v>
      </c>
      <c r="BG263" s="3" t="s">
        <v>81</v>
      </c>
      <c r="BH263" s="3" t="s">
        <v>81</v>
      </c>
      <c r="BI263" s="3"/>
      <c r="BJ263" s="3"/>
      <c r="BK263" s="3"/>
      <c r="BL263" s="3"/>
      <c r="BM263" s="3"/>
      <c r="BN263" s="3"/>
      <c r="BO263" s="3"/>
      <c r="BV263" s="3"/>
      <c r="BW263" s="3"/>
      <c r="BX263" s="3"/>
    </row>
    <row r="264" spans="1:86" ht="13" hidden="1" x14ac:dyDescent="0.15">
      <c r="F264" s="3">
        <v>0</v>
      </c>
      <c r="G264" s="3">
        <v>0</v>
      </c>
      <c r="H264" s="3" t="s">
        <v>81</v>
      </c>
      <c r="I264" s="3" t="s">
        <v>81</v>
      </c>
      <c r="J264" s="3" t="s">
        <v>81</v>
      </c>
      <c r="K264" s="3" t="s">
        <v>81</v>
      </c>
      <c r="L264" s="3" t="s">
        <v>81</v>
      </c>
      <c r="M264" s="3" t="s">
        <v>81</v>
      </c>
      <c r="N264" s="3" t="s">
        <v>81</v>
      </c>
      <c r="O264" s="3" t="s">
        <v>81</v>
      </c>
      <c r="P264" s="3" t="s">
        <v>81</v>
      </c>
      <c r="Q264" s="3" t="s">
        <v>81</v>
      </c>
      <c r="R264" s="3">
        <v>0</v>
      </c>
      <c r="S264" s="3" t="s">
        <v>81</v>
      </c>
      <c r="T264" s="3" t="s">
        <v>81</v>
      </c>
      <c r="U264" s="3" t="s">
        <v>81</v>
      </c>
      <c r="V264" s="3" t="s">
        <v>81</v>
      </c>
      <c r="W264" s="3" t="s">
        <v>81</v>
      </c>
      <c r="X264" s="3" t="s">
        <v>81</v>
      </c>
      <c r="Y264" s="3" t="s">
        <v>81</v>
      </c>
      <c r="Z264" s="3" t="s">
        <v>81</v>
      </c>
      <c r="AA264" s="3" t="s">
        <v>81</v>
      </c>
      <c r="AB264" s="3" t="s">
        <v>81</v>
      </c>
      <c r="AC264" s="3">
        <v>0</v>
      </c>
      <c r="AD264" s="3" t="s">
        <v>81</v>
      </c>
      <c r="AE264" s="3" t="s">
        <v>81</v>
      </c>
      <c r="AF264" s="3" t="s">
        <v>81</v>
      </c>
      <c r="AG264" s="3" t="s">
        <v>81</v>
      </c>
      <c r="AH264" s="3" t="s">
        <v>81</v>
      </c>
      <c r="AI264" s="3" t="s">
        <v>81</v>
      </c>
      <c r="AJ264" s="3" t="s">
        <v>81</v>
      </c>
      <c r="AK264" s="3" t="s">
        <v>81</v>
      </c>
      <c r="AL264" s="3" t="s">
        <v>81</v>
      </c>
      <c r="AM264" s="3" t="s">
        <v>81</v>
      </c>
      <c r="AN264" s="3">
        <v>0</v>
      </c>
      <c r="AO264" s="3" t="s">
        <v>81</v>
      </c>
      <c r="AP264" s="3" t="s">
        <v>81</v>
      </c>
      <c r="AQ264" s="3" t="s">
        <v>81</v>
      </c>
      <c r="AR264" s="3" t="s">
        <v>81</v>
      </c>
      <c r="AS264" s="3" t="s">
        <v>81</v>
      </c>
      <c r="AT264" s="3" t="s">
        <v>81</v>
      </c>
      <c r="AU264" s="3" t="s">
        <v>81</v>
      </c>
      <c r="AV264" s="3" t="s">
        <v>81</v>
      </c>
      <c r="AW264" s="3" t="s">
        <v>81</v>
      </c>
      <c r="AX264" s="3" t="s">
        <v>81</v>
      </c>
      <c r="AY264" s="3" t="s">
        <v>81</v>
      </c>
      <c r="AZ264" s="3" t="s">
        <v>81</v>
      </c>
      <c r="BA264" s="3" t="s">
        <v>81</v>
      </c>
      <c r="BB264" s="3" t="s">
        <v>81</v>
      </c>
      <c r="BC264" s="3" t="s">
        <v>81</v>
      </c>
      <c r="BD264" s="3" t="s">
        <v>81</v>
      </c>
      <c r="BE264" s="3" t="s">
        <v>81</v>
      </c>
      <c r="BF264" s="3" t="s">
        <v>81</v>
      </c>
      <c r="BG264" s="3" t="s">
        <v>81</v>
      </c>
      <c r="BH264" s="3" t="s">
        <v>81</v>
      </c>
      <c r="BI264" s="3"/>
      <c r="BJ264" s="3"/>
      <c r="BK264" s="3"/>
      <c r="BL264" s="3"/>
      <c r="BM264" s="3"/>
      <c r="BN264" s="3"/>
      <c r="BO264" s="3"/>
      <c r="BV264" s="3"/>
      <c r="BW264" s="3"/>
      <c r="BX264" s="3"/>
    </row>
    <row r="265" spans="1:86" ht="13" hidden="1" x14ac:dyDescent="0.15">
      <c r="F265" s="3">
        <v>0</v>
      </c>
      <c r="G265" s="3">
        <v>0</v>
      </c>
      <c r="H265" s="3" t="s">
        <v>81</v>
      </c>
      <c r="I265" s="3" t="s">
        <v>81</v>
      </c>
      <c r="J265" s="3" t="s">
        <v>81</v>
      </c>
      <c r="K265" s="3" t="s">
        <v>81</v>
      </c>
      <c r="L265" s="3" t="s">
        <v>81</v>
      </c>
      <c r="M265" s="3" t="s">
        <v>81</v>
      </c>
      <c r="N265" s="3" t="s">
        <v>81</v>
      </c>
      <c r="O265" s="3" t="s">
        <v>81</v>
      </c>
      <c r="P265" s="3" t="s">
        <v>81</v>
      </c>
      <c r="Q265" s="3" t="s">
        <v>81</v>
      </c>
      <c r="R265" s="3">
        <v>0</v>
      </c>
      <c r="S265" s="3" t="s">
        <v>81</v>
      </c>
      <c r="T265" s="3" t="s">
        <v>81</v>
      </c>
      <c r="U265" s="3" t="s">
        <v>81</v>
      </c>
      <c r="V265" s="3" t="s">
        <v>81</v>
      </c>
      <c r="W265" s="3" t="s">
        <v>81</v>
      </c>
      <c r="X265" s="3" t="s">
        <v>81</v>
      </c>
      <c r="Y265" s="3" t="s">
        <v>81</v>
      </c>
      <c r="Z265" s="3" t="s">
        <v>81</v>
      </c>
      <c r="AA265" s="3" t="s">
        <v>81</v>
      </c>
      <c r="AB265" s="3" t="s">
        <v>81</v>
      </c>
      <c r="AC265" s="3">
        <v>0</v>
      </c>
      <c r="AD265" s="3" t="s">
        <v>81</v>
      </c>
      <c r="AE265" s="3" t="s">
        <v>81</v>
      </c>
      <c r="AF265" s="3" t="s">
        <v>81</v>
      </c>
      <c r="AG265" s="3" t="s">
        <v>81</v>
      </c>
      <c r="AH265" s="3" t="s">
        <v>81</v>
      </c>
      <c r="AI265" s="3" t="s">
        <v>81</v>
      </c>
      <c r="AJ265" s="3" t="s">
        <v>81</v>
      </c>
      <c r="AK265" s="3" t="s">
        <v>81</v>
      </c>
      <c r="AL265" s="3" t="s">
        <v>81</v>
      </c>
      <c r="AM265" s="3" t="s">
        <v>81</v>
      </c>
      <c r="AN265" s="3">
        <v>0</v>
      </c>
      <c r="AO265" s="3" t="s">
        <v>81</v>
      </c>
      <c r="AP265" s="3" t="s">
        <v>81</v>
      </c>
      <c r="AQ265" s="3" t="s">
        <v>81</v>
      </c>
      <c r="AR265" s="3" t="s">
        <v>81</v>
      </c>
      <c r="AS265" s="3" t="s">
        <v>81</v>
      </c>
      <c r="AT265" s="3" t="s">
        <v>81</v>
      </c>
      <c r="AU265" s="3" t="s">
        <v>81</v>
      </c>
      <c r="AV265" s="3" t="s">
        <v>81</v>
      </c>
      <c r="AW265" s="3" t="s">
        <v>81</v>
      </c>
      <c r="AX265" s="3" t="s">
        <v>81</v>
      </c>
      <c r="AY265" s="3" t="s">
        <v>81</v>
      </c>
      <c r="AZ265" s="3" t="s">
        <v>81</v>
      </c>
      <c r="BA265" s="3" t="s">
        <v>81</v>
      </c>
      <c r="BB265" s="3" t="s">
        <v>81</v>
      </c>
      <c r="BC265" s="3" t="s">
        <v>81</v>
      </c>
      <c r="BD265" s="3" t="s">
        <v>81</v>
      </c>
      <c r="BE265" s="3" t="s">
        <v>81</v>
      </c>
      <c r="BF265" s="3" t="s">
        <v>81</v>
      </c>
      <c r="BG265" s="3" t="s">
        <v>81</v>
      </c>
      <c r="BH265" s="3" t="s">
        <v>81</v>
      </c>
      <c r="BI265" s="3"/>
      <c r="BJ265" s="3"/>
      <c r="BK265" s="3"/>
      <c r="BL265" s="3"/>
      <c r="BM265" s="3"/>
      <c r="BN265" s="3"/>
      <c r="BO265" s="3"/>
      <c r="BV265" s="3"/>
      <c r="BW265" s="3"/>
      <c r="BX265" s="3"/>
    </row>
    <row r="266" spans="1:86" ht="13" hidden="1" x14ac:dyDescent="0.15">
      <c r="F266" s="3">
        <v>0</v>
      </c>
      <c r="G266" s="3">
        <v>0</v>
      </c>
      <c r="H266" s="3" t="s">
        <v>81</v>
      </c>
      <c r="I266" s="3" t="s">
        <v>81</v>
      </c>
      <c r="J266" s="3" t="s">
        <v>81</v>
      </c>
      <c r="K266" s="3" t="s">
        <v>81</v>
      </c>
      <c r="L266" s="3" t="s">
        <v>81</v>
      </c>
      <c r="M266" s="3" t="s">
        <v>81</v>
      </c>
      <c r="N266" s="3" t="s">
        <v>81</v>
      </c>
      <c r="O266" s="3" t="s">
        <v>81</v>
      </c>
      <c r="P266" s="3" t="s">
        <v>81</v>
      </c>
      <c r="Q266" s="3" t="s">
        <v>81</v>
      </c>
      <c r="R266" s="3">
        <v>0</v>
      </c>
      <c r="S266" s="3" t="s">
        <v>81</v>
      </c>
      <c r="T266" s="3" t="s">
        <v>81</v>
      </c>
      <c r="U266" s="3" t="s">
        <v>81</v>
      </c>
      <c r="V266" s="3" t="s">
        <v>81</v>
      </c>
      <c r="W266" s="3" t="s">
        <v>81</v>
      </c>
      <c r="X266" s="3" t="s">
        <v>81</v>
      </c>
      <c r="Y266" s="3" t="s">
        <v>81</v>
      </c>
      <c r="Z266" s="3" t="s">
        <v>81</v>
      </c>
      <c r="AA266" s="3" t="s">
        <v>81</v>
      </c>
      <c r="AB266" s="3" t="s">
        <v>81</v>
      </c>
      <c r="AC266" s="3">
        <v>0</v>
      </c>
      <c r="AD266" s="3" t="s">
        <v>81</v>
      </c>
      <c r="AE266" s="3" t="s">
        <v>81</v>
      </c>
      <c r="AF266" s="3" t="s">
        <v>81</v>
      </c>
      <c r="AG266" s="3" t="s">
        <v>81</v>
      </c>
      <c r="AH266" s="3" t="s">
        <v>81</v>
      </c>
      <c r="AI266" s="3" t="s">
        <v>81</v>
      </c>
      <c r="AJ266" s="3" t="s">
        <v>81</v>
      </c>
      <c r="AK266" s="3" t="s">
        <v>81</v>
      </c>
      <c r="AL266" s="3" t="s">
        <v>81</v>
      </c>
      <c r="AM266" s="3" t="s">
        <v>81</v>
      </c>
      <c r="AN266" s="3">
        <v>0</v>
      </c>
      <c r="AO266" s="3" t="s">
        <v>81</v>
      </c>
      <c r="AP266" s="3" t="s">
        <v>81</v>
      </c>
      <c r="AQ266" s="3" t="s">
        <v>81</v>
      </c>
      <c r="AR266" s="3" t="s">
        <v>81</v>
      </c>
      <c r="AS266" s="3" t="s">
        <v>81</v>
      </c>
      <c r="AT266" s="3" t="s">
        <v>81</v>
      </c>
      <c r="AU266" s="3" t="s">
        <v>81</v>
      </c>
      <c r="AV266" s="3" t="s">
        <v>81</v>
      </c>
      <c r="AW266" s="3" t="s">
        <v>81</v>
      </c>
      <c r="AX266" s="3" t="s">
        <v>81</v>
      </c>
      <c r="AY266" s="3" t="s">
        <v>81</v>
      </c>
      <c r="AZ266" s="3" t="s">
        <v>81</v>
      </c>
      <c r="BA266" s="3" t="s">
        <v>81</v>
      </c>
      <c r="BB266" s="3" t="s">
        <v>81</v>
      </c>
      <c r="BC266" s="3" t="s">
        <v>81</v>
      </c>
      <c r="BD266" s="3" t="s">
        <v>81</v>
      </c>
      <c r="BE266" s="3" t="s">
        <v>81</v>
      </c>
      <c r="BF266" s="3" t="s">
        <v>81</v>
      </c>
      <c r="BG266" s="3" t="s">
        <v>81</v>
      </c>
      <c r="BH266" s="3" t="s">
        <v>81</v>
      </c>
      <c r="BI266" s="3"/>
      <c r="BJ266" s="3"/>
      <c r="BK266" s="3"/>
      <c r="BL266" s="3"/>
      <c r="BM266" s="3"/>
      <c r="BN266" s="3"/>
      <c r="BO266" s="3"/>
      <c r="BV266" s="3"/>
      <c r="BW266" s="3"/>
      <c r="BX266" s="3"/>
    </row>
    <row r="267" spans="1:86" ht="13" hidden="1" x14ac:dyDescent="0.15">
      <c r="F267" s="3">
        <v>0</v>
      </c>
      <c r="G267" s="3">
        <v>0</v>
      </c>
      <c r="H267" s="3" t="s">
        <v>81</v>
      </c>
      <c r="I267" s="3" t="s">
        <v>81</v>
      </c>
      <c r="J267" s="3" t="s">
        <v>81</v>
      </c>
      <c r="K267" s="3" t="s">
        <v>81</v>
      </c>
      <c r="L267" s="3" t="s">
        <v>81</v>
      </c>
      <c r="M267" s="3" t="s">
        <v>81</v>
      </c>
      <c r="N267" s="3" t="s">
        <v>81</v>
      </c>
      <c r="O267" s="3" t="s">
        <v>81</v>
      </c>
      <c r="P267" s="3" t="s">
        <v>81</v>
      </c>
      <c r="Q267" s="3" t="s">
        <v>81</v>
      </c>
      <c r="R267" s="3">
        <v>0</v>
      </c>
      <c r="S267" s="3" t="s">
        <v>81</v>
      </c>
      <c r="T267" s="3" t="s">
        <v>81</v>
      </c>
      <c r="U267" s="3" t="s">
        <v>81</v>
      </c>
      <c r="V267" s="3" t="s">
        <v>81</v>
      </c>
      <c r="W267" s="3" t="s">
        <v>81</v>
      </c>
      <c r="X267" s="3" t="s">
        <v>81</v>
      </c>
      <c r="Y267" s="3" t="s">
        <v>81</v>
      </c>
      <c r="Z267" s="3" t="s">
        <v>81</v>
      </c>
      <c r="AA267" s="3" t="s">
        <v>81</v>
      </c>
      <c r="AB267" s="3" t="s">
        <v>81</v>
      </c>
      <c r="AC267" s="3">
        <v>0</v>
      </c>
      <c r="AD267" s="3" t="s">
        <v>81</v>
      </c>
      <c r="AE267" s="3" t="s">
        <v>81</v>
      </c>
      <c r="AF267" s="3" t="s">
        <v>81</v>
      </c>
      <c r="AG267" s="3" t="s">
        <v>81</v>
      </c>
      <c r="AH267" s="3" t="s">
        <v>81</v>
      </c>
      <c r="AI267" s="3" t="s">
        <v>81</v>
      </c>
      <c r="AJ267" s="3" t="s">
        <v>81</v>
      </c>
      <c r="AK267" s="3" t="s">
        <v>81</v>
      </c>
      <c r="AL267" s="3" t="s">
        <v>81</v>
      </c>
      <c r="AM267" s="3" t="s">
        <v>81</v>
      </c>
      <c r="AN267" s="3">
        <v>0</v>
      </c>
      <c r="AO267" s="3" t="s">
        <v>81</v>
      </c>
      <c r="AP267" s="3" t="s">
        <v>81</v>
      </c>
      <c r="AQ267" s="3" t="s">
        <v>81</v>
      </c>
      <c r="AR267" s="3" t="s">
        <v>81</v>
      </c>
      <c r="AS267" s="3" t="s">
        <v>81</v>
      </c>
      <c r="AT267" s="3" t="s">
        <v>81</v>
      </c>
      <c r="AU267" s="3" t="s">
        <v>81</v>
      </c>
      <c r="AV267" s="3" t="s">
        <v>81</v>
      </c>
      <c r="AW267" s="3" t="s">
        <v>81</v>
      </c>
      <c r="AX267" s="3" t="s">
        <v>81</v>
      </c>
      <c r="AY267" s="3" t="s">
        <v>81</v>
      </c>
      <c r="AZ267" s="3" t="s">
        <v>81</v>
      </c>
      <c r="BA267" s="3" t="s">
        <v>81</v>
      </c>
      <c r="BB267" s="3" t="s">
        <v>81</v>
      </c>
      <c r="BC267" s="3" t="s">
        <v>81</v>
      </c>
      <c r="BD267" s="3" t="s">
        <v>81</v>
      </c>
      <c r="BE267" s="3" t="s">
        <v>81</v>
      </c>
      <c r="BF267" s="3" t="s">
        <v>81</v>
      </c>
      <c r="BG267" s="3" t="s">
        <v>81</v>
      </c>
      <c r="BH267" s="3" t="s">
        <v>81</v>
      </c>
      <c r="BI267" s="3"/>
      <c r="BJ267" s="3"/>
      <c r="BK267" s="3"/>
      <c r="BL267" s="3"/>
      <c r="BM267" s="3"/>
      <c r="BN267" s="3"/>
      <c r="BO267" s="3"/>
      <c r="BV267" s="3"/>
      <c r="BW267" s="3"/>
      <c r="BX267" s="3"/>
    </row>
    <row r="268" spans="1:86" ht="13" hidden="1" x14ac:dyDescent="0.15">
      <c r="F268" s="3">
        <v>0</v>
      </c>
      <c r="G268" s="3">
        <v>0</v>
      </c>
      <c r="H268" s="3" t="s">
        <v>81</v>
      </c>
      <c r="I268" s="3" t="s">
        <v>81</v>
      </c>
      <c r="J268" s="3" t="s">
        <v>81</v>
      </c>
      <c r="K268" s="3" t="s">
        <v>81</v>
      </c>
      <c r="L268" s="3" t="s">
        <v>81</v>
      </c>
      <c r="M268" s="3" t="s">
        <v>81</v>
      </c>
      <c r="N268" s="3" t="s">
        <v>81</v>
      </c>
      <c r="O268" s="3" t="s">
        <v>81</v>
      </c>
      <c r="P268" s="3" t="s">
        <v>81</v>
      </c>
      <c r="Q268" s="3" t="s">
        <v>81</v>
      </c>
      <c r="R268" s="3">
        <v>0</v>
      </c>
      <c r="S268" s="3" t="s">
        <v>81</v>
      </c>
      <c r="T268" s="3" t="s">
        <v>81</v>
      </c>
      <c r="U268" s="3" t="s">
        <v>81</v>
      </c>
      <c r="V268" s="3" t="s">
        <v>81</v>
      </c>
      <c r="W268" s="3" t="s">
        <v>81</v>
      </c>
      <c r="X268" s="3" t="s">
        <v>81</v>
      </c>
      <c r="Y268" s="3" t="s">
        <v>81</v>
      </c>
      <c r="Z268" s="3" t="s">
        <v>81</v>
      </c>
      <c r="AA268" s="3" t="s">
        <v>81</v>
      </c>
      <c r="AB268" s="3" t="s">
        <v>81</v>
      </c>
      <c r="AC268" s="3">
        <v>0</v>
      </c>
      <c r="AD268" s="3" t="s">
        <v>81</v>
      </c>
      <c r="AE268" s="3" t="s">
        <v>81</v>
      </c>
      <c r="AF268" s="3" t="s">
        <v>81</v>
      </c>
      <c r="AG268" s="3" t="s">
        <v>81</v>
      </c>
      <c r="AH268" s="3" t="s">
        <v>81</v>
      </c>
      <c r="AI268" s="3" t="s">
        <v>81</v>
      </c>
      <c r="AJ268" s="3" t="s">
        <v>81</v>
      </c>
      <c r="AK268" s="3" t="s">
        <v>81</v>
      </c>
      <c r="AL268" s="3" t="s">
        <v>81</v>
      </c>
      <c r="AM268" s="3" t="s">
        <v>81</v>
      </c>
      <c r="AN268" s="3">
        <v>0</v>
      </c>
      <c r="AO268" s="3" t="s">
        <v>81</v>
      </c>
      <c r="AP268" s="3" t="s">
        <v>81</v>
      </c>
      <c r="AQ268" s="3" t="s">
        <v>81</v>
      </c>
      <c r="AR268" s="3" t="s">
        <v>81</v>
      </c>
      <c r="AS268" s="3" t="s">
        <v>81</v>
      </c>
      <c r="AT268" s="3" t="s">
        <v>81</v>
      </c>
      <c r="AU268" s="3" t="s">
        <v>81</v>
      </c>
      <c r="AV268" s="3" t="s">
        <v>81</v>
      </c>
      <c r="AW268" s="3" t="s">
        <v>81</v>
      </c>
      <c r="AX268" s="3" t="s">
        <v>81</v>
      </c>
      <c r="AY268" s="3" t="s">
        <v>81</v>
      </c>
      <c r="AZ268" s="3" t="s">
        <v>81</v>
      </c>
      <c r="BA268" s="3" t="s">
        <v>81</v>
      </c>
      <c r="BB268" s="3" t="s">
        <v>81</v>
      </c>
      <c r="BC268" s="3" t="s">
        <v>81</v>
      </c>
      <c r="BD268" s="3" t="s">
        <v>81</v>
      </c>
      <c r="BE268" s="3" t="s">
        <v>81</v>
      </c>
      <c r="BF268" s="3" t="s">
        <v>81</v>
      </c>
      <c r="BG268" s="3" t="s">
        <v>81</v>
      </c>
      <c r="BH268" s="3" t="s">
        <v>81</v>
      </c>
      <c r="BI268" s="3"/>
      <c r="BJ268" s="3"/>
      <c r="BK268" s="3"/>
      <c r="BL268" s="3"/>
      <c r="BM268" s="3"/>
      <c r="BN268" s="3"/>
      <c r="BO268" s="3"/>
      <c r="BV268" s="3"/>
      <c r="BW268" s="3"/>
      <c r="BX268" s="3"/>
    </row>
    <row r="269" spans="1:86" ht="13" hidden="1" x14ac:dyDescent="0.15">
      <c r="F269" s="3">
        <v>0</v>
      </c>
      <c r="G269" s="3">
        <v>0</v>
      </c>
      <c r="H269" s="3" t="s">
        <v>81</v>
      </c>
      <c r="I269" s="3" t="s">
        <v>81</v>
      </c>
      <c r="J269" s="3" t="s">
        <v>81</v>
      </c>
      <c r="K269" s="3" t="s">
        <v>81</v>
      </c>
      <c r="L269" s="3" t="s">
        <v>81</v>
      </c>
      <c r="M269" s="3" t="s">
        <v>81</v>
      </c>
      <c r="N269" s="3" t="s">
        <v>81</v>
      </c>
      <c r="O269" s="3" t="s">
        <v>81</v>
      </c>
      <c r="P269" s="3" t="s">
        <v>81</v>
      </c>
      <c r="Q269" s="3" t="s">
        <v>81</v>
      </c>
      <c r="R269" s="3">
        <v>0</v>
      </c>
      <c r="S269" s="3" t="s">
        <v>81</v>
      </c>
      <c r="T269" s="3" t="s">
        <v>81</v>
      </c>
      <c r="U269" s="3" t="s">
        <v>81</v>
      </c>
      <c r="V269" s="3" t="s">
        <v>81</v>
      </c>
      <c r="W269" s="3" t="s">
        <v>81</v>
      </c>
      <c r="X269" s="3" t="s">
        <v>81</v>
      </c>
      <c r="Y269" s="3" t="s">
        <v>81</v>
      </c>
      <c r="Z269" s="3" t="s">
        <v>81</v>
      </c>
      <c r="AA269" s="3" t="s">
        <v>81</v>
      </c>
      <c r="AB269" s="3" t="s">
        <v>81</v>
      </c>
      <c r="AC269" s="3">
        <v>0</v>
      </c>
      <c r="AD269" s="3" t="s">
        <v>81</v>
      </c>
      <c r="AE269" s="3" t="s">
        <v>81</v>
      </c>
      <c r="AF269" s="3" t="s">
        <v>81</v>
      </c>
      <c r="AG269" s="3" t="s">
        <v>81</v>
      </c>
      <c r="AH269" s="3" t="s">
        <v>81</v>
      </c>
      <c r="AI269" s="3" t="s">
        <v>81</v>
      </c>
      <c r="AJ269" s="3" t="s">
        <v>81</v>
      </c>
      <c r="AK269" s="3" t="s">
        <v>81</v>
      </c>
      <c r="AL269" s="3" t="s">
        <v>81</v>
      </c>
      <c r="AM269" s="3" t="s">
        <v>81</v>
      </c>
      <c r="AN269" s="3">
        <v>0</v>
      </c>
      <c r="AO269" s="3" t="s">
        <v>81</v>
      </c>
      <c r="AP269" s="3" t="s">
        <v>81</v>
      </c>
      <c r="AQ269" s="3" t="s">
        <v>81</v>
      </c>
      <c r="AR269" s="3" t="s">
        <v>81</v>
      </c>
      <c r="AS269" s="3" t="s">
        <v>81</v>
      </c>
      <c r="AT269" s="3" t="s">
        <v>81</v>
      </c>
      <c r="AU269" s="3" t="s">
        <v>81</v>
      </c>
      <c r="AV269" s="3" t="s">
        <v>81</v>
      </c>
      <c r="AW269" s="3" t="s">
        <v>81</v>
      </c>
      <c r="AX269" s="3" t="s">
        <v>81</v>
      </c>
      <c r="AY269" s="3" t="s">
        <v>81</v>
      </c>
      <c r="AZ269" s="3" t="s">
        <v>81</v>
      </c>
      <c r="BA269" s="3" t="s">
        <v>81</v>
      </c>
      <c r="BB269" s="3" t="s">
        <v>81</v>
      </c>
      <c r="BC269" s="3" t="s">
        <v>81</v>
      </c>
      <c r="BD269" s="3" t="s">
        <v>81</v>
      </c>
      <c r="BE269" s="3" t="s">
        <v>81</v>
      </c>
      <c r="BF269" s="3" t="s">
        <v>81</v>
      </c>
      <c r="BG269" s="3" t="s">
        <v>81</v>
      </c>
      <c r="BH269" s="3" t="s">
        <v>81</v>
      </c>
      <c r="BI269" s="3"/>
      <c r="BJ269" s="3"/>
      <c r="BK269" s="3"/>
      <c r="BL269" s="3"/>
      <c r="BM269" s="3"/>
      <c r="BN269" s="3"/>
      <c r="BO269" s="3"/>
      <c r="BV269" s="3"/>
      <c r="BW269" s="3"/>
      <c r="BX269" s="3"/>
    </row>
    <row r="270" spans="1:86" ht="13" hidden="1" x14ac:dyDescent="0.15">
      <c r="F270" s="3">
        <v>0</v>
      </c>
      <c r="G270" s="3">
        <v>0</v>
      </c>
      <c r="H270" s="3" t="s">
        <v>81</v>
      </c>
      <c r="I270" s="3" t="s">
        <v>81</v>
      </c>
      <c r="J270" s="3" t="s">
        <v>81</v>
      </c>
      <c r="K270" s="3" t="s">
        <v>81</v>
      </c>
      <c r="L270" s="3" t="s">
        <v>81</v>
      </c>
      <c r="M270" s="3" t="s">
        <v>81</v>
      </c>
      <c r="N270" s="3" t="s">
        <v>81</v>
      </c>
      <c r="O270" s="3" t="s">
        <v>81</v>
      </c>
      <c r="P270" s="3" t="s">
        <v>81</v>
      </c>
      <c r="Q270" s="3" t="s">
        <v>81</v>
      </c>
      <c r="R270" s="3">
        <v>0</v>
      </c>
      <c r="S270" s="3" t="s">
        <v>81</v>
      </c>
      <c r="T270" s="3" t="s">
        <v>81</v>
      </c>
      <c r="U270" s="3" t="s">
        <v>81</v>
      </c>
      <c r="V270" s="3" t="s">
        <v>81</v>
      </c>
      <c r="W270" s="3" t="s">
        <v>81</v>
      </c>
      <c r="X270" s="3" t="s">
        <v>81</v>
      </c>
      <c r="Y270" s="3" t="s">
        <v>81</v>
      </c>
      <c r="Z270" s="3" t="s">
        <v>81</v>
      </c>
      <c r="AA270" s="3" t="s">
        <v>81</v>
      </c>
      <c r="AB270" s="3" t="s">
        <v>81</v>
      </c>
      <c r="AC270" s="3">
        <v>0</v>
      </c>
      <c r="AD270" s="3" t="s">
        <v>81</v>
      </c>
      <c r="AE270" s="3" t="s">
        <v>81</v>
      </c>
      <c r="AF270" s="3" t="s">
        <v>81</v>
      </c>
      <c r="AG270" s="3" t="s">
        <v>81</v>
      </c>
      <c r="AH270" s="3" t="s">
        <v>81</v>
      </c>
      <c r="AI270" s="3" t="s">
        <v>81</v>
      </c>
      <c r="AJ270" s="3" t="s">
        <v>81</v>
      </c>
      <c r="AK270" s="3" t="s">
        <v>81</v>
      </c>
      <c r="AL270" s="3" t="s">
        <v>81</v>
      </c>
      <c r="AM270" s="3" t="s">
        <v>81</v>
      </c>
      <c r="AN270" s="3">
        <v>0</v>
      </c>
      <c r="AO270" s="3" t="s">
        <v>81</v>
      </c>
      <c r="AP270" s="3" t="s">
        <v>81</v>
      </c>
      <c r="AQ270" s="3" t="s">
        <v>81</v>
      </c>
      <c r="AR270" s="3" t="s">
        <v>81</v>
      </c>
      <c r="AS270" s="3" t="s">
        <v>81</v>
      </c>
      <c r="AT270" s="3" t="s">
        <v>81</v>
      </c>
      <c r="AU270" s="3" t="s">
        <v>81</v>
      </c>
      <c r="AV270" s="3" t="s">
        <v>81</v>
      </c>
      <c r="AW270" s="3" t="s">
        <v>81</v>
      </c>
      <c r="AX270" s="3" t="s">
        <v>81</v>
      </c>
      <c r="AY270" s="3" t="s">
        <v>81</v>
      </c>
      <c r="AZ270" s="3" t="s">
        <v>81</v>
      </c>
      <c r="BA270" s="3" t="s">
        <v>81</v>
      </c>
      <c r="BB270" s="3" t="s">
        <v>81</v>
      </c>
      <c r="BC270" s="3" t="s">
        <v>81</v>
      </c>
      <c r="BD270" s="3" t="s">
        <v>81</v>
      </c>
      <c r="BE270" s="3" t="s">
        <v>81</v>
      </c>
      <c r="BF270" s="3" t="s">
        <v>81</v>
      </c>
      <c r="BG270" s="3" t="s">
        <v>81</v>
      </c>
      <c r="BH270" s="3" t="s">
        <v>81</v>
      </c>
      <c r="BI270" s="3"/>
      <c r="BJ270" s="3"/>
      <c r="BK270" s="3"/>
      <c r="BL270" s="3"/>
      <c r="BM270" s="3"/>
      <c r="BN270" s="3"/>
      <c r="BO270" s="3"/>
      <c r="BV270" s="3"/>
      <c r="BW270" s="3"/>
      <c r="BX270" s="3"/>
    </row>
    <row r="271" spans="1:86" ht="13" hidden="1" x14ac:dyDescent="0.15">
      <c r="F271" s="3">
        <v>0</v>
      </c>
      <c r="G271" s="3">
        <v>0</v>
      </c>
      <c r="H271" s="3" t="s">
        <v>81</v>
      </c>
      <c r="I271" s="3" t="s">
        <v>81</v>
      </c>
      <c r="J271" s="3" t="s">
        <v>81</v>
      </c>
      <c r="K271" s="3" t="s">
        <v>81</v>
      </c>
      <c r="L271" s="3" t="s">
        <v>81</v>
      </c>
      <c r="M271" s="3" t="s">
        <v>81</v>
      </c>
      <c r="N271" s="3" t="s">
        <v>81</v>
      </c>
      <c r="O271" s="3" t="s">
        <v>81</v>
      </c>
      <c r="P271" s="3" t="s">
        <v>81</v>
      </c>
      <c r="Q271" s="3" t="s">
        <v>81</v>
      </c>
      <c r="R271" s="3">
        <v>0</v>
      </c>
      <c r="S271" s="3" t="s">
        <v>81</v>
      </c>
      <c r="T271" s="3" t="s">
        <v>81</v>
      </c>
      <c r="U271" s="3" t="s">
        <v>81</v>
      </c>
      <c r="V271" s="3" t="s">
        <v>81</v>
      </c>
      <c r="W271" s="3" t="s">
        <v>81</v>
      </c>
      <c r="X271" s="3" t="s">
        <v>81</v>
      </c>
      <c r="Y271" s="3" t="s">
        <v>81</v>
      </c>
      <c r="Z271" s="3" t="s">
        <v>81</v>
      </c>
      <c r="AA271" s="3" t="s">
        <v>81</v>
      </c>
      <c r="AB271" s="3" t="s">
        <v>81</v>
      </c>
      <c r="AC271" s="3">
        <v>0</v>
      </c>
      <c r="AD271" s="3" t="s">
        <v>81</v>
      </c>
      <c r="AE271" s="3" t="s">
        <v>81</v>
      </c>
      <c r="AF271" s="3" t="s">
        <v>81</v>
      </c>
      <c r="AG271" s="3" t="s">
        <v>81</v>
      </c>
      <c r="AH271" s="3" t="s">
        <v>81</v>
      </c>
      <c r="AI271" s="3" t="s">
        <v>81</v>
      </c>
      <c r="AJ271" s="3" t="s">
        <v>81</v>
      </c>
      <c r="AK271" s="3" t="s">
        <v>81</v>
      </c>
      <c r="AL271" s="3" t="s">
        <v>81</v>
      </c>
      <c r="AM271" s="3" t="s">
        <v>81</v>
      </c>
      <c r="AN271" s="3">
        <v>0</v>
      </c>
      <c r="AO271" s="3" t="s">
        <v>81</v>
      </c>
      <c r="AP271" s="3" t="s">
        <v>81</v>
      </c>
      <c r="AQ271" s="3" t="s">
        <v>81</v>
      </c>
      <c r="AR271" s="3" t="s">
        <v>81</v>
      </c>
      <c r="AS271" s="3" t="s">
        <v>81</v>
      </c>
      <c r="AT271" s="3" t="s">
        <v>81</v>
      </c>
      <c r="AU271" s="3" t="s">
        <v>81</v>
      </c>
      <c r="AV271" s="3" t="s">
        <v>81</v>
      </c>
      <c r="AW271" s="3" t="s">
        <v>81</v>
      </c>
      <c r="AX271" s="3" t="s">
        <v>81</v>
      </c>
      <c r="AY271" s="3" t="s">
        <v>81</v>
      </c>
      <c r="AZ271" s="3" t="s">
        <v>81</v>
      </c>
      <c r="BA271" s="3" t="s">
        <v>81</v>
      </c>
      <c r="BB271" s="3" t="s">
        <v>81</v>
      </c>
      <c r="BC271" s="3" t="s">
        <v>81</v>
      </c>
      <c r="BD271" s="3" t="s">
        <v>81</v>
      </c>
      <c r="BE271" s="3" t="s">
        <v>81</v>
      </c>
      <c r="BF271" s="3" t="s">
        <v>81</v>
      </c>
      <c r="BG271" s="3" t="s">
        <v>81</v>
      </c>
      <c r="BH271" s="3" t="s">
        <v>81</v>
      </c>
      <c r="BI271" s="3"/>
      <c r="BJ271" s="3"/>
      <c r="BK271" s="3"/>
      <c r="BL271" s="3"/>
      <c r="BM271" s="3"/>
      <c r="BN271" s="3"/>
      <c r="BO271" s="3"/>
      <c r="BV271" s="3"/>
      <c r="BW271" s="3"/>
      <c r="BX271" s="3"/>
    </row>
    <row r="272" spans="1:86" ht="13" hidden="1" x14ac:dyDescent="0.15">
      <c r="F272" s="3">
        <v>0</v>
      </c>
      <c r="G272" s="3">
        <v>0</v>
      </c>
      <c r="H272" s="3" t="s">
        <v>81</v>
      </c>
      <c r="I272" s="3" t="s">
        <v>81</v>
      </c>
      <c r="J272" s="3" t="s">
        <v>81</v>
      </c>
      <c r="K272" s="3" t="s">
        <v>81</v>
      </c>
      <c r="L272" s="3" t="s">
        <v>81</v>
      </c>
      <c r="M272" s="3" t="s">
        <v>81</v>
      </c>
      <c r="N272" s="3" t="s">
        <v>81</v>
      </c>
      <c r="O272" s="3" t="s">
        <v>81</v>
      </c>
      <c r="P272" s="3" t="s">
        <v>81</v>
      </c>
      <c r="Q272" s="3" t="s">
        <v>81</v>
      </c>
      <c r="R272" s="3">
        <v>0</v>
      </c>
      <c r="S272" s="3" t="s">
        <v>81</v>
      </c>
      <c r="T272" s="3" t="s">
        <v>81</v>
      </c>
      <c r="U272" s="3" t="s">
        <v>81</v>
      </c>
      <c r="V272" s="3" t="s">
        <v>81</v>
      </c>
      <c r="W272" s="3" t="s">
        <v>81</v>
      </c>
      <c r="X272" s="3" t="s">
        <v>81</v>
      </c>
      <c r="Y272" s="3" t="s">
        <v>81</v>
      </c>
      <c r="Z272" s="3" t="s">
        <v>81</v>
      </c>
      <c r="AA272" s="3" t="s">
        <v>81</v>
      </c>
      <c r="AB272" s="3" t="s">
        <v>81</v>
      </c>
      <c r="AC272" s="3">
        <v>0</v>
      </c>
      <c r="AD272" s="3" t="s">
        <v>81</v>
      </c>
      <c r="AE272" s="3" t="s">
        <v>81</v>
      </c>
      <c r="AF272" s="3" t="s">
        <v>81</v>
      </c>
      <c r="AG272" s="3" t="s">
        <v>81</v>
      </c>
      <c r="AH272" s="3" t="s">
        <v>81</v>
      </c>
      <c r="AI272" s="3" t="s">
        <v>81</v>
      </c>
      <c r="AJ272" s="3" t="s">
        <v>81</v>
      </c>
      <c r="AK272" s="3" t="s">
        <v>81</v>
      </c>
      <c r="AL272" s="3" t="s">
        <v>81</v>
      </c>
      <c r="AM272" s="3" t="s">
        <v>81</v>
      </c>
      <c r="AN272" s="3">
        <v>0</v>
      </c>
      <c r="AO272" s="3" t="s">
        <v>81</v>
      </c>
      <c r="AP272" s="3" t="s">
        <v>81</v>
      </c>
      <c r="AQ272" s="3" t="s">
        <v>81</v>
      </c>
      <c r="AR272" s="3" t="s">
        <v>81</v>
      </c>
      <c r="AS272" s="3" t="s">
        <v>81</v>
      </c>
      <c r="AT272" s="3" t="s">
        <v>81</v>
      </c>
      <c r="AU272" s="3" t="s">
        <v>81</v>
      </c>
      <c r="AV272" s="3" t="s">
        <v>81</v>
      </c>
      <c r="AW272" s="3" t="s">
        <v>81</v>
      </c>
      <c r="AX272" s="3" t="s">
        <v>81</v>
      </c>
      <c r="AY272" s="3" t="s">
        <v>81</v>
      </c>
      <c r="AZ272" s="3" t="s">
        <v>81</v>
      </c>
      <c r="BA272" s="3" t="s">
        <v>81</v>
      </c>
      <c r="BB272" s="3" t="s">
        <v>81</v>
      </c>
      <c r="BC272" s="3" t="s">
        <v>81</v>
      </c>
      <c r="BD272" s="3" t="s">
        <v>81</v>
      </c>
      <c r="BE272" s="3" t="s">
        <v>81</v>
      </c>
      <c r="BF272" s="3" t="s">
        <v>81</v>
      </c>
      <c r="BG272" s="3" t="s">
        <v>81</v>
      </c>
      <c r="BH272" s="3" t="s">
        <v>81</v>
      </c>
      <c r="BI272" s="3"/>
      <c r="BJ272" s="3"/>
      <c r="BK272" s="3"/>
      <c r="BL272" s="3"/>
      <c r="BM272" s="3"/>
      <c r="BN272" s="3"/>
      <c r="BO272" s="3"/>
      <c r="BV272" s="3"/>
      <c r="BW272" s="3"/>
      <c r="BX272" s="3"/>
    </row>
    <row r="273" spans="1:86" ht="13" hidden="1" x14ac:dyDescent="0.15">
      <c r="F273" s="3">
        <v>0</v>
      </c>
      <c r="G273" s="3">
        <v>0</v>
      </c>
      <c r="H273" s="3" t="s">
        <v>81</v>
      </c>
      <c r="I273" s="3" t="s">
        <v>81</v>
      </c>
      <c r="J273" s="3" t="s">
        <v>81</v>
      </c>
      <c r="K273" s="3" t="s">
        <v>81</v>
      </c>
      <c r="L273" s="3" t="s">
        <v>81</v>
      </c>
      <c r="M273" s="3" t="s">
        <v>81</v>
      </c>
      <c r="N273" s="3" t="s">
        <v>81</v>
      </c>
      <c r="O273" s="3" t="s">
        <v>81</v>
      </c>
      <c r="P273" s="3" t="s">
        <v>81</v>
      </c>
      <c r="Q273" s="3" t="s">
        <v>81</v>
      </c>
      <c r="R273" s="3">
        <v>0</v>
      </c>
      <c r="S273" s="3" t="s">
        <v>81</v>
      </c>
      <c r="T273" s="3" t="s">
        <v>81</v>
      </c>
      <c r="U273" s="3" t="s">
        <v>81</v>
      </c>
      <c r="V273" s="3" t="s">
        <v>81</v>
      </c>
      <c r="W273" s="3" t="s">
        <v>81</v>
      </c>
      <c r="X273" s="3" t="s">
        <v>81</v>
      </c>
      <c r="Y273" s="3" t="s">
        <v>81</v>
      </c>
      <c r="Z273" s="3" t="s">
        <v>81</v>
      </c>
      <c r="AA273" s="3" t="s">
        <v>81</v>
      </c>
      <c r="AB273" s="3" t="s">
        <v>81</v>
      </c>
      <c r="AC273" s="3">
        <v>0</v>
      </c>
      <c r="AD273" s="3" t="s">
        <v>81</v>
      </c>
      <c r="AE273" s="3" t="s">
        <v>81</v>
      </c>
      <c r="AF273" s="3" t="s">
        <v>81</v>
      </c>
      <c r="AG273" s="3" t="s">
        <v>81</v>
      </c>
      <c r="AH273" s="3" t="s">
        <v>81</v>
      </c>
      <c r="AI273" s="3" t="s">
        <v>81</v>
      </c>
      <c r="AJ273" s="3" t="s">
        <v>81</v>
      </c>
      <c r="AK273" s="3" t="s">
        <v>81</v>
      </c>
      <c r="AL273" s="3" t="s">
        <v>81</v>
      </c>
      <c r="AM273" s="3" t="s">
        <v>81</v>
      </c>
      <c r="AN273" s="3">
        <v>0</v>
      </c>
      <c r="AO273" s="3" t="s">
        <v>81</v>
      </c>
      <c r="AP273" s="3" t="s">
        <v>81</v>
      </c>
      <c r="AQ273" s="3" t="s">
        <v>81</v>
      </c>
      <c r="AR273" s="3" t="s">
        <v>81</v>
      </c>
      <c r="AS273" s="3" t="s">
        <v>81</v>
      </c>
      <c r="AT273" s="3" t="s">
        <v>81</v>
      </c>
      <c r="AU273" s="3" t="s">
        <v>81</v>
      </c>
      <c r="AV273" s="3" t="s">
        <v>81</v>
      </c>
      <c r="AW273" s="3" t="s">
        <v>81</v>
      </c>
      <c r="AX273" s="3" t="s">
        <v>81</v>
      </c>
      <c r="AY273" s="3" t="s">
        <v>81</v>
      </c>
      <c r="AZ273" s="3" t="s">
        <v>81</v>
      </c>
      <c r="BA273" s="3" t="s">
        <v>81</v>
      </c>
      <c r="BB273" s="3" t="s">
        <v>81</v>
      </c>
      <c r="BC273" s="3" t="s">
        <v>81</v>
      </c>
      <c r="BD273" s="3" t="s">
        <v>81</v>
      </c>
      <c r="BE273" s="3" t="s">
        <v>81</v>
      </c>
      <c r="BF273" s="3" t="s">
        <v>81</v>
      </c>
      <c r="BG273" s="3" t="s">
        <v>81</v>
      </c>
      <c r="BH273" s="3" t="s">
        <v>81</v>
      </c>
      <c r="BI273" s="3"/>
      <c r="BJ273" s="3"/>
      <c r="BK273" s="3"/>
      <c r="BL273" s="3"/>
      <c r="BM273" s="3"/>
      <c r="BN273" s="3"/>
      <c r="BO273" s="3"/>
      <c r="BV273" s="3"/>
      <c r="BW273" s="3"/>
      <c r="BX273" s="3"/>
    </row>
    <row r="274" spans="1:86" ht="13" hidden="1" x14ac:dyDescent="0.15">
      <c r="F274" s="3">
        <v>0</v>
      </c>
      <c r="G274" s="3">
        <v>0</v>
      </c>
      <c r="H274" s="3" t="s">
        <v>81</v>
      </c>
      <c r="I274" s="3" t="s">
        <v>81</v>
      </c>
      <c r="J274" s="3" t="s">
        <v>81</v>
      </c>
      <c r="K274" s="3" t="s">
        <v>81</v>
      </c>
      <c r="L274" s="3" t="s">
        <v>81</v>
      </c>
      <c r="M274" s="3" t="s">
        <v>81</v>
      </c>
      <c r="N274" s="3" t="s">
        <v>81</v>
      </c>
      <c r="O274" s="3" t="s">
        <v>81</v>
      </c>
      <c r="P274" s="3" t="s">
        <v>81</v>
      </c>
      <c r="Q274" s="3" t="s">
        <v>81</v>
      </c>
      <c r="R274" s="3">
        <v>0</v>
      </c>
      <c r="S274" s="3" t="s">
        <v>81</v>
      </c>
      <c r="T274" s="3" t="s">
        <v>81</v>
      </c>
      <c r="U274" s="3" t="s">
        <v>81</v>
      </c>
      <c r="V274" s="3" t="s">
        <v>81</v>
      </c>
      <c r="W274" s="3" t="s">
        <v>81</v>
      </c>
      <c r="X274" s="3" t="s">
        <v>81</v>
      </c>
      <c r="Y274" s="3" t="s">
        <v>81</v>
      </c>
      <c r="Z274" s="3" t="s">
        <v>81</v>
      </c>
      <c r="AA274" s="3" t="s">
        <v>81</v>
      </c>
      <c r="AB274" s="3" t="s">
        <v>81</v>
      </c>
      <c r="AC274" s="3">
        <v>0</v>
      </c>
      <c r="AD274" s="3" t="s">
        <v>81</v>
      </c>
      <c r="AE274" s="3" t="s">
        <v>81</v>
      </c>
      <c r="AF274" s="3" t="s">
        <v>81</v>
      </c>
      <c r="AG274" s="3" t="s">
        <v>81</v>
      </c>
      <c r="AH274" s="3" t="s">
        <v>81</v>
      </c>
      <c r="AI274" s="3" t="s">
        <v>81</v>
      </c>
      <c r="AJ274" s="3" t="s">
        <v>81</v>
      </c>
      <c r="AK274" s="3" t="s">
        <v>81</v>
      </c>
      <c r="AL274" s="3" t="s">
        <v>81</v>
      </c>
      <c r="AM274" s="3" t="s">
        <v>81</v>
      </c>
      <c r="AN274" s="3">
        <v>0</v>
      </c>
      <c r="AO274" s="3" t="s">
        <v>81</v>
      </c>
      <c r="AP274" s="3" t="s">
        <v>81</v>
      </c>
      <c r="AQ274" s="3" t="s">
        <v>81</v>
      </c>
      <c r="AR274" s="3" t="s">
        <v>81</v>
      </c>
      <c r="AS274" s="3" t="s">
        <v>81</v>
      </c>
      <c r="AT274" s="3" t="s">
        <v>81</v>
      </c>
      <c r="AU274" s="3" t="s">
        <v>81</v>
      </c>
      <c r="AV274" s="3" t="s">
        <v>81</v>
      </c>
      <c r="AW274" s="3" t="s">
        <v>81</v>
      </c>
      <c r="AX274" s="3" t="s">
        <v>81</v>
      </c>
      <c r="AY274" s="3" t="s">
        <v>81</v>
      </c>
      <c r="AZ274" s="3" t="s">
        <v>81</v>
      </c>
      <c r="BA274" s="3" t="s">
        <v>81</v>
      </c>
      <c r="BB274" s="3" t="s">
        <v>81</v>
      </c>
      <c r="BC274" s="3" t="s">
        <v>81</v>
      </c>
      <c r="BD274" s="3" t="s">
        <v>81</v>
      </c>
      <c r="BE274" s="3" t="s">
        <v>81</v>
      </c>
      <c r="BF274" s="3" t="s">
        <v>81</v>
      </c>
      <c r="BG274" s="3" t="s">
        <v>81</v>
      </c>
      <c r="BH274" s="3" t="s">
        <v>81</v>
      </c>
      <c r="BI274" s="3"/>
      <c r="BJ274" s="3"/>
      <c r="BK274" s="3"/>
      <c r="BL274" s="3"/>
      <c r="BM274" s="3"/>
      <c r="BN274" s="3"/>
      <c r="BO274" s="3"/>
      <c r="BV274" s="3"/>
      <c r="BW274" s="3"/>
      <c r="BX274" s="3"/>
    </row>
    <row r="275" spans="1:86" ht="13" hidden="1" x14ac:dyDescent="0.15">
      <c r="F275" s="3">
        <v>0</v>
      </c>
      <c r="G275" s="3">
        <v>0</v>
      </c>
      <c r="H275" s="3" t="s">
        <v>81</v>
      </c>
      <c r="I275" s="3" t="s">
        <v>81</v>
      </c>
      <c r="J275" s="3" t="s">
        <v>81</v>
      </c>
      <c r="K275" s="3" t="s">
        <v>81</v>
      </c>
      <c r="L275" s="3" t="s">
        <v>81</v>
      </c>
      <c r="M275" s="3" t="s">
        <v>81</v>
      </c>
      <c r="N275" s="3" t="s">
        <v>81</v>
      </c>
      <c r="O275" s="3" t="s">
        <v>81</v>
      </c>
      <c r="P275" s="3" t="s">
        <v>81</v>
      </c>
      <c r="Q275" s="3" t="s">
        <v>81</v>
      </c>
      <c r="R275" s="3">
        <v>0</v>
      </c>
      <c r="S275" s="3" t="s">
        <v>81</v>
      </c>
      <c r="T275" s="3" t="s">
        <v>81</v>
      </c>
      <c r="U275" s="3" t="s">
        <v>81</v>
      </c>
      <c r="V275" s="3" t="s">
        <v>81</v>
      </c>
      <c r="W275" s="3" t="s">
        <v>81</v>
      </c>
      <c r="X275" s="3" t="s">
        <v>81</v>
      </c>
      <c r="Y275" s="3" t="s">
        <v>81</v>
      </c>
      <c r="Z275" s="3" t="s">
        <v>81</v>
      </c>
      <c r="AA275" s="3" t="s">
        <v>81</v>
      </c>
      <c r="AB275" s="3" t="s">
        <v>81</v>
      </c>
      <c r="AC275" s="3">
        <v>0</v>
      </c>
      <c r="AD275" s="3" t="s">
        <v>81</v>
      </c>
      <c r="AE275" s="3" t="s">
        <v>81</v>
      </c>
      <c r="AF275" s="3" t="s">
        <v>81</v>
      </c>
      <c r="AG275" s="3" t="s">
        <v>81</v>
      </c>
      <c r="AH275" s="3" t="s">
        <v>81</v>
      </c>
      <c r="AI275" s="3" t="s">
        <v>81</v>
      </c>
      <c r="AJ275" s="3" t="s">
        <v>81</v>
      </c>
      <c r="AK275" s="3" t="s">
        <v>81</v>
      </c>
      <c r="AL275" s="3" t="s">
        <v>81</v>
      </c>
      <c r="AM275" s="3" t="s">
        <v>81</v>
      </c>
      <c r="AN275" s="3">
        <v>0</v>
      </c>
      <c r="AO275" s="3" t="s">
        <v>81</v>
      </c>
      <c r="AP275" s="3" t="s">
        <v>81</v>
      </c>
      <c r="AQ275" s="3" t="s">
        <v>81</v>
      </c>
      <c r="AR275" s="3" t="s">
        <v>81</v>
      </c>
      <c r="AS275" s="3" t="s">
        <v>81</v>
      </c>
      <c r="AT275" s="3" t="s">
        <v>81</v>
      </c>
      <c r="AU275" s="3" t="s">
        <v>81</v>
      </c>
      <c r="AV275" s="3" t="s">
        <v>81</v>
      </c>
      <c r="AW275" s="3" t="s">
        <v>81</v>
      </c>
      <c r="AX275" s="3" t="s">
        <v>81</v>
      </c>
      <c r="AY275" s="3" t="s">
        <v>81</v>
      </c>
      <c r="AZ275" s="3" t="s">
        <v>81</v>
      </c>
      <c r="BA275" s="3" t="s">
        <v>81</v>
      </c>
      <c r="BB275" s="3" t="s">
        <v>81</v>
      </c>
      <c r="BC275" s="3" t="s">
        <v>81</v>
      </c>
      <c r="BD275" s="3" t="s">
        <v>81</v>
      </c>
      <c r="BE275" s="3" t="s">
        <v>81</v>
      </c>
      <c r="BF275" s="3" t="s">
        <v>81</v>
      </c>
      <c r="BG275" s="3" t="s">
        <v>81</v>
      </c>
      <c r="BH275" s="3" t="s">
        <v>81</v>
      </c>
      <c r="BI275" s="3"/>
      <c r="BJ275" s="3"/>
      <c r="BK275" s="3"/>
      <c r="BL275" s="3"/>
      <c r="BM275" s="3"/>
      <c r="BN275" s="3"/>
      <c r="BO275" s="3"/>
      <c r="BV275" s="3"/>
      <c r="BW275" s="3"/>
      <c r="BX275" s="3"/>
    </row>
    <row r="276" spans="1:86" ht="13" hidden="1" x14ac:dyDescent="0.15">
      <c r="F276" s="3">
        <v>0</v>
      </c>
      <c r="G276" s="3">
        <v>0</v>
      </c>
      <c r="H276" s="3" t="s">
        <v>81</v>
      </c>
      <c r="I276" s="3" t="s">
        <v>81</v>
      </c>
      <c r="J276" s="3" t="s">
        <v>81</v>
      </c>
      <c r="K276" s="3" t="s">
        <v>81</v>
      </c>
      <c r="L276" s="3" t="s">
        <v>81</v>
      </c>
      <c r="M276" s="3" t="s">
        <v>81</v>
      </c>
      <c r="N276" s="3" t="s">
        <v>81</v>
      </c>
      <c r="O276" s="3" t="s">
        <v>81</v>
      </c>
      <c r="P276" s="3" t="s">
        <v>81</v>
      </c>
      <c r="Q276" s="3" t="s">
        <v>81</v>
      </c>
      <c r="R276" s="3">
        <v>0</v>
      </c>
      <c r="S276" s="3" t="s">
        <v>81</v>
      </c>
      <c r="T276" s="3" t="s">
        <v>81</v>
      </c>
      <c r="U276" s="3" t="s">
        <v>81</v>
      </c>
      <c r="V276" s="3" t="s">
        <v>81</v>
      </c>
      <c r="W276" s="3" t="s">
        <v>81</v>
      </c>
      <c r="X276" s="3" t="s">
        <v>81</v>
      </c>
      <c r="Y276" s="3" t="s">
        <v>81</v>
      </c>
      <c r="Z276" s="3" t="s">
        <v>81</v>
      </c>
      <c r="AA276" s="3" t="s">
        <v>81</v>
      </c>
      <c r="AB276" s="3" t="s">
        <v>81</v>
      </c>
      <c r="AC276" s="3">
        <v>0</v>
      </c>
      <c r="AD276" s="3" t="s">
        <v>81</v>
      </c>
      <c r="AE276" s="3" t="s">
        <v>81</v>
      </c>
      <c r="AF276" s="3" t="s">
        <v>81</v>
      </c>
      <c r="AG276" s="3" t="s">
        <v>81</v>
      </c>
      <c r="AH276" s="3" t="s">
        <v>81</v>
      </c>
      <c r="AI276" s="3" t="s">
        <v>81</v>
      </c>
      <c r="AJ276" s="3" t="s">
        <v>81</v>
      </c>
      <c r="AK276" s="3" t="s">
        <v>81</v>
      </c>
      <c r="AL276" s="3" t="s">
        <v>81</v>
      </c>
      <c r="AM276" s="3" t="s">
        <v>81</v>
      </c>
      <c r="AN276" s="3">
        <v>0</v>
      </c>
      <c r="AO276" s="3" t="s">
        <v>81</v>
      </c>
      <c r="AP276" s="3" t="s">
        <v>81</v>
      </c>
      <c r="AQ276" s="3" t="s">
        <v>81</v>
      </c>
      <c r="AR276" s="3" t="s">
        <v>81</v>
      </c>
      <c r="AS276" s="3" t="s">
        <v>81</v>
      </c>
      <c r="AT276" s="3" t="s">
        <v>81</v>
      </c>
      <c r="AU276" s="3" t="s">
        <v>81</v>
      </c>
      <c r="AV276" s="3" t="s">
        <v>81</v>
      </c>
      <c r="AW276" s="3" t="s">
        <v>81</v>
      </c>
      <c r="AX276" s="3" t="s">
        <v>81</v>
      </c>
      <c r="AY276" s="3" t="s">
        <v>81</v>
      </c>
      <c r="AZ276" s="3" t="s">
        <v>81</v>
      </c>
      <c r="BA276" s="3" t="s">
        <v>81</v>
      </c>
      <c r="BB276" s="3" t="s">
        <v>81</v>
      </c>
      <c r="BC276" s="3" t="s">
        <v>81</v>
      </c>
      <c r="BD276" s="3" t="s">
        <v>81</v>
      </c>
      <c r="BE276" s="3" t="s">
        <v>81</v>
      </c>
      <c r="BF276" s="3" t="s">
        <v>81</v>
      </c>
      <c r="BG276" s="3" t="s">
        <v>81</v>
      </c>
      <c r="BH276" s="3" t="s">
        <v>81</v>
      </c>
      <c r="BI276" s="3"/>
      <c r="BJ276" s="3"/>
      <c r="BK276" s="3"/>
      <c r="BL276" s="3"/>
      <c r="BM276" s="3"/>
      <c r="BN276" s="3"/>
      <c r="BO276" s="3"/>
      <c r="BV276" s="3"/>
      <c r="BW276" s="3"/>
      <c r="BX276" s="3"/>
    </row>
    <row r="277" spans="1:86" ht="13" hidden="1" x14ac:dyDescent="0.15">
      <c r="A277" s="3">
        <v>1228181001</v>
      </c>
      <c r="B277" s="3" t="s">
        <v>516</v>
      </c>
      <c r="C277" s="3" t="s">
        <v>516</v>
      </c>
      <c r="D277" s="3">
        <v>3</v>
      </c>
      <c r="E277" s="3">
        <v>2</v>
      </c>
      <c r="F277" s="3">
        <v>71.450999999999993</v>
      </c>
      <c r="G277" s="3">
        <v>0</v>
      </c>
      <c r="H277" s="3" t="s">
        <v>81</v>
      </c>
      <c r="I277" s="3" t="s">
        <v>81</v>
      </c>
      <c r="J277" s="3" t="s">
        <v>81</v>
      </c>
      <c r="K277" s="3" t="s">
        <v>81</v>
      </c>
      <c r="L277" s="3" t="s">
        <v>81</v>
      </c>
      <c r="M277" s="3" t="s">
        <v>81</v>
      </c>
      <c r="N277" s="3" t="s">
        <v>81</v>
      </c>
      <c r="O277" s="3" t="s">
        <v>81</v>
      </c>
      <c r="P277" s="3" t="s">
        <v>81</v>
      </c>
      <c r="Q277" s="3">
        <v>130.85400000000001</v>
      </c>
      <c r="R277" s="3">
        <v>2</v>
      </c>
      <c r="S277" s="3">
        <v>68.268000000000001</v>
      </c>
      <c r="T277" s="3">
        <v>23.945</v>
      </c>
      <c r="U277" s="3">
        <v>42.722999999999999</v>
      </c>
      <c r="V277" s="3">
        <v>18.004999999999999</v>
      </c>
      <c r="W277" s="3">
        <v>2.5579999999999998</v>
      </c>
      <c r="X277" s="3" t="s">
        <v>81</v>
      </c>
      <c r="Y277" s="3" t="s">
        <v>81</v>
      </c>
      <c r="Z277" s="3" t="s">
        <v>81</v>
      </c>
      <c r="AA277" s="3" t="s">
        <v>81</v>
      </c>
      <c r="AB277" s="3" t="s">
        <v>81</v>
      </c>
      <c r="AC277" s="3" t="s">
        <v>81</v>
      </c>
      <c r="AD277" s="3" t="s">
        <v>81</v>
      </c>
      <c r="AE277" s="3" t="s">
        <v>81</v>
      </c>
      <c r="AF277" s="3" t="s">
        <v>81</v>
      </c>
      <c r="AG277" s="3" t="s">
        <v>81</v>
      </c>
      <c r="AH277" s="3" t="s">
        <v>81</v>
      </c>
      <c r="AI277" s="3" t="s">
        <v>81</v>
      </c>
      <c r="AJ277" s="3" t="s">
        <v>81</v>
      </c>
      <c r="AK277" s="3" t="s">
        <v>81</v>
      </c>
      <c r="AL277" s="3" t="s">
        <v>81</v>
      </c>
      <c r="AM277" s="3" t="s">
        <v>81</v>
      </c>
      <c r="AN277" s="3" t="s">
        <v>81</v>
      </c>
      <c r="AO277" s="3" t="s">
        <v>81</v>
      </c>
      <c r="AP277" s="3" t="s">
        <v>81</v>
      </c>
      <c r="AQ277" s="3" t="s">
        <v>81</v>
      </c>
      <c r="AR277" s="3" t="s">
        <v>81</v>
      </c>
      <c r="AS277" s="3" t="s">
        <v>81</v>
      </c>
      <c r="AT277" s="3" t="s">
        <v>81</v>
      </c>
      <c r="AU277" s="3" t="s">
        <v>81</v>
      </c>
      <c r="AV277" s="3" t="s">
        <v>81</v>
      </c>
      <c r="AW277" s="3" t="s">
        <v>81</v>
      </c>
      <c r="AX277" s="3" t="s">
        <v>81</v>
      </c>
      <c r="AY277" s="3" t="s">
        <v>81</v>
      </c>
      <c r="AZ277" s="3" t="s">
        <v>81</v>
      </c>
      <c r="BA277" s="3" t="s">
        <v>81</v>
      </c>
      <c r="BB277" s="3" t="s">
        <v>81</v>
      </c>
      <c r="BC277" s="3" t="s">
        <v>81</v>
      </c>
      <c r="BD277" s="3" t="s">
        <v>81</v>
      </c>
      <c r="BE277" s="3" t="s">
        <v>81</v>
      </c>
      <c r="BF277" s="3" t="s">
        <v>81</v>
      </c>
      <c r="BG277" s="3" t="s">
        <v>81</v>
      </c>
      <c r="BH277" s="3" t="s">
        <v>81</v>
      </c>
      <c r="BI277" s="3" t="s">
        <v>84</v>
      </c>
      <c r="BJ277" s="3" t="s">
        <v>84</v>
      </c>
      <c r="BK277" s="3" t="s">
        <v>84</v>
      </c>
      <c r="BL277" s="3" t="s">
        <v>84</v>
      </c>
      <c r="BM277" s="3" t="s">
        <v>84</v>
      </c>
      <c r="BN277" s="3" t="s">
        <v>82</v>
      </c>
      <c r="BO277" s="3" t="s">
        <v>82</v>
      </c>
      <c r="BP277" s="3" t="s">
        <v>517</v>
      </c>
      <c r="BQ277" s="3" t="s">
        <v>517</v>
      </c>
      <c r="BR277" s="3" t="s">
        <v>98</v>
      </c>
      <c r="BS277" s="3" t="s">
        <v>98</v>
      </c>
      <c r="BT277" s="3" t="s">
        <v>85</v>
      </c>
      <c r="BU277" s="3" t="s">
        <v>98</v>
      </c>
      <c r="BV277" s="3" t="s">
        <v>82</v>
      </c>
      <c r="BW277" s="3" t="s">
        <v>111</v>
      </c>
      <c r="BX277" s="3" t="s">
        <v>82</v>
      </c>
      <c r="BY277" s="3" t="s">
        <v>518</v>
      </c>
      <c r="BZ277" s="3" t="s">
        <v>93</v>
      </c>
      <c r="CA277" s="3"/>
      <c r="CB277" s="3"/>
      <c r="CC277" s="3"/>
      <c r="CD277" s="9">
        <v>3</v>
      </c>
      <c r="CE277" s="9">
        <v>3</v>
      </c>
      <c r="CF277" s="9"/>
      <c r="CG277" s="6"/>
      <c r="CH277" s="6"/>
    </row>
    <row r="278" spans="1:86" ht="13" hidden="1" x14ac:dyDescent="0.15">
      <c r="A278" s="3">
        <v>1228377983</v>
      </c>
      <c r="B278" s="3" t="s">
        <v>516</v>
      </c>
      <c r="C278" s="3" t="s">
        <v>516</v>
      </c>
      <c r="D278" s="3">
        <v>3</v>
      </c>
      <c r="E278" s="3">
        <v>2</v>
      </c>
      <c r="F278" s="3">
        <v>77.23</v>
      </c>
      <c r="G278" s="3">
        <v>1</v>
      </c>
      <c r="H278" s="3">
        <v>49.341000000000001</v>
      </c>
      <c r="I278" s="3">
        <v>13.599</v>
      </c>
      <c r="J278" s="3">
        <v>26.100999999999999</v>
      </c>
      <c r="K278" s="3" t="s">
        <v>81</v>
      </c>
      <c r="L278" s="3" t="s">
        <v>81</v>
      </c>
      <c r="M278" s="3" t="s">
        <v>81</v>
      </c>
      <c r="N278" s="3" t="s">
        <v>81</v>
      </c>
      <c r="O278" s="3" t="s">
        <v>81</v>
      </c>
      <c r="P278" s="3" t="s">
        <v>81</v>
      </c>
      <c r="Q278" s="3">
        <v>91.992999999999995</v>
      </c>
      <c r="R278" s="3">
        <v>1</v>
      </c>
      <c r="S278" s="3">
        <v>58.012</v>
      </c>
      <c r="T278" s="3">
        <v>16.673999999999999</v>
      </c>
      <c r="U278" s="3">
        <v>32.823</v>
      </c>
      <c r="V278" s="3" t="s">
        <v>81</v>
      </c>
      <c r="W278" s="3" t="s">
        <v>81</v>
      </c>
      <c r="X278" s="3" t="s">
        <v>81</v>
      </c>
      <c r="Y278" s="3" t="s">
        <v>81</v>
      </c>
      <c r="Z278" s="3" t="s">
        <v>81</v>
      </c>
      <c r="AA278" s="3" t="s">
        <v>81</v>
      </c>
      <c r="AB278" s="3" t="s">
        <v>81</v>
      </c>
      <c r="AC278" s="3" t="s">
        <v>81</v>
      </c>
      <c r="AD278" s="3" t="s">
        <v>81</v>
      </c>
      <c r="AE278" s="3" t="s">
        <v>81</v>
      </c>
      <c r="AF278" s="3" t="s">
        <v>81</v>
      </c>
      <c r="AG278" s="3" t="s">
        <v>81</v>
      </c>
      <c r="AH278" s="3" t="s">
        <v>81</v>
      </c>
      <c r="AI278" s="3" t="s">
        <v>81</v>
      </c>
      <c r="AJ278" s="3" t="s">
        <v>81</v>
      </c>
      <c r="AK278" s="3" t="s">
        <v>81</v>
      </c>
      <c r="AL278" s="3" t="s">
        <v>81</v>
      </c>
      <c r="AM278" s="3" t="s">
        <v>81</v>
      </c>
      <c r="AN278" s="3" t="s">
        <v>81</v>
      </c>
      <c r="AO278" s="3" t="s">
        <v>81</v>
      </c>
      <c r="AP278" s="3" t="s">
        <v>81</v>
      </c>
      <c r="AQ278" s="3" t="s">
        <v>81</v>
      </c>
      <c r="AR278" s="3" t="s">
        <v>81</v>
      </c>
      <c r="AS278" s="3" t="s">
        <v>81</v>
      </c>
      <c r="AT278" s="3" t="s">
        <v>81</v>
      </c>
      <c r="AU278" s="3" t="s">
        <v>81</v>
      </c>
      <c r="AV278" s="3" t="s">
        <v>81</v>
      </c>
      <c r="AW278" s="3" t="s">
        <v>81</v>
      </c>
      <c r="AX278" s="3" t="s">
        <v>81</v>
      </c>
      <c r="AY278" s="3" t="s">
        <v>81</v>
      </c>
      <c r="AZ278" s="3" t="s">
        <v>81</v>
      </c>
      <c r="BA278" s="3" t="s">
        <v>81</v>
      </c>
      <c r="BB278" s="3" t="s">
        <v>81</v>
      </c>
      <c r="BC278" s="3" t="s">
        <v>81</v>
      </c>
      <c r="BD278" s="3" t="s">
        <v>81</v>
      </c>
      <c r="BE278" s="3" t="s">
        <v>81</v>
      </c>
      <c r="BF278" s="3" t="s">
        <v>81</v>
      </c>
      <c r="BG278" s="3" t="s">
        <v>81</v>
      </c>
      <c r="BH278" s="3" t="s">
        <v>81</v>
      </c>
      <c r="BI278" s="3" t="s">
        <v>84</v>
      </c>
      <c r="BJ278" s="3" t="s">
        <v>84</v>
      </c>
      <c r="BK278" s="3" t="s">
        <v>84</v>
      </c>
      <c r="BL278" s="3" t="s">
        <v>84</v>
      </c>
      <c r="BM278" s="3" t="s">
        <v>84</v>
      </c>
      <c r="BN278" s="3" t="s">
        <v>82</v>
      </c>
      <c r="BO278" s="3" t="s">
        <v>82</v>
      </c>
      <c r="BP278" s="3" t="s">
        <v>85</v>
      </c>
      <c r="BQ278" s="3" t="s">
        <v>85</v>
      </c>
      <c r="BR278" s="3" t="s">
        <v>98</v>
      </c>
      <c r="BS278" s="3" t="s">
        <v>98</v>
      </c>
      <c r="BT278" s="3" t="s">
        <v>85</v>
      </c>
      <c r="BU278" s="3" t="s">
        <v>98</v>
      </c>
      <c r="BV278" s="3" t="s">
        <v>82</v>
      </c>
      <c r="BW278" s="3" t="s">
        <v>111</v>
      </c>
      <c r="BX278" s="3" t="s">
        <v>82</v>
      </c>
      <c r="BY278" s="3" t="s">
        <v>519</v>
      </c>
      <c r="BZ278" s="3" t="s">
        <v>93</v>
      </c>
      <c r="CD278" s="9">
        <v>4</v>
      </c>
      <c r="CE278" s="9">
        <v>1</v>
      </c>
      <c r="CF278" s="9"/>
    </row>
    <row r="279" spans="1:86" ht="13" hidden="1" x14ac:dyDescent="0.15">
      <c r="A279" s="3">
        <v>1228611720</v>
      </c>
      <c r="B279" s="3" t="s">
        <v>516</v>
      </c>
      <c r="C279" s="3" t="s">
        <v>516</v>
      </c>
      <c r="D279" s="3">
        <v>3</v>
      </c>
      <c r="E279" s="3">
        <v>2</v>
      </c>
      <c r="F279" s="3">
        <v>50.72</v>
      </c>
      <c r="G279" s="3">
        <v>2</v>
      </c>
      <c r="H279" s="3">
        <v>31.657</v>
      </c>
      <c r="I279" s="3">
        <v>15.43</v>
      </c>
      <c r="J279" s="3">
        <v>19.416</v>
      </c>
      <c r="K279" s="3">
        <v>13.061999999999999</v>
      </c>
      <c r="L279" s="3">
        <v>1.2629999999999999</v>
      </c>
      <c r="M279" s="3" t="s">
        <v>81</v>
      </c>
      <c r="N279" s="3" t="s">
        <v>81</v>
      </c>
      <c r="O279" s="3" t="s">
        <v>81</v>
      </c>
      <c r="P279" s="3" t="s">
        <v>81</v>
      </c>
      <c r="Q279" s="3">
        <v>35.234000000000002</v>
      </c>
      <c r="R279" s="3">
        <v>1</v>
      </c>
      <c r="S279" s="3">
        <v>33.344000000000001</v>
      </c>
      <c r="T279" s="3">
        <v>14.494</v>
      </c>
      <c r="U279" s="3">
        <v>2.0249999999999999</v>
      </c>
      <c r="V279" s="3" t="s">
        <v>81</v>
      </c>
      <c r="W279" s="3" t="s">
        <v>81</v>
      </c>
      <c r="X279" s="3" t="s">
        <v>81</v>
      </c>
      <c r="Y279" s="3" t="s">
        <v>81</v>
      </c>
      <c r="Z279" s="3" t="s">
        <v>81</v>
      </c>
      <c r="AA279" s="3" t="s">
        <v>81</v>
      </c>
      <c r="AB279" s="3" t="s">
        <v>81</v>
      </c>
      <c r="AC279" s="3" t="s">
        <v>81</v>
      </c>
      <c r="AD279" s="3" t="s">
        <v>81</v>
      </c>
      <c r="AE279" s="3" t="s">
        <v>81</v>
      </c>
      <c r="AF279" s="3" t="s">
        <v>81</v>
      </c>
      <c r="AG279" s="3" t="s">
        <v>81</v>
      </c>
      <c r="AH279" s="3" t="s">
        <v>81</v>
      </c>
      <c r="AI279" s="3" t="s">
        <v>81</v>
      </c>
      <c r="AJ279" s="3" t="s">
        <v>81</v>
      </c>
      <c r="AK279" s="3" t="s">
        <v>81</v>
      </c>
      <c r="AL279" s="3" t="s">
        <v>81</v>
      </c>
      <c r="AM279" s="3" t="s">
        <v>81</v>
      </c>
      <c r="AN279" s="3" t="s">
        <v>81</v>
      </c>
      <c r="AO279" s="3" t="s">
        <v>81</v>
      </c>
      <c r="AP279" s="3" t="s">
        <v>81</v>
      </c>
      <c r="AQ279" s="3" t="s">
        <v>81</v>
      </c>
      <c r="AR279" s="3" t="s">
        <v>81</v>
      </c>
      <c r="AS279" s="3" t="s">
        <v>81</v>
      </c>
      <c r="AT279" s="3" t="s">
        <v>81</v>
      </c>
      <c r="AU279" s="3" t="s">
        <v>81</v>
      </c>
      <c r="AV279" s="3" t="s">
        <v>81</v>
      </c>
      <c r="AW279" s="3" t="s">
        <v>81</v>
      </c>
      <c r="AX279" s="3" t="s">
        <v>81</v>
      </c>
      <c r="AY279" s="3" t="s">
        <v>81</v>
      </c>
      <c r="AZ279" s="3" t="s">
        <v>81</v>
      </c>
      <c r="BA279" s="3" t="s">
        <v>81</v>
      </c>
      <c r="BB279" s="3" t="s">
        <v>81</v>
      </c>
      <c r="BC279" s="3" t="s">
        <v>81</v>
      </c>
      <c r="BD279" s="3" t="s">
        <v>81</v>
      </c>
      <c r="BE279" s="3" t="s">
        <v>81</v>
      </c>
      <c r="BF279" s="3" t="s">
        <v>81</v>
      </c>
      <c r="BG279" s="3" t="s">
        <v>81</v>
      </c>
      <c r="BH279" s="3" t="s">
        <v>81</v>
      </c>
      <c r="BI279" s="3" t="s">
        <v>84</v>
      </c>
      <c r="BJ279" s="3" t="s">
        <v>84</v>
      </c>
      <c r="BK279" s="3" t="s">
        <v>84</v>
      </c>
      <c r="BL279" s="3" t="s">
        <v>84</v>
      </c>
      <c r="BM279" s="3" t="s">
        <v>84</v>
      </c>
      <c r="BN279" s="3" t="s">
        <v>82</v>
      </c>
      <c r="BO279" s="3" t="s">
        <v>84</v>
      </c>
      <c r="BP279" s="3" t="s">
        <v>188</v>
      </c>
      <c r="BQ279" s="3" t="s">
        <v>188</v>
      </c>
      <c r="BR279" s="3" t="s">
        <v>98</v>
      </c>
      <c r="BS279" s="3" t="s">
        <v>98</v>
      </c>
      <c r="BT279" s="3" t="s">
        <v>85</v>
      </c>
      <c r="BU279" s="3" t="s">
        <v>98</v>
      </c>
      <c r="BV279" s="3" t="s">
        <v>84</v>
      </c>
      <c r="BW279" s="3" t="s">
        <v>83</v>
      </c>
      <c r="BX279" s="3" t="s">
        <v>82</v>
      </c>
      <c r="BZ279" s="3" t="s">
        <v>93</v>
      </c>
      <c r="CD279" s="9">
        <v>3</v>
      </c>
      <c r="CE279" s="9">
        <v>1</v>
      </c>
      <c r="CF279" s="9">
        <v>1</v>
      </c>
    </row>
    <row r="280" spans="1:86" ht="13" hidden="1" x14ac:dyDescent="0.15">
      <c r="A280" s="3">
        <v>1847935535</v>
      </c>
      <c r="B280" s="3" t="s">
        <v>520</v>
      </c>
      <c r="C280" s="3" t="s">
        <v>520</v>
      </c>
      <c r="D280" s="3">
        <v>4</v>
      </c>
      <c r="E280" s="3">
        <v>7</v>
      </c>
      <c r="F280" s="3">
        <v>22.983000000000001</v>
      </c>
      <c r="G280" s="3">
        <v>0</v>
      </c>
      <c r="H280" s="3" t="s">
        <v>81</v>
      </c>
      <c r="I280" s="3" t="s">
        <v>81</v>
      </c>
      <c r="J280" s="3" t="s">
        <v>81</v>
      </c>
      <c r="K280" s="3" t="s">
        <v>81</v>
      </c>
      <c r="L280" s="3" t="s">
        <v>81</v>
      </c>
      <c r="M280" s="3" t="s">
        <v>81</v>
      </c>
      <c r="N280" s="3" t="s">
        <v>81</v>
      </c>
      <c r="O280" s="3" t="s">
        <v>81</v>
      </c>
      <c r="P280" s="3" t="s">
        <v>81</v>
      </c>
      <c r="Q280" s="3">
        <v>14.547000000000001</v>
      </c>
      <c r="R280" s="3">
        <v>0</v>
      </c>
      <c r="S280" s="3" t="s">
        <v>81</v>
      </c>
      <c r="T280" s="3" t="s">
        <v>81</v>
      </c>
      <c r="U280" s="3" t="s">
        <v>81</v>
      </c>
      <c r="V280" s="3" t="s">
        <v>81</v>
      </c>
      <c r="W280" s="3" t="s">
        <v>81</v>
      </c>
      <c r="X280" s="3" t="s">
        <v>81</v>
      </c>
      <c r="Y280" s="3" t="s">
        <v>81</v>
      </c>
      <c r="Z280" s="3" t="s">
        <v>81</v>
      </c>
      <c r="AA280" s="3" t="s">
        <v>81</v>
      </c>
      <c r="AB280" s="3">
        <v>12.522</v>
      </c>
      <c r="AC280" s="3">
        <v>0</v>
      </c>
      <c r="AD280" s="3" t="s">
        <v>81</v>
      </c>
      <c r="AE280" s="3" t="s">
        <v>81</v>
      </c>
      <c r="AF280" s="3" t="s">
        <v>81</v>
      </c>
      <c r="AG280" s="3" t="s">
        <v>81</v>
      </c>
      <c r="AH280" s="3" t="s">
        <v>81</v>
      </c>
      <c r="AI280" s="3" t="s">
        <v>81</v>
      </c>
      <c r="AJ280" s="3" t="s">
        <v>81</v>
      </c>
      <c r="AK280" s="3" t="s">
        <v>81</v>
      </c>
      <c r="AL280" s="3" t="s">
        <v>81</v>
      </c>
      <c r="AM280" s="3" t="s">
        <v>81</v>
      </c>
      <c r="AN280" s="3" t="s">
        <v>81</v>
      </c>
      <c r="AO280" s="3" t="s">
        <v>81</v>
      </c>
      <c r="AP280" s="3" t="s">
        <v>81</v>
      </c>
      <c r="AQ280" s="3" t="s">
        <v>81</v>
      </c>
      <c r="AR280" s="3" t="s">
        <v>81</v>
      </c>
      <c r="AS280" s="3" t="s">
        <v>81</v>
      </c>
      <c r="AT280" s="3" t="s">
        <v>81</v>
      </c>
      <c r="AU280" s="3" t="s">
        <v>81</v>
      </c>
      <c r="AV280" s="3" t="s">
        <v>81</v>
      </c>
      <c r="AW280" s="3" t="s">
        <v>81</v>
      </c>
      <c r="AX280" s="3" t="s">
        <v>81</v>
      </c>
      <c r="AY280" s="3" t="s">
        <v>81</v>
      </c>
      <c r="AZ280" s="3" t="s">
        <v>81</v>
      </c>
      <c r="BA280" s="3" t="s">
        <v>81</v>
      </c>
      <c r="BB280" s="3" t="s">
        <v>81</v>
      </c>
      <c r="BC280" s="3" t="s">
        <v>81</v>
      </c>
      <c r="BD280" s="3" t="s">
        <v>81</v>
      </c>
      <c r="BE280" s="3" t="s">
        <v>81</v>
      </c>
      <c r="BF280" s="3" t="s">
        <v>81</v>
      </c>
      <c r="BG280" s="3" t="s">
        <v>81</v>
      </c>
      <c r="BH280" s="3" t="s">
        <v>81</v>
      </c>
      <c r="BI280" s="3" t="s">
        <v>83</v>
      </c>
      <c r="BJ280" s="3" t="s">
        <v>82</v>
      </c>
      <c r="BK280" s="3" t="s">
        <v>83</v>
      </c>
      <c r="BL280" s="3" t="s">
        <v>84</v>
      </c>
      <c r="BM280" s="3" t="s">
        <v>84</v>
      </c>
      <c r="BN280" s="3" t="s">
        <v>82</v>
      </c>
      <c r="BO280" s="3" t="s">
        <v>82</v>
      </c>
      <c r="BP280" s="3" t="s">
        <v>81</v>
      </c>
      <c r="BQ280" s="3" t="s">
        <v>81</v>
      </c>
      <c r="BR280" s="3" t="s">
        <v>81</v>
      </c>
      <c r="BS280" s="3" t="s">
        <v>81</v>
      </c>
      <c r="BT280" s="3" t="s">
        <v>81</v>
      </c>
      <c r="BU280" s="3" t="s">
        <v>81</v>
      </c>
      <c r="BV280" s="3" t="s">
        <v>84</v>
      </c>
      <c r="BW280" s="3" t="s">
        <v>83</v>
      </c>
      <c r="BX280" s="3" t="s">
        <v>82</v>
      </c>
      <c r="BY280" s="3" t="s">
        <v>521</v>
      </c>
      <c r="BZ280" s="3" t="s">
        <v>93</v>
      </c>
      <c r="CA280" s="3" t="s">
        <v>103</v>
      </c>
      <c r="CB280" s="3"/>
      <c r="CC280" s="3"/>
      <c r="CD280" s="9">
        <v>7</v>
      </c>
      <c r="CE280" s="9"/>
      <c r="CF280" s="9"/>
      <c r="CG280" s="4">
        <v>4</v>
      </c>
      <c r="CH280" s="4"/>
    </row>
    <row r="281" spans="1:86" ht="13" x14ac:dyDescent="0.15">
      <c r="A281" s="3">
        <v>2643383797</v>
      </c>
      <c r="B281" s="3" t="s">
        <v>469</v>
      </c>
      <c r="C281" s="3" t="s">
        <v>469</v>
      </c>
      <c r="D281" s="3">
        <v>5</v>
      </c>
      <c r="E281" s="3">
        <v>10</v>
      </c>
      <c r="F281" s="3">
        <v>85.563000000000002</v>
      </c>
      <c r="G281" s="3">
        <v>2</v>
      </c>
      <c r="H281" s="3">
        <v>41.604999999999997</v>
      </c>
      <c r="I281" s="3">
        <v>10.151</v>
      </c>
      <c r="J281" s="3">
        <v>25.148</v>
      </c>
      <c r="K281" s="3">
        <v>6.9880000000000004</v>
      </c>
      <c r="L281" s="3">
        <v>17.175999999999998</v>
      </c>
      <c r="M281" s="3" t="s">
        <v>81</v>
      </c>
      <c r="N281" s="3" t="s">
        <v>81</v>
      </c>
      <c r="O281" s="3" t="s">
        <v>81</v>
      </c>
      <c r="P281" s="3" t="s">
        <v>81</v>
      </c>
      <c r="Q281" s="3">
        <v>80.881</v>
      </c>
      <c r="R281" s="3">
        <v>2</v>
      </c>
      <c r="S281" s="3">
        <v>43.195999999999998</v>
      </c>
      <c r="T281" s="3">
        <v>9.5239999999999991</v>
      </c>
      <c r="U281" s="3">
        <v>32.96</v>
      </c>
      <c r="V281" s="3">
        <v>8.5079999999999991</v>
      </c>
      <c r="W281" s="3">
        <v>5.0469999999999997</v>
      </c>
      <c r="X281" s="3" t="s">
        <v>81</v>
      </c>
      <c r="Y281" s="3" t="s">
        <v>81</v>
      </c>
      <c r="Z281" s="3" t="s">
        <v>81</v>
      </c>
      <c r="AA281" s="3" t="s">
        <v>81</v>
      </c>
      <c r="AB281" s="3">
        <v>85.87</v>
      </c>
      <c r="AC281" s="3">
        <v>2</v>
      </c>
      <c r="AD281" s="3">
        <v>37.883000000000003</v>
      </c>
      <c r="AE281" s="3">
        <v>14.513999999999999</v>
      </c>
      <c r="AF281" s="3">
        <v>33.887999999999998</v>
      </c>
      <c r="AG281" s="3">
        <v>5.9820000000000002</v>
      </c>
      <c r="AH281" s="3">
        <v>13.755000000000001</v>
      </c>
      <c r="AI281" s="3" t="s">
        <v>81</v>
      </c>
      <c r="AJ281" s="3" t="s">
        <v>81</v>
      </c>
      <c r="AK281" s="3" t="s">
        <v>81</v>
      </c>
      <c r="AL281" s="3" t="s">
        <v>81</v>
      </c>
      <c r="AM281" s="3">
        <v>83.915000000000006</v>
      </c>
      <c r="AN281" s="3">
        <v>2</v>
      </c>
      <c r="AO281" s="3">
        <v>38.814</v>
      </c>
      <c r="AP281" s="3">
        <v>9.0120000000000005</v>
      </c>
      <c r="AQ281" s="3">
        <v>29.385999999999999</v>
      </c>
      <c r="AR281" s="3">
        <v>7.3620000000000001</v>
      </c>
      <c r="AS281" s="3">
        <v>15.125</v>
      </c>
      <c r="AT281" s="3" t="s">
        <v>81</v>
      </c>
      <c r="AU281" s="3" t="s">
        <v>81</v>
      </c>
      <c r="AV281" s="3" t="s">
        <v>81</v>
      </c>
      <c r="AW281" s="3" t="s">
        <v>81</v>
      </c>
      <c r="AX281" s="3">
        <v>81.459000000000003</v>
      </c>
      <c r="AY281" s="3">
        <v>2</v>
      </c>
      <c r="AZ281" s="3">
        <v>45.268000000000001</v>
      </c>
      <c r="BA281" s="3">
        <v>6.8090000000000002</v>
      </c>
      <c r="BB281" s="3">
        <v>18.97</v>
      </c>
      <c r="BC281" s="3">
        <v>9.1980000000000004</v>
      </c>
      <c r="BD281" s="3">
        <v>17.021000000000001</v>
      </c>
      <c r="BE281" s="3" t="s">
        <v>81</v>
      </c>
      <c r="BF281" s="3" t="s">
        <v>81</v>
      </c>
      <c r="BG281" s="3" t="s">
        <v>81</v>
      </c>
      <c r="BH281" s="3" t="s">
        <v>81</v>
      </c>
      <c r="BI281" s="3" t="s">
        <v>84</v>
      </c>
      <c r="BJ281" s="3" t="s">
        <v>84</v>
      </c>
      <c r="BK281" s="3" t="s">
        <v>84</v>
      </c>
      <c r="BL281" s="3" t="s">
        <v>84</v>
      </c>
      <c r="BM281" s="3" t="s">
        <v>84</v>
      </c>
      <c r="BN281" s="3" t="s">
        <v>82</v>
      </c>
      <c r="BO281" s="3" t="s">
        <v>82</v>
      </c>
      <c r="BP281" s="3" t="s">
        <v>472</v>
      </c>
      <c r="BQ281" s="3" t="s">
        <v>472</v>
      </c>
      <c r="BR281" s="3" t="s">
        <v>473</v>
      </c>
      <c r="BS281" s="3" t="s">
        <v>473</v>
      </c>
      <c r="BT281" s="3" t="s">
        <v>106</v>
      </c>
      <c r="BU281" s="3" t="s">
        <v>474</v>
      </c>
      <c r="BV281" s="3" t="s">
        <v>84</v>
      </c>
      <c r="BW281" s="3" t="s">
        <v>83</v>
      </c>
      <c r="BX281" s="3" t="s">
        <v>82</v>
      </c>
      <c r="BZ281" s="3" t="s">
        <v>86</v>
      </c>
      <c r="CB281" s="3" t="s">
        <v>84</v>
      </c>
      <c r="CD281" s="9">
        <v>20</v>
      </c>
      <c r="CE281" s="9">
        <v>18</v>
      </c>
    </row>
    <row r="282" spans="1:86" ht="13" x14ac:dyDescent="0.15">
      <c r="A282" s="3">
        <v>1847924066</v>
      </c>
      <c r="B282" s="3" t="s">
        <v>475</v>
      </c>
      <c r="C282" s="3" t="s">
        <v>475</v>
      </c>
      <c r="D282" s="3">
        <v>4</v>
      </c>
      <c r="E282" s="3">
        <v>4</v>
      </c>
      <c r="F282" s="3">
        <v>30.576000000000001</v>
      </c>
      <c r="G282" s="3">
        <v>0</v>
      </c>
      <c r="H282" s="3" t="s">
        <v>81</v>
      </c>
      <c r="I282" s="3" t="s">
        <v>81</v>
      </c>
      <c r="J282" s="3" t="s">
        <v>81</v>
      </c>
      <c r="K282" s="3" t="s">
        <v>81</v>
      </c>
      <c r="L282" s="3" t="s">
        <v>81</v>
      </c>
      <c r="M282" s="3" t="s">
        <v>81</v>
      </c>
      <c r="N282" s="3" t="s">
        <v>81</v>
      </c>
      <c r="O282" s="3" t="s">
        <v>81</v>
      </c>
      <c r="P282" s="3" t="s">
        <v>81</v>
      </c>
      <c r="Q282" s="3">
        <v>30.163</v>
      </c>
      <c r="R282" s="3">
        <v>0</v>
      </c>
      <c r="S282" s="3" t="s">
        <v>81</v>
      </c>
      <c r="T282" s="3" t="s">
        <v>81</v>
      </c>
      <c r="U282" s="3" t="s">
        <v>81</v>
      </c>
      <c r="V282" s="3" t="s">
        <v>81</v>
      </c>
      <c r="W282" s="3" t="s">
        <v>81</v>
      </c>
      <c r="X282" s="3" t="s">
        <v>81</v>
      </c>
      <c r="Y282" s="3" t="s">
        <v>81</v>
      </c>
      <c r="Z282" s="3" t="s">
        <v>81</v>
      </c>
      <c r="AA282" s="3" t="s">
        <v>81</v>
      </c>
      <c r="AB282" s="3">
        <v>20.102</v>
      </c>
      <c r="AC282" s="3">
        <v>0</v>
      </c>
      <c r="AD282" s="3" t="s">
        <v>81</v>
      </c>
      <c r="AE282" s="3" t="s">
        <v>81</v>
      </c>
      <c r="AF282" s="3" t="s">
        <v>81</v>
      </c>
      <c r="AG282" s="3" t="s">
        <v>81</v>
      </c>
      <c r="AH282" s="3" t="s">
        <v>81</v>
      </c>
      <c r="AI282" s="3" t="s">
        <v>81</v>
      </c>
      <c r="AJ282" s="3" t="s">
        <v>81</v>
      </c>
      <c r="AK282" s="3" t="s">
        <v>81</v>
      </c>
      <c r="AL282" s="3" t="s">
        <v>81</v>
      </c>
      <c r="AM282" s="3" t="s">
        <v>81</v>
      </c>
      <c r="AN282" s="3" t="s">
        <v>81</v>
      </c>
      <c r="AO282" s="3" t="s">
        <v>81</v>
      </c>
      <c r="AP282" s="3" t="s">
        <v>81</v>
      </c>
      <c r="AQ282" s="3" t="s">
        <v>81</v>
      </c>
      <c r="AR282" s="3" t="s">
        <v>81</v>
      </c>
      <c r="AS282" s="3" t="s">
        <v>81</v>
      </c>
      <c r="AT282" s="3" t="s">
        <v>81</v>
      </c>
      <c r="AU282" s="3" t="s">
        <v>81</v>
      </c>
      <c r="AV282" s="3" t="s">
        <v>81</v>
      </c>
      <c r="AW282" s="3" t="s">
        <v>81</v>
      </c>
      <c r="AX282" s="3" t="s">
        <v>81</v>
      </c>
      <c r="AY282" s="3" t="s">
        <v>81</v>
      </c>
      <c r="AZ282" s="3" t="s">
        <v>81</v>
      </c>
      <c r="BA282" s="3" t="s">
        <v>81</v>
      </c>
      <c r="BB282" s="3" t="s">
        <v>81</v>
      </c>
      <c r="BC282" s="3" t="s">
        <v>81</v>
      </c>
      <c r="BD282" s="3" t="s">
        <v>81</v>
      </c>
      <c r="BE282" s="3" t="s">
        <v>81</v>
      </c>
      <c r="BF282" s="3" t="s">
        <v>81</v>
      </c>
      <c r="BG282" s="3" t="s">
        <v>81</v>
      </c>
      <c r="BH282" s="3" t="s">
        <v>81</v>
      </c>
      <c r="BI282" s="3" t="s">
        <v>82</v>
      </c>
      <c r="BJ282" s="3" t="s">
        <v>82</v>
      </c>
      <c r="BK282" s="3" t="s">
        <v>83</v>
      </c>
      <c r="BL282" s="3" t="s">
        <v>84</v>
      </c>
      <c r="BM282" s="3" t="s">
        <v>84</v>
      </c>
      <c r="BN282" s="3" t="s">
        <v>82</v>
      </c>
      <c r="BO282" s="3" t="s">
        <v>82</v>
      </c>
      <c r="BP282" s="3" t="s">
        <v>369</v>
      </c>
      <c r="BQ282" s="3" t="s">
        <v>369</v>
      </c>
      <c r="BR282" s="3" t="s">
        <v>476</v>
      </c>
      <c r="BS282" s="3" t="s">
        <v>476</v>
      </c>
      <c r="BT282" s="3" t="s">
        <v>85</v>
      </c>
      <c r="BU282" s="3" t="s">
        <v>98</v>
      </c>
      <c r="BV282" s="3" t="s">
        <v>82</v>
      </c>
      <c r="BW282" s="3" t="s">
        <v>111</v>
      </c>
      <c r="BX282" s="3" t="s">
        <v>84</v>
      </c>
      <c r="BY282" s="3"/>
      <c r="BZ282" s="3" t="s">
        <v>93</v>
      </c>
      <c r="CA282" s="3" t="s">
        <v>103</v>
      </c>
      <c r="CB282" s="3" t="s">
        <v>84</v>
      </c>
      <c r="CC282" s="3"/>
      <c r="CD282" s="9">
        <v>4</v>
      </c>
      <c r="CE282" s="9"/>
      <c r="CF282" s="4"/>
      <c r="CG282" s="4"/>
      <c r="CH282" s="4"/>
    </row>
    <row r="283" spans="1:86" ht="13" x14ac:dyDescent="0.15">
      <c r="A283" s="3">
        <v>2236117833</v>
      </c>
      <c r="B283" s="3" t="s">
        <v>477</v>
      </c>
      <c r="C283" s="3" t="s">
        <v>477</v>
      </c>
      <c r="D283" s="3" t="s">
        <v>81</v>
      </c>
      <c r="E283" s="3">
        <v>23</v>
      </c>
      <c r="F283" s="3">
        <v>18.702999999999999</v>
      </c>
      <c r="G283" s="3">
        <v>0</v>
      </c>
      <c r="H283" s="3" t="s">
        <v>81</v>
      </c>
      <c r="I283" s="3" t="s">
        <v>81</v>
      </c>
      <c r="J283" s="3" t="s">
        <v>81</v>
      </c>
      <c r="K283" s="3" t="s">
        <v>81</v>
      </c>
      <c r="L283" s="3" t="s">
        <v>81</v>
      </c>
      <c r="M283" s="3" t="s">
        <v>81</v>
      </c>
      <c r="N283" s="3" t="s">
        <v>81</v>
      </c>
      <c r="O283" s="3" t="s">
        <v>81</v>
      </c>
      <c r="P283" s="3" t="s">
        <v>81</v>
      </c>
      <c r="Q283" s="3">
        <v>15.464</v>
      </c>
      <c r="R283" s="3">
        <v>0</v>
      </c>
      <c r="S283" s="3" t="s">
        <v>81</v>
      </c>
      <c r="T283" s="3" t="s">
        <v>81</v>
      </c>
      <c r="U283" s="3" t="s">
        <v>81</v>
      </c>
      <c r="V283" s="3" t="s">
        <v>81</v>
      </c>
      <c r="W283" s="3" t="s">
        <v>81</v>
      </c>
      <c r="X283" s="3" t="s">
        <v>81</v>
      </c>
      <c r="Y283" s="3" t="s">
        <v>81</v>
      </c>
      <c r="Z283" s="3" t="s">
        <v>81</v>
      </c>
      <c r="AA283" s="3" t="s">
        <v>81</v>
      </c>
      <c r="AB283" s="3">
        <v>18.318999999999999</v>
      </c>
      <c r="AC283" s="3">
        <v>0</v>
      </c>
      <c r="AD283" s="3" t="s">
        <v>81</v>
      </c>
      <c r="AE283" s="3" t="s">
        <v>81</v>
      </c>
      <c r="AF283" s="3" t="s">
        <v>81</v>
      </c>
      <c r="AG283" s="3" t="s">
        <v>81</v>
      </c>
      <c r="AH283" s="3" t="s">
        <v>81</v>
      </c>
      <c r="AI283" s="3" t="s">
        <v>81</v>
      </c>
      <c r="AJ283" s="3" t="s">
        <v>81</v>
      </c>
      <c r="AK283" s="3" t="s">
        <v>81</v>
      </c>
      <c r="AL283" s="3" t="s">
        <v>81</v>
      </c>
      <c r="AM283" s="3">
        <v>17.454999999999998</v>
      </c>
      <c r="AN283" s="3">
        <v>0</v>
      </c>
      <c r="AO283" s="3" t="s">
        <v>81</v>
      </c>
      <c r="AP283" s="3" t="s">
        <v>81</v>
      </c>
      <c r="AQ283" s="3" t="s">
        <v>81</v>
      </c>
      <c r="AR283" s="3" t="s">
        <v>81</v>
      </c>
      <c r="AS283" s="3" t="s">
        <v>81</v>
      </c>
      <c r="AT283" s="3" t="s">
        <v>81</v>
      </c>
      <c r="AU283" s="3" t="s">
        <v>81</v>
      </c>
      <c r="AV283" s="3" t="s">
        <v>81</v>
      </c>
      <c r="AW283" s="3" t="s">
        <v>81</v>
      </c>
      <c r="AX283" s="3">
        <v>16.329999999999998</v>
      </c>
      <c r="AY283" s="3">
        <v>0</v>
      </c>
      <c r="AZ283" s="3" t="s">
        <v>81</v>
      </c>
      <c r="BA283" s="3" t="s">
        <v>81</v>
      </c>
      <c r="BB283" s="3" t="s">
        <v>81</v>
      </c>
      <c r="BC283" s="3" t="s">
        <v>81</v>
      </c>
      <c r="BD283" s="3" t="s">
        <v>81</v>
      </c>
      <c r="BE283" s="3" t="s">
        <v>81</v>
      </c>
      <c r="BF283" s="3" t="s">
        <v>81</v>
      </c>
      <c r="BG283" s="3" t="s">
        <v>81</v>
      </c>
      <c r="BH283" s="3" t="s">
        <v>81</v>
      </c>
      <c r="BI283" s="3" t="s">
        <v>82</v>
      </c>
      <c r="BJ283" s="3" t="s">
        <v>84</v>
      </c>
      <c r="BK283" s="3" t="s">
        <v>84</v>
      </c>
      <c r="BL283" s="3" t="s">
        <v>84</v>
      </c>
      <c r="BM283" s="3" t="s">
        <v>84</v>
      </c>
      <c r="BN283" s="3"/>
      <c r="BO283" s="3" t="s">
        <v>82</v>
      </c>
      <c r="BP283" s="3" t="s">
        <v>478</v>
      </c>
      <c r="BQ283" s="3" t="s">
        <v>478</v>
      </c>
      <c r="BR283" s="3" t="s">
        <v>478</v>
      </c>
      <c r="BS283" s="3" t="s">
        <v>478</v>
      </c>
      <c r="BT283" s="3" t="s">
        <v>87</v>
      </c>
      <c r="BU283" s="3" t="s">
        <v>81</v>
      </c>
      <c r="BV283" s="3" t="s">
        <v>84</v>
      </c>
      <c r="BW283" s="3"/>
      <c r="BX283" s="3" t="s">
        <v>82</v>
      </c>
      <c r="BY283" s="8" t="s">
        <v>160</v>
      </c>
      <c r="BZ283" s="3" t="s">
        <v>86</v>
      </c>
      <c r="CB283" s="3" t="s">
        <v>84</v>
      </c>
      <c r="CD283" s="9">
        <v>35</v>
      </c>
      <c r="CE283" s="9"/>
    </row>
    <row r="284" spans="1:86" ht="13" hidden="1" x14ac:dyDescent="0.15">
      <c r="A284" s="3">
        <v>1321274706</v>
      </c>
      <c r="B284" s="3" t="s">
        <v>523</v>
      </c>
      <c r="C284" s="3" t="s">
        <v>524</v>
      </c>
      <c r="D284" s="3">
        <v>4</v>
      </c>
      <c r="E284" s="3">
        <v>5</v>
      </c>
      <c r="F284" s="3">
        <v>85.116</v>
      </c>
      <c r="G284" s="3">
        <v>2</v>
      </c>
      <c r="H284" s="3">
        <v>49.484000000000002</v>
      </c>
      <c r="I284" s="3">
        <v>24.425999999999998</v>
      </c>
      <c r="J284" s="3">
        <v>30.888999999999999</v>
      </c>
      <c r="K284" s="3">
        <v>28.632000000000001</v>
      </c>
      <c r="L284" s="3">
        <v>1.121</v>
      </c>
      <c r="M284" s="3" t="s">
        <v>81</v>
      </c>
      <c r="N284" s="3" t="s">
        <v>81</v>
      </c>
      <c r="O284" s="3" t="s">
        <v>81</v>
      </c>
      <c r="P284" s="3" t="s">
        <v>81</v>
      </c>
      <c r="Q284" s="3">
        <v>107.214</v>
      </c>
      <c r="R284" s="3">
        <v>3</v>
      </c>
      <c r="S284" s="3">
        <v>55.899000000000001</v>
      </c>
      <c r="T284" s="3">
        <v>24.087</v>
      </c>
      <c r="U284" s="3">
        <v>39.450000000000003</v>
      </c>
      <c r="V284" s="3" t="s">
        <v>81</v>
      </c>
      <c r="W284" s="3">
        <v>7.7519999999999998</v>
      </c>
      <c r="X284" s="3">
        <v>29.349</v>
      </c>
      <c r="Y284" s="3">
        <v>0.86399999999999999</v>
      </c>
      <c r="Z284" s="3" t="s">
        <v>81</v>
      </c>
      <c r="AA284" s="3" t="s">
        <v>81</v>
      </c>
      <c r="AB284" s="3">
        <v>107.31</v>
      </c>
      <c r="AC284" s="3">
        <v>3</v>
      </c>
      <c r="AD284" s="3">
        <v>50.125</v>
      </c>
      <c r="AE284" s="3">
        <v>33.892000000000003</v>
      </c>
      <c r="AF284" s="3">
        <v>44.609000000000002</v>
      </c>
      <c r="AG284" s="3" t="s">
        <v>81</v>
      </c>
      <c r="AH284" s="3">
        <v>9.8059999999999992</v>
      </c>
      <c r="AI284" s="3">
        <v>22.78</v>
      </c>
      <c r="AJ284" s="3">
        <v>0.32700000000000001</v>
      </c>
      <c r="AK284" s="3" t="s">
        <v>81</v>
      </c>
      <c r="AL284" s="3" t="s">
        <v>81</v>
      </c>
      <c r="AM284" s="3">
        <v>112.714</v>
      </c>
      <c r="AN284" s="3">
        <v>3</v>
      </c>
      <c r="AO284" s="3">
        <v>60.252000000000002</v>
      </c>
      <c r="AP284" s="3">
        <v>32.018999999999998</v>
      </c>
      <c r="AQ284" s="3">
        <v>41.847000000000001</v>
      </c>
      <c r="AR284" s="3" t="s">
        <v>81</v>
      </c>
      <c r="AS284" s="3">
        <v>8.5920000000000005</v>
      </c>
      <c r="AT284" s="3">
        <v>22.564</v>
      </c>
      <c r="AU284" s="3">
        <v>0.77800000000000002</v>
      </c>
      <c r="AV284" s="3" t="s">
        <v>81</v>
      </c>
      <c r="AW284" s="3" t="s">
        <v>81</v>
      </c>
      <c r="AX284" s="3">
        <v>97.602000000000004</v>
      </c>
      <c r="AY284" s="3">
        <v>3</v>
      </c>
      <c r="AZ284" s="3">
        <v>52.225999999999999</v>
      </c>
      <c r="BA284" s="3">
        <v>24.36</v>
      </c>
      <c r="BB284" s="3">
        <v>37.479999999999997</v>
      </c>
      <c r="BC284" s="3" t="s">
        <v>81</v>
      </c>
      <c r="BD284" s="3">
        <v>7.4489999999999998</v>
      </c>
      <c r="BE284" s="3">
        <v>29.594999999999999</v>
      </c>
      <c r="BF284" s="3">
        <v>0.38100000000000001</v>
      </c>
      <c r="BG284" s="3" t="s">
        <v>81</v>
      </c>
      <c r="BH284" s="3" t="s">
        <v>81</v>
      </c>
      <c r="BI284" s="3" t="s">
        <v>84</v>
      </c>
      <c r="BJ284" s="3" t="s">
        <v>84</v>
      </c>
      <c r="BK284" s="3" t="s">
        <v>82</v>
      </c>
      <c r="BL284" s="3" t="s">
        <v>84</v>
      </c>
      <c r="BM284" s="3" t="s">
        <v>84</v>
      </c>
      <c r="BN284" s="3" t="s">
        <v>82</v>
      </c>
      <c r="BO284" s="3" t="s">
        <v>82</v>
      </c>
      <c r="BP284" s="3" t="s">
        <v>525</v>
      </c>
      <c r="BQ284" s="3" t="s">
        <v>525</v>
      </c>
      <c r="BR284" s="3" t="s">
        <v>299</v>
      </c>
      <c r="BS284" s="3" t="s">
        <v>299</v>
      </c>
      <c r="BT284" s="3" t="s">
        <v>85</v>
      </c>
      <c r="BU284" s="3" t="s">
        <v>81</v>
      </c>
      <c r="BV284" s="3" t="s">
        <v>82</v>
      </c>
      <c r="BW284" s="3" t="s">
        <v>91</v>
      </c>
      <c r="BX284" s="3" t="s">
        <v>82</v>
      </c>
      <c r="BY284" s="3" t="s">
        <v>161</v>
      </c>
      <c r="BZ284" s="3" t="s">
        <v>86</v>
      </c>
      <c r="CA284" s="3" t="s">
        <v>232</v>
      </c>
      <c r="CB284" s="3"/>
      <c r="CC284" s="3"/>
      <c r="CD284" s="9">
        <v>14</v>
      </c>
      <c r="CE284" s="9"/>
      <c r="CF284" s="6"/>
      <c r="CG284" s="6"/>
      <c r="CH284" s="6"/>
    </row>
    <row r="285" spans="1:86" ht="13" hidden="1" x14ac:dyDescent="0.15">
      <c r="A285" s="3">
        <v>2235753928</v>
      </c>
      <c r="B285" s="3" t="s">
        <v>523</v>
      </c>
      <c r="C285" s="3" t="s">
        <v>524</v>
      </c>
      <c r="D285" s="3">
        <v>12</v>
      </c>
      <c r="E285" s="3">
        <v>13</v>
      </c>
      <c r="F285" s="3">
        <v>31.442</v>
      </c>
      <c r="G285" s="3">
        <v>1</v>
      </c>
      <c r="H285" s="3">
        <v>27.158000000000001</v>
      </c>
      <c r="I285" s="3">
        <v>11.936999999999999</v>
      </c>
      <c r="J285" s="3">
        <v>4.76</v>
      </c>
      <c r="K285" s="3" t="s">
        <v>81</v>
      </c>
      <c r="L285" s="3" t="s">
        <v>81</v>
      </c>
      <c r="M285" s="3" t="s">
        <v>81</v>
      </c>
      <c r="N285" s="3" t="s">
        <v>81</v>
      </c>
      <c r="O285" s="3" t="s">
        <v>81</v>
      </c>
      <c r="P285" s="3" t="s">
        <v>81</v>
      </c>
      <c r="Q285" s="3">
        <v>35.578000000000003</v>
      </c>
      <c r="R285" s="3">
        <v>2</v>
      </c>
      <c r="S285" s="3">
        <v>28.17</v>
      </c>
      <c r="T285" s="3" t="s">
        <v>81</v>
      </c>
      <c r="U285" s="3">
        <v>5.8419999999999996</v>
      </c>
      <c r="V285" s="3">
        <v>3.9910000000000001</v>
      </c>
      <c r="W285" s="3">
        <v>1.264</v>
      </c>
      <c r="X285" s="3" t="s">
        <v>81</v>
      </c>
      <c r="Y285" s="3" t="s">
        <v>81</v>
      </c>
      <c r="Z285" s="3" t="s">
        <v>81</v>
      </c>
      <c r="AA285" s="3" t="s">
        <v>81</v>
      </c>
      <c r="AB285" s="3">
        <v>30.581</v>
      </c>
      <c r="AC285" s="3">
        <v>0</v>
      </c>
      <c r="AD285" s="3" t="s">
        <v>81</v>
      </c>
      <c r="AE285" s="3" t="s">
        <v>81</v>
      </c>
      <c r="AF285" s="3" t="s">
        <v>81</v>
      </c>
      <c r="AG285" s="3" t="s">
        <v>81</v>
      </c>
      <c r="AH285" s="3" t="s">
        <v>81</v>
      </c>
      <c r="AI285" s="3" t="s">
        <v>81</v>
      </c>
      <c r="AJ285" s="3" t="s">
        <v>81</v>
      </c>
      <c r="AK285" s="3" t="s">
        <v>81</v>
      </c>
      <c r="AL285" s="3" t="s">
        <v>81</v>
      </c>
      <c r="AM285" s="3">
        <v>24.99</v>
      </c>
      <c r="AN285" s="3">
        <v>0</v>
      </c>
      <c r="AO285" s="3" t="s">
        <v>81</v>
      </c>
      <c r="AP285" s="3" t="s">
        <v>81</v>
      </c>
      <c r="AQ285" s="3" t="s">
        <v>81</v>
      </c>
      <c r="AR285" s="3" t="s">
        <v>81</v>
      </c>
      <c r="AS285" s="3" t="s">
        <v>81</v>
      </c>
      <c r="AT285" s="3" t="s">
        <v>81</v>
      </c>
      <c r="AU285" s="3" t="s">
        <v>81</v>
      </c>
      <c r="AV285" s="3" t="s">
        <v>81</v>
      </c>
      <c r="AW285" s="3" t="s">
        <v>81</v>
      </c>
      <c r="AX285" s="3">
        <v>27.128</v>
      </c>
      <c r="AY285" s="3">
        <v>0</v>
      </c>
      <c r="AZ285" s="3" t="s">
        <v>81</v>
      </c>
      <c r="BA285" s="3" t="s">
        <v>81</v>
      </c>
      <c r="BB285" s="3" t="s">
        <v>81</v>
      </c>
      <c r="BC285" s="3" t="s">
        <v>81</v>
      </c>
      <c r="BD285" s="3" t="s">
        <v>81</v>
      </c>
      <c r="BE285" s="3" t="s">
        <v>81</v>
      </c>
      <c r="BF285" s="3" t="s">
        <v>81</v>
      </c>
      <c r="BG285" s="3" t="s">
        <v>81</v>
      </c>
      <c r="BH285" s="3" t="s">
        <v>81</v>
      </c>
      <c r="BI285" s="3" t="s">
        <v>84</v>
      </c>
      <c r="BJ285" s="3" t="s">
        <v>82</v>
      </c>
      <c r="BK285" s="3" t="s">
        <v>83</v>
      </c>
      <c r="BL285" s="3" t="s">
        <v>84</v>
      </c>
      <c r="BM285" s="3" t="s">
        <v>84</v>
      </c>
      <c r="BN285" s="3" t="s">
        <v>82</v>
      </c>
      <c r="BO285" s="3" t="s">
        <v>82</v>
      </c>
      <c r="BP285" s="3" t="s">
        <v>526</v>
      </c>
      <c r="BQ285" s="3" t="s">
        <v>526</v>
      </c>
      <c r="BR285" s="3" t="s">
        <v>526</v>
      </c>
      <c r="BS285" s="3" t="s">
        <v>526</v>
      </c>
      <c r="BT285" s="3" t="s">
        <v>85</v>
      </c>
      <c r="BU285" s="3" t="s">
        <v>81</v>
      </c>
      <c r="BV285" s="3" t="s">
        <v>82</v>
      </c>
      <c r="BW285" s="3" t="s">
        <v>91</v>
      </c>
      <c r="BX285" s="3" t="s">
        <v>82</v>
      </c>
      <c r="BZ285" s="3" t="s">
        <v>86</v>
      </c>
      <c r="CD285" s="9">
        <v>13</v>
      </c>
      <c r="CE285" s="9"/>
    </row>
    <row r="286" spans="1:86" ht="13" hidden="1" x14ac:dyDescent="0.15">
      <c r="A286" s="3">
        <v>2625915677</v>
      </c>
      <c r="B286" s="3" t="s">
        <v>523</v>
      </c>
      <c r="C286" s="3" t="s">
        <v>524</v>
      </c>
      <c r="D286" s="3">
        <v>6</v>
      </c>
      <c r="E286" s="3">
        <v>7</v>
      </c>
      <c r="F286" s="3">
        <v>70.897000000000006</v>
      </c>
      <c r="G286" s="3">
        <v>2</v>
      </c>
      <c r="H286" s="3">
        <v>41.241999999999997</v>
      </c>
      <c r="I286" s="3">
        <v>14.212</v>
      </c>
      <c r="J286" s="3">
        <v>27.042999999999999</v>
      </c>
      <c r="K286" s="3">
        <v>12.590999999999999</v>
      </c>
      <c r="L286" s="3">
        <v>1.127</v>
      </c>
      <c r="M286" s="3" t="s">
        <v>81</v>
      </c>
      <c r="N286" s="3" t="s">
        <v>81</v>
      </c>
      <c r="O286" s="3" t="s">
        <v>81</v>
      </c>
      <c r="P286" s="3" t="s">
        <v>81</v>
      </c>
      <c r="Q286" s="3">
        <v>73.05</v>
      </c>
      <c r="R286" s="3">
        <v>2</v>
      </c>
      <c r="S286" s="3">
        <v>44.164000000000001</v>
      </c>
      <c r="T286" s="3">
        <v>12.861000000000001</v>
      </c>
      <c r="U286" s="3">
        <v>27.98</v>
      </c>
      <c r="V286" s="3">
        <v>11.772</v>
      </c>
      <c r="W286" s="3">
        <v>0.80500000000000005</v>
      </c>
      <c r="X286" s="3" t="s">
        <v>81</v>
      </c>
      <c r="Y286" s="3" t="s">
        <v>81</v>
      </c>
      <c r="Z286" s="3" t="s">
        <v>81</v>
      </c>
      <c r="AA286" s="3" t="s">
        <v>81</v>
      </c>
      <c r="AB286" s="3">
        <v>68.63</v>
      </c>
      <c r="AC286" s="3">
        <v>2</v>
      </c>
      <c r="AD286" s="3">
        <v>40.807000000000002</v>
      </c>
      <c r="AE286" s="3">
        <v>13.654</v>
      </c>
      <c r="AF286" s="3">
        <v>26.774000000000001</v>
      </c>
      <c r="AG286" s="3">
        <v>9.4870000000000001</v>
      </c>
      <c r="AH286" s="3">
        <v>0.86099999999999999</v>
      </c>
      <c r="AI286" s="3" t="s">
        <v>81</v>
      </c>
      <c r="AJ286" s="3" t="s">
        <v>81</v>
      </c>
      <c r="AK286" s="3" t="s">
        <v>81</v>
      </c>
      <c r="AL286" s="3" t="s">
        <v>81</v>
      </c>
      <c r="AM286" s="3">
        <v>72.337999999999994</v>
      </c>
      <c r="AN286" s="3">
        <v>2</v>
      </c>
      <c r="AO286" s="3">
        <v>45.704000000000001</v>
      </c>
      <c r="AP286" s="3">
        <v>13.566000000000001</v>
      </c>
      <c r="AQ286" s="3">
        <v>23.939</v>
      </c>
      <c r="AR286" s="3">
        <v>11.372999999999999</v>
      </c>
      <c r="AS286" s="3">
        <v>1.2010000000000001</v>
      </c>
      <c r="AT286" s="3" t="s">
        <v>81</v>
      </c>
      <c r="AU286" s="3" t="s">
        <v>81</v>
      </c>
      <c r="AV286" s="3" t="s">
        <v>81</v>
      </c>
      <c r="AW286" s="3" t="s">
        <v>81</v>
      </c>
      <c r="AX286" s="3">
        <v>70.766000000000005</v>
      </c>
      <c r="AY286" s="3">
        <v>2</v>
      </c>
      <c r="AZ286" s="3">
        <v>44.927</v>
      </c>
      <c r="BA286" s="3">
        <v>9.9</v>
      </c>
      <c r="BB286" s="3">
        <v>25.57</v>
      </c>
      <c r="BC286" s="3">
        <v>12.807</v>
      </c>
      <c r="BD286" s="3">
        <v>0.28000000000000003</v>
      </c>
      <c r="BE286" s="3" t="s">
        <v>81</v>
      </c>
      <c r="BF286" s="3" t="s">
        <v>81</v>
      </c>
      <c r="BG286" s="3" t="s">
        <v>81</v>
      </c>
      <c r="BH286" s="3" t="s">
        <v>81</v>
      </c>
      <c r="BI286" s="3" t="s">
        <v>84</v>
      </c>
      <c r="BJ286" s="3" t="s">
        <v>84</v>
      </c>
      <c r="BK286" s="3" t="s">
        <v>82</v>
      </c>
      <c r="BL286" s="3" t="s">
        <v>84</v>
      </c>
      <c r="BM286" s="3" t="s">
        <v>84</v>
      </c>
      <c r="BN286" s="3" t="s">
        <v>82</v>
      </c>
      <c r="BO286" s="3" t="s">
        <v>82</v>
      </c>
      <c r="BP286" s="3" t="s">
        <v>165</v>
      </c>
      <c r="BQ286" s="3" t="s">
        <v>165</v>
      </c>
      <c r="BR286" s="3" t="s">
        <v>165</v>
      </c>
      <c r="BS286" s="3" t="s">
        <v>165</v>
      </c>
      <c r="BT286" s="3" t="s">
        <v>85</v>
      </c>
      <c r="BU286" s="3" t="s">
        <v>81</v>
      </c>
      <c r="BV286" s="3" t="s">
        <v>82</v>
      </c>
      <c r="BW286" s="3" t="s">
        <v>91</v>
      </c>
      <c r="BX286" s="3" t="s">
        <v>82</v>
      </c>
      <c r="BZ286" s="3" t="s">
        <v>86</v>
      </c>
      <c r="CD286" s="9">
        <v>14</v>
      </c>
      <c r="CE286" s="9"/>
    </row>
    <row r="287" spans="1:86" ht="13" x14ac:dyDescent="0.15">
      <c r="A287" s="3">
        <v>1228374622</v>
      </c>
      <c r="B287" s="3" t="s">
        <v>477</v>
      </c>
      <c r="C287" s="3" t="s">
        <v>477</v>
      </c>
      <c r="D287" s="3">
        <v>17</v>
      </c>
      <c r="E287" s="3">
        <v>20</v>
      </c>
      <c r="F287" s="3">
        <v>28.972999999999999</v>
      </c>
      <c r="G287" s="3">
        <v>0</v>
      </c>
      <c r="H287" s="3" t="s">
        <v>81</v>
      </c>
      <c r="I287" s="3" t="s">
        <v>81</v>
      </c>
      <c r="J287" s="3" t="s">
        <v>81</v>
      </c>
      <c r="K287" s="3" t="s">
        <v>81</v>
      </c>
      <c r="L287" s="3" t="s">
        <v>81</v>
      </c>
      <c r="M287" s="3" t="s">
        <v>81</v>
      </c>
      <c r="N287" s="3" t="s">
        <v>81</v>
      </c>
      <c r="O287" s="3" t="s">
        <v>81</v>
      </c>
      <c r="P287" s="3" t="s">
        <v>81</v>
      </c>
      <c r="Q287" s="3">
        <v>27.507000000000001</v>
      </c>
      <c r="R287" s="3">
        <v>0</v>
      </c>
      <c r="S287" s="3" t="s">
        <v>81</v>
      </c>
      <c r="T287" s="3" t="s">
        <v>81</v>
      </c>
      <c r="U287" s="3" t="s">
        <v>81</v>
      </c>
      <c r="V287" s="3" t="s">
        <v>81</v>
      </c>
      <c r="W287" s="3" t="s">
        <v>81</v>
      </c>
      <c r="X287" s="3" t="s">
        <v>81</v>
      </c>
      <c r="Y287" s="3" t="s">
        <v>81</v>
      </c>
      <c r="Z287" s="3" t="s">
        <v>81</v>
      </c>
      <c r="AA287" s="3" t="s">
        <v>81</v>
      </c>
      <c r="AB287" s="3">
        <v>32.4</v>
      </c>
      <c r="AC287" s="3">
        <v>0</v>
      </c>
      <c r="AD287" s="3" t="s">
        <v>81</v>
      </c>
      <c r="AE287" s="3" t="s">
        <v>81</v>
      </c>
      <c r="AF287" s="3" t="s">
        <v>81</v>
      </c>
      <c r="AG287" s="3" t="s">
        <v>81</v>
      </c>
      <c r="AH287" s="3" t="s">
        <v>81</v>
      </c>
      <c r="AI287" s="3" t="s">
        <v>81</v>
      </c>
      <c r="AJ287" s="3" t="s">
        <v>81</v>
      </c>
      <c r="AK287" s="3" t="s">
        <v>81</v>
      </c>
      <c r="AL287" s="3" t="s">
        <v>81</v>
      </c>
      <c r="AM287" s="3">
        <v>32.284999999999997</v>
      </c>
      <c r="AN287" s="3">
        <v>0</v>
      </c>
      <c r="AO287" s="3" t="s">
        <v>81</v>
      </c>
      <c r="AP287" s="3" t="s">
        <v>81</v>
      </c>
      <c r="AQ287" s="3" t="s">
        <v>81</v>
      </c>
      <c r="AR287" s="3" t="s">
        <v>81</v>
      </c>
      <c r="AS287" s="3" t="s">
        <v>81</v>
      </c>
      <c r="AT287" s="3" t="s">
        <v>81</v>
      </c>
      <c r="AU287" s="3" t="s">
        <v>81</v>
      </c>
      <c r="AV287" s="3" t="s">
        <v>81</v>
      </c>
      <c r="AW287" s="3" t="s">
        <v>81</v>
      </c>
      <c r="AX287" s="3">
        <v>31.821999999999999</v>
      </c>
      <c r="AY287" s="3">
        <v>0</v>
      </c>
      <c r="AZ287" s="3" t="s">
        <v>81</v>
      </c>
      <c r="BA287" s="3" t="s">
        <v>81</v>
      </c>
      <c r="BB287" s="3" t="s">
        <v>81</v>
      </c>
      <c r="BC287" s="3" t="s">
        <v>81</v>
      </c>
      <c r="BD287" s="3" t="s">
        <v>81</v>
      </c>
      <c r="BE287" s="3" t="s">
        <v>81</v>
      </c>
      <c r="BF287" s="3" t="s">
        <v>81</v>
      </c>
      <c r="BG287" s="3" t="s">
        <v>81</v>
      </c>
      <c r="BH287" s="3" t="s">
        <v>81</v>
      </c>
      <c r="BI287" s="3" t="s">
        <v>82</v>
      </c>
      <c r="BJ287" s="3" t="s">
        <v>82</v>
      </c>
      <c r="BK287" s="3" t="s">
        <v>83</v>
      </c>
      <c r="BL287" s="3" t="s">
        <v>84</v>
      </c>
      <c r="BM287" s="3" t="s">
        <v>84</v>
      </c>
      <c r="BN287" s="3" t="s">
        <v>84</v>
      </c>
      <c r="BO287" s="3" t="s">
        <v>84</v>
      </c>
      <c r="BP287" s="3" t="s">
        <v>87</v>
      </c>
      <c r="BQ287" s="3" t="s">
        <v>87</v>
      </c>
      <c r="BR287" s="3" t="s">
        <v>87</v>
      </c>
      <c r="BS287" s="3" t="s">
        <v>87</v>
      </c>
      <c r="BT287" s="3" t="s">
        <v>87</v>
      </c>
      <c r="BU287" s="3" t="s">
        <v>81</v>
      </c>
      <c r="BV287" s="3" t="s">
        <v>82</v>
      </c>
      <c r="BW287" s="3" t="s">
        <v>111</v>
      </c>
      <c r="BX287" s="3" t="s">
        <v>82</v>
      </c>
      <c r="BY287" s="3" t="s">
        <v>468</v>
      </c>
      <c r="BZ287" s="3" t="s">
        <v>93</v>
      </c>
      <c r="CB287" s="3" t="s">
        <v>84</v>
      </c>
      <c r="CD287" s="9">
        <v>20</v>
      </c>
      <c r="CE287" s="9"/>
    </row>
    <row r="288" spans="1:86" ht="13" x14ac:dyDescent="0.15">
      <c r="A288" s="3">
        <v>1228446902</v>
      </c>
      <c r="B288" s="3" t="s">
        <v>477</v>
      </c>
      <c r="C288" s="3" t="s">
        <v>477</v>
      </c>
      <c r="D288" s="3">
        <v>4</v>
      </c>
      <c r="E288" s="3">
        <v>4</v>
      </c>
      <c r="F288" s="3">
        <v>32.767000000000003</v>
      </c>
      <c r="G288" s="3">
        <v>0</v>
      </c>
      <c r="H288" s="3" t="s">
        <v>81</v>
      </c>
      <c r="I288" s="3" t="s">
        <v>81</v>
      </c>
      <c r="J288" s="3" t="s">
        <v>81</v>
      </c>
      <c r="K288" s="3" t="s">
        <v>81</v>
      </c>
      <c r="L288" s="3" t="s">
        <v>81</v>
      </c>
      <c r="M288" s="3" t="s">
        <v>81</v>
      </c>
      <c r="N288" s="3" t="s">
        <v>81</v>
      </c>
      <c r="O288" s="3" t="s">
        <v>81</v>
      </c>
      <c r="P288" s="3" t="s">
        <v>81</v>
      </c>
      <c r="Q288" s="3">
        <v>30.93</v>
      </c>
      <c r="R288" s="3">
        <v>0</v>
      </c>
      <c r="S288" s="3" t="s">
        <v>81</v>
      </c>
      <c r="T288" s="3" t="s">
        <v>81</v>
      </c>
      <c r="U288" s="3" t="s">
        <v>81</v>
      </c>
      <c r="V288" s="3" t="s">
        <v>81</v>
      </c>
      <c r="W288" s="3" t="s">
        <v>81</v>
      </c>
      <c r="X288" s="3" t="s">
        <v>81</v>
      </c>
      <c r="Y288" s="3" t="s">
        <v>81</v>
      </c>
      <c r="Z288" s="3" t="s">
        <v>81</v>
      </c>
      <c r="AA288" s="3" t="s">
        <v>81</v>
      </c>
      <c r="AB288" s="3">
        <v>28.108000000000001</v>
      </c>
      <c r="AC288" s="3">
        <v>0</v>
      </c>
      <c r="AD288" s="3" t="s">
        <v>81</v>
      </c>
      <c r="AE288" s="3" t="s">
        <v>81</v>
      </c>
      <c r="AF288" s="3" t="s">
        <v>81</v>
      </c>
      <c r="AG288" s="3" t="s">
        <v>81</v>
      </c>
      <c r="AH288" s="3" t="s">
        <v>81</v>
      </c>
      <c r="AI288" s="3" t="s">
        <v>81</v>
      </c>
      <c r="AJ288" s="3" t="s">
        <v>81</v>
      </c>
      <c r="AK288" s="3" t="s">
        <v>81</v>
      </c>
      <c r="AL288" s="3" t="s">
        <v>81</v>
      </c>
      <c r="AM288" s="3">
        <v>24.318999999999999</v>
      </c>
      <c r="AN288" s="3">
        <v>0</v>
      </c>
      <c r="AO288" s="3" t="s">
        <v>81</v>
      </c>
      <c r="AP288" s="3" t="s">
        <v>81</v>
      </c>
      <c r="AQ288" s="3" t="s">
        <v>81</v>
      </c>
      <c r="AR288" s="3" t="s">
        <v>81</v>
      </c>
      <c r="AS288" s="3" t="s">
        <v>81</v>
      </c>
      <c r="AT288" s="3" t="s">
        <v>81</v>
      </c>
      <c r="AU288" s="3" t="s">
        <v>81</v>
      </c>
      <c r="AV288" s="3" t="s">
        <v>81</v>
      </c>
      <c r="AW288" s="3" t="s">
        <v>81</v>
      </c>
      <c r="AX288" s="3" t="s">
        <v>81</v>
      </c>
      <c r="AY288" s="3" t="s">
        <v>81</v>
      </c>
      <c r="AZ288" s="3" t="s">
        <v>81</v>
      </c>
      <c r="BA288" s="3" t="s">
        <v>81</v>
      </c>
      <c r="BB288" s="3" t="s">
        <v>81</v>
      </c>
      <c r="BC288" s="3" t="s">
        <v>81</v>
      </c>
      <c r="BD288" s="3" t="s">
        <v>81</v>
      </c>
      <c r="BE288" s="3" t="s">
        <v>81</v>
      </c>
      <c r="BF288" s="3" t="s">
        <v>81</v>
      </c>
      <c r="BG288" s="3" t="s">
        <v>81</v>
      </c>
      <c r="BH288" s="3" t="s">
        <v>81</v>
      </c>
      <c r="BI288" s="3" t="s">
        <v>84</v>
      </c>
      <c r="BJ288" s="3" t="s">
        <v>84</v>
      </c>
      <c r="BK288" s="3" t="s">
        <v>84</v>
      </c>
      <c r="BL288" s="3" t="s">
        <v>82</v>
      </c>
      <c r="BM288" s="3" t="s">
        <v>83</v>
      </c>
      <c r="BN288" s="3" t="s">
        <v>84</v>
      </c>
      <c r="BO288" s="3" t="s">
        <v>83</v>
      </c>
      <c r="BP288" s="3" t="s">
        <v>81</v>
      </c>
      <c r="BQ288" s="3" t="s">
        <v>81</v>
      </c>
      <c r="BR288" s="3" t="s">
        <v>81</v>
      </c>
      <c r="BS288" s="3" t="s">
        <v>81</v>
      </c>
      <c r="BT288" s="3" t="s">
        <v>81</v>
      </c>
      <c r="BU288" s="3" t="s">
        <v>81</v>
      </c>
      <c r="BV288" s="3" t="s">
        <v>83</v>
      </c>
      <c r="BW288" s="3" t="s">
        <v>83</v>
      </c>
      <c r="BX288" s="3" t="s">
        <v>83</v>
      </c>
      <c r="BY288" s="3" t="s">
        <v>479</v>
      </c>
      <c r="BZ288" s="3" t="s">
        <v>93</v>
      </c>
      <c r="CB288" s="3" t="s">
        <v>84</v>
      </c>
      <c r="CD288" s="9">
        <v>4</v>
      </c>
      <c r="CE288" s="9"/>
    </row>
    <row r="289" spans="1:87" ht="13" x14ac:dyDescent="0.15">
      <c r="A289" s="3">
        <v>1228545309</v>
      </c>
      <c r="B289" s="3" t="s">
        <v>477</v>
      </c>
      <c r="C289" s="3" t="s">
        <v>477</v>
      </c>
      <c r="D289" s="3">
        <v>11</v>
      </c>
      <c r="E289" s="3">
        <v>11</v>
      </c>
      <c r="F289" s="3">
        <v>22.164999999999999</v>
      </c>
      <c r="G289" s="3">
        <v>0</v>
      </c>
      <c r="H289" s="3" t="s">
        <v>81</v>
      </c>
      <c r="I289" s="3" t="s">
        <v>81</v>
      </c>
      <c r="J289" s="3" t="s">
        <v>81</v>
      </c>
      <c r="K289" s="3" t="s">
        <v>81</v>
      </c>
      <c r="L289" s="3" t="s">
        <v>81</v>
      </c>
      <c r="M289" s="3" t="s">
        <v>81</v>
      </c>
      <c r="N289" s="3" t="s">
        <v>81</v>
      </c>
      <c r="O289" s="3" t="s">
        <v>81</v>
      </c>
      <c r="P289" s="3" t="s">
        <v>81</v>
      </c>
      <c r="Q289" s="3">
        <v>20.974</v>
      </c>
      <c r="R289" s="3">
        <v>0</v>
      </c>
      <c r="S289" s="3" t="s">
        <v>81</v>
      </c>
      <c r="T289" s="3" t="s">
        <v>81</v>
      </c>
      <c r="U289" s="3" t="s">
        <v>81</v>
      </c>
      <c r="V289" s="3" t="s">
        <v>81</v>
      </c>
      <c r="W289" s="3" t="s">
        <v>81</v>
      </c>
      <c r="X289" s="3" t="s">
        <v>81</v>
      </c>
      <c r="Y289" s="3" t="s">
        <v>81</v>
      </c>
      <c r="Z289" s="3" t="s">
        <v>81</v>
      </c>
      <c r="AA289" s="3" t="s">
        <v>81</v>
      </c>
      <c r="AB289" s="3">
        <v>20.785</v>
      </c>
      <c r="AC289" s="3">
        <v>0</v>
      </c>
      <c r="AD289" s="3" t="s">
        <v>81</v>
      </c>
      <c r="AE289" s="3" t="s">
        <v>81</v>
      </c>
      <c r="AF289" s="3" t="s">
        <v>81</v>
      </c>
      <c r="AG289" s="3" t="s">
        <v>81</v>
      </c>
      <c r="AH289" s="3" t="s">
        <v>81</v>
      </c>
      <c r="AI289" s="3" t="s">
        <v>81</v>
      </c>
      <c r="AJ289" s="3" t="s">
        <v>81</v>
      </c>
      <c r="AK289" s="3" t="s">
        <v>81</v>
      </c>
      <c r="AL289" s="3" t="s">
        <v>81</v>
      </c>
      <c r="AM289" s="3">
        <v>21.585999999999999</v>
      </c>
      <c r="AN289" s="3">
        <v>0</v>
      </c>
      <c r="AO289" s="3" t="s">
        <v>81</v>
      </c>
      <c r="AP289" s="3" t="s">
        <v>81</v>
      </c>
      <c r="AQ289" s="3" t="s">
        <v>81</v>
      </c>
      <c r="AR289" s="3" t="s">
        <v>81</v>
      </c>
      <c r="AS289" s="3" t="s">
        <v>81</v>
      </c>
      <c r="AT289" s="3" t="s">
        <v>81</v>
      </c>
      <c r="AU289" s="3" t="s">
        <v>81</v>
      </c>
      <c r="AV289" s="3" t="s">
        <v>81</v>
      </c>
      <c r="AW289" s="3" t="s">
        <v>81</v>
      </c>
      <c r="AX289" s="3">
        <v>21.466999999999999</v>
      </c>
      <c r="AY289" s="3">
        <v>0</v>
      </c>
      <c r="AZ289" s="3" t="s">
        <v>81</v>
      </c>
      <c r="BA289" s="3" t="s">
        <v>81</v>
      </c>
      <c r="BB289" s="3" t="s">
        <v>81</v>
      </c>
      <c r="BC289" s="3" t="s">
        <v>81</v>
      </c>
      <c r="BD289" s="3" t="s">
        <v>81</v>
      </c>
      <c r="BE289" s="3" t="s">
        <v>81</v>
      </c>
      <c r="BF289" s="3" t="s">
        <v>81</v>
      </c>
      <c r="BG289" s="3" t="s">
        <v>81</v>
      </c>
      <c r="BH289" s="3" t="s">
        <v>81</v>
      </c>
      <c r="BI289" s="3" t="s">
        <v>84</v>
      </c>
      <c r="BJ289" s="3" t="s">
        <v>82</v>
      </c>
      <c r="BK289" s="3" t="s">
        <v>83</v>
      </c>
      <c r="BL289" s="3" t="s">
        <v>84</v>
      </c>
      <c r="BM289" s="3" t="s">
        <v>84</v>
      </c>
      <c r="BN289" s="3" t="s">
        <v>84</v>
      </c>
      <c r="BO289" s="3" t="s">
        <v>82</v>
      </c>
      <c r="BP289" s="3" t="s">
        <v>87</v>
      </c>
      <c r="BQ289" s="3" t="s">
        <v>87</v>
      </c>
      <c r="BR289" s="3" t="s">
        <v>87</v>
      </c>
      <c r="BS289" s="3" t="s">
        <v>87</v>
      </c>
      <c r="BT289" s="3" t="s">
        <v>87</v>
      </c>
      <c r="BU289" s="3" t="s">
        <v>81</v>
      </c>
      <c r="BV289" s="3" t="s">
        <v>84</v>
      </c>
      <c r="BW289" s="3" t="s">
        <v>83</v>
      </c>
      <c r="BX289" s="3" t="s">
        <v>82</v>
      </c>
      <c r="BZ289" s="3" t="s">
        <v>93</v>
      </c>
      <c r="CB289" s="3" t="s">
        <v>84</v>
      </c>
      <c r="CD289" s="9">
        <v>11</v>
      </c>
      <c r="CE289" s="9">
        <v>10</v>
      </c>
    </row>
    <row r="290" spans="1:87" ht="13" x14ac:dyDescent="0.15">
      <c r="A290" s="3">
        <v>1228605909</v>
      </c>
      <c r="B290" s="3" t="s">
        <v>477</v>
      </c>
      <c r="C290" s="3" t="s">
        <v>477</v>
      </c>
      <c r="D290" s="3">
        <v>16</v>
      </c>
      <c r="E290" s="3">
        <v>21</v>
      </c>
      <c r="F290" s="3">
        <v>30.568000000000001</v>
      </c>
      <c r="G290" s="3">
        <v>0</v>
      </c>
      <c r="H290" s="3" t="s">
        <v>81</v>
      </c>
      <c r="I290" s="3" t="s">
        <v>81</v>
      </c>
      <c r="J290" s="3" t="s">
        <v>81</v>
      </c>
      <c r="K290" s="3" t="s">
        <v>81</v>
      </c>
      <c r="L290" s="3" t="s">
        <v>81</v>
      </c>
      <c r="M290" s="3" t="s">
        <v>81</v>
      </c>
      <c r="N290" s="3" t="s">
        <v>81</v>
      </c>
      <c r="O290" s="3" t="s">
        <v>81</v>
      </c>
      <c r="P290" s="3" t="s">
        <v>81</v>
      </c>
      <c r="Q290" s="3">
        <v>32.445</v>
      </c>
      <c r="R290" s="3">
        <v>0</v>
      </c>
      <c r="S290" s="3" t="s">
        <v>81</v>
      </c>
      <c r="T290" s="3" t="s">
        <v>81</v>
      </c>
      <c r="U290" s="3" t="s">
        <v>81</v>
      </c>
      <c r="V290" s="3" t="s">
        <v>81</v>
      </c>
      <c r="W290" s="3" t="s">
        <v>81</v>
      </c>
      <c r="X290" s="3" t="s">
        <v>81</v>
      </c>
      <c r="Y290" s="3" t="s">
        <v>81</v>
      </c>
      <c r="Z290" s="3" t="s">
        <v>81</v>
      </c>
      <c r="AA290" s="3" t="s">
        <v>81</v>
      </c>
      <c r="AB290" s="3">
        <v>36.012</v>
      </c>
      <c r="AC290" s="3">
        <v>0</v>
      </c>
      <c r="AD290" s="3" t="s">
        <v>81</v>
      </c>
      <c r="AE290" s="3" t="s">
        <v>81</v>
      </c>
      <c r="AF290" s="3" t="s">
        <v>81</v>
      </c>
      <c r="AG290" s="3" t="s">
        <v>81</v>
      </c>
      <c r="AH290" s="3" t="s">
        <v>81</v>
      </c>
      <c r="AI290" s="3" t="s">
        <v>81</v>
      </c>
      <c r="AJ290" s="3" t="s">
        <v>81</v>
      </c>
      <c r="AK290" s="3" t="s">
        <v>81</v>
      </c>
      <c r="AL290" s="3" t="s">
        <v>81</v>
      </c>
      <c r="AM290" s="3">
        <v>31.303000000000001</v>
      </c>
      <c r="AN290" s="3">
        <v>0</v>
      </c>
      <c r="AO290" s="3" t="s">
        <v>81</v>
      </c>
      <c r="AP290" s="3" t="s">
        <v>81</v>
      </c>
      <c r="AQ290" s="3" t="s">
        <v>81</v>
      </c>
      <c r="AR290" s="3" t="s">
        <v>81</v>
      </c>
      <c r="AS290" s="3" t="s">
        <v>81</v>
      </c>
      <c r="AT290" s="3" t="s">
        <v>81</v>
      </c>
      <c r="AU290" s="3" t="s">
        <v>81</v>
      </c>
      <c r="AV290" s="3" t="s">
        <v>81</v>
      </c>
      <c r="AW290" s="3" t="s">
        <v>81</v>
      </c>
      <c r="AX290" s="3">
        <v>31.69</v>
      </c>
      <c r="AY290" s="3">
        <v>0</v>
      </c>
      <c r="AZ290" s="3" t="s">
        <v>81</v>
      </c>
      <c r="BA290" s="3" t="s">
        <v>81</v>
      </c>
      <c r="BB290" s="3" t="s">
        <v>81</v>
      </c>
      <c r="BC290" s="3" t="s">
        <v>81</v>
      </c>
      <c r="BD290" s="3" t="s">
        <v>81</v>
      </c>
      <c r="BE290" s="3" t="s">
        <v>81</v>
      </c>
      <c r="BF290" s="3" t="s">
        <v>81</v>
      </c>
      <c r="BG290" s="3" t="s">
        <v>81</v>
      </c>
      <c r="BH290" s="3" t="s">
        <v>81</v>
      </c>
      <c r="BI290" s="3" t="s">
        <v>84</v>
      </c>
      <c r="BJ290" s="3" t="s">
        <v>82</v>
      </c>
      <c r="BK290" s="3" t="s">
        <v>83</v>
      </c>
      <c r="BL290" s="3" t="s">
        <v>84</v>
      </c>
      <c r="BM290" s="3" t="s">
        <v>84</v>
      </c>
      <c r="BN290" s="3" t="s">
        <v>84</v>
      </c>
      <c r="BO290" s="3" t="s">
        <v>84</v>
      </c>
      <c r="BP290" s="3" t="s">
        <v>85</v>
      </c>
      <c r="BQ290" s="3" t="s">
        <v>85</v>
      </c>
      <c r="BR290" s="3" t="s">
        <v>85</v>
      </c>
      <c r="BS290" s="3" t="s">
        <v>480</v>
      </c>
      <c r="BT290" s="3" t="s">
        <v>85</v>
      </c>
      <c r="BU290" s="3" t="s">
        <v>81</v>
      </c>
      <c r="BV290" s="3" t="s">
        <v>84</v>
      </c>
      <c r="BW290" s="3" t="s">
        <v>83</v>
      </c>
      <c r="BX290" s="3" t="s">
        <v>82</v>
      </c>
      <c r="BZ290" s="3" t="s">
        <v>93</v>
      </c>
      <c r="CB290" s="3" t="s">
        <v>84</v>
      </c>
      <c r="CD290" s="9">
        <v>20</v>
      </c>
      <c r="CE290" s="9"/>
    </row>
    <row r="291" spans="1:87" ht="13" x14ac:dyDescent="0.15">
      <c r="A291" s="3">
        <v>1847922301</v>
      </c>
      <c r="B291" s="3" t="s">
        <v>402</v>
      </c>
      <c r="C291" s="3" t="s">
        <v>477</v>
      </c>
      <c r="D291" s="3">
        <v>18</v>
      </c>
      <c r="E291" s="3">
        <v>19</v>
      </c>
      <c r="F291" s="3">
        <v>11.561999999999999</v>
      </c>
      <c r="G291" s="3">
        <v>0</v>
      </c>
      <c r="H291" s="3" t="s">
        <v>81</v>
      </c>
      <c r="I291" s="3" t="s">
        <v>81</v>
      </c>
      <c r="J291" s="3" t="s">
        <v>81</v>
      </c>
      <c r="K291" s="3" t="s">
        <v>81</v>
      </c>
      <c r="L291" s="3" t="s">
        <v>81</v>
      </c>
      <c r="M291" s="3" t="s">
        <v>81</v>
      </c>
      <c r="N291" s="3" t="s">
        <v>81</v>
      </c>
      <c r="O291" s="3" t="s">
        <v>81</v>
      </c>
      <c r="P291" s="3" t="s">
        <v>81</v>
      </c>
      <c r="Q291" s="3">
        <v>15.224</v>
      </c>
      <c r="R291" s="3">
        <v>0</v>
      </c>
      <c r="S291" s="3" t="s">
        <v>81</v>
      </c>
      <c r="T291" s="3" t="s">
        <v>81</v>
      </c>
      <c r="U291" s="3" t="s">
        <v>81</v>
      </c>
      <c r="V291" s="3" t="s">
        <v>81</v>
      </c>
      <c r="W291" s="3" t="s">
        <v>81</v>
      </c>
      <c r="X291" s="3" t="s">
        <v>81</v>
      </c>
      <c r="Y291" s="3" t="s">
        <v>81</v>
      </c>
      <c r="Z291" s="3" t="s">
        <v>81</v>
      </c>
      <c r="AA291" s="3" t="s">
        <v>81</v>
      </c>
      <c r="AB291" s="3">
        <v>10.066000000000001</v>
      </c>
      <c r="AC291" s="3">
        <v>0</v>
      </c>
      <c r="AD291" s="3" t="s">
        <v>81</v>
      </c>
      <c r="AE291" s="3" t="s">
        <v>81</v>
      </c>
      <c r="AF291" s="3" t="s">
        <v>81</v>
      </c>
      <c r="AG291" s="3" t="s">
        <v>81</v>
      </c>
      <c r="AH291" s="3" t="s">
        <v>81</v>
      </c>
      <c r="AI291" s="3" t="s">
        <v>81</v>
      </c>
      <c r="AJ291" s="3" t="s">
        <v>81</v>
      </c>
      <c r="AK291" s="3" t="s">
        <v>81</v>
      </c>
      <c r="AL291" s="3" t="s">
        <v>81</v>
      </c>
      <c r="AM291" s="3">
        <v>13.773</v>
      </c>
      <c r="AN291" s="3">
        <v>0</v>
      </c>
      <c r="AO291" s="3" t="s">
        <v>81</v>
      </c>
      <c r="AP291" s="3" t="s">
        <v>81</v>
      </c>
      <c r="AQ291" s="3" t="s">
        <v>81</v>
      </c>
      <c r="AR291" s="3" t="s">
        <v>81</v>
      </c>
      <c r="AS291" s="3" t="s">
        <v>81</v>
      </c>
      <c r="AT291" s="3" t="s">
        <v>81</v>
      </c>
      <c r="AU291" s="3" t="s">
        <v>81</v>
      </c>
      <c r="AV291" s="3" t="s">
        <v>81</v>
      </c>
      <c r="AW291" s="3" t="s">
        <v>81</v>
      </c>
      <c r="AX291" s="3">
        <v>12.478</v>
      </c>
      <c r="AY291" s="3">
        <v>0</v>
      </c>
      <c r="AZ291" s="3" t="s">
        <v>81</v>
      </c>
      <c r="BA291" s="3" t="s">
        <v>81</v>
      </c>
      <c r="BB291" s="3" t="s">
        <v>81</v>
      </c>
      <c r="BC291" s="3" t="s">
        <v>81</v>
      </c>
      <c r="BD291" s="3" t="s">
        <v>81</v>
      </c>
      <c r="BE291" s="3" t="s">
        <v>81</v>
      </c>
      <c r="BF291" s="3" t="s">
        <v>81</v>
      </c>
      <c r="BG291" s="3" t="s">
        <v>81</v>
      </c>
      <c r="BH291" s="3" t="s">
        <v>81</v>
      </c>
      <c r="BI291" s="3" t="s">
        <v>84</v>
      </c>
      <c r="BJ291" s="3" t="s">
        <v>82</v>
      </c>
      <c r="BK291" s="3" t="s">
        <v>83</v>
      </c>
      <c r="BL291" s="3" t="s">
        <v>84</v>
      </c>
      <c r="BM291" s="3" t="s">
        <v>84</v>
      </c>
      <c r="BN291" s="3" t="s">
        <v>84</v>
      </c>
      <c r="BO291" s="3" t="s">
        <v>82</v>
      </c>
      <c r="BP291" s="3" t="s">
        <v>403</v>
      </c>
      <c r="BQ291" s="3" t="s">
        <v>403</v>
      </c>
      <c r="BR291" s="3" t="s">
        <v>404</v>
      </c>
      <c r="BS291" s="3" t="s">
        <v>405</v>
      </c>
      <c r="BT291" s="3" t="s">
        <v>87</v>
      </c>
      <c r="BU291" s="3" t="s">
        <v>85</v>
      </c>
      <c r="BV291" s="3" t="s">
        <v>84</v>
      </c>
      <c r="BW291" s="3" t="s">
        <v>83</v>
      </c>
      <c r="BX291" s="3" t="s">
        <v>82</v>
      </c>
      <c r="BZ291" s="3" t="s">
        <v>93</v>
      </c>
      <c r="CB291" s="3" t="s">
        <v>84</v>
      </c>
      <c r="CD291" s="9">
        <v>21</v>
      </c>
      <c r="CE291" s="9">
        <v>20</v>
      </c>
      <c r="CF291" s="9"/>
    </row>
    <row r="292" spans="1:87" ht="15.75" customHeight="1" x14ac:dyDescent="0.15">
      <c r="A292" s="9" t="s">
        <v>554</v>
      </c>
      <c r="B292" s="9" t="s">
        <v>562</v>
      </c>
      <c r="C292" s="9" t="s">
        <v>562</v>
      </c>
      <c r="E292">
        <v>3</v>
      </c>
      <c r="F292">
        <v>10.220000000000001</v>
      </c>
      <c r="G292" s="3">
        <v>0</v>
      </c>
      <c r="H292" s="3" t="s">
        <v>81</v>
      </c>
      <c r="I292" s="3" t="s">
        <v>81</v>
      </c>
      <c r="J292" s="3" t="s">
        <v>81</v>
      </c>
      <c r="K292" s="3" t="s">
        <v>81</v>
      </c>
      <c r="L292" s="3" t="s">
        <v>81</v>
      </c>
      <c r="M292" s="3" t="s">
        <v>81</v>
      </c>
      <c r="N292" s="3" t="s">
        <v>81</v>
      </c>
      <c r="O292" s="3" t="s">
        <v>81</v>
      </c>
      <c r="P292" s="3" t="s">
        <v>81</v>
      </c>
      <c r="Q292">
        <v>13.18</v>
      </c>
      <c r="R292" s="3">
        <v>0</v>
      </c>
      <c r="S292" s="3" t="s">
        <v>81</v>
      </c>
      <c r="T292" s="3" t="s">
        <v>81</v>
      </c>
      <c r="U292" s="3" t="s">
        <v>81</v>
      </c>
      <c r="V292" s="3" t="s">
        <v>81</v>
      </c>
      <c r="W292" s="3" t="s">
        <v>81</v>
      </c>
      <c r="X292" s="3" t="s">
        <v>81</v>
      </c>
      <c r="Y292" s="3" t="s">
        <v>81</v>
      </c>
      <c r="Z292" s="3" t="s">
        <v>81</v>
      </c>
      <c r="AA292" s="3" t="s">
        <v>81</v>
      </c>
      <c r="AB292">
        <v>14.72</v>
      </c>
      <c r="AC292" s="3" t="s">
        <v>81</v>
      </c>
      <c r="AD292" s="3" t="s">
        <v>81</v>
      </c>
      <c r="AE292" s="3" t="s">
        <v>81</v>
      </c>
      <c r="AF292" s="3" t="s">
        <v>81</v>
      </c>
      <c r="AG292" s="3" t="s">
        <v>81</v>
      </c>
      <c r="AH292" s="3" t="s">
        <v>81</v>
      </c>
      <c r="AI292" s="3" t="s">
        <v>81</v>
      </c>
      <c r="AJ292" s="3" t="s">
        <v>81</v>
      </c>
      <c r="AK292" s="3" t="s">
        <v>81</v>
      </c>
      <c r="AL292" s="3" t="s">
        <v>81</v>
      </c>
      <c r="AM292" s="3" t="s">
        <v>81</v>
      </c>
      <c r="AN292" s="3" t="s">
        <v>81</v>
      </c>
      <c r="AO292" s="3" t="s">
        <v>81</v>
      </c>
      <c r="AP292" s="3" t="s">
        <v>81</v>
      </c>
      <c r="AQ292" s="3" t="s">
        <v>81</v>
      </c>
      <c r="AR292" s="3" t="s">
        <v>81</v>
      </c>
      <c r="AS292" s="3" t="s">
        <v>81</v>
      </c>
      <c r="AT292" s="3" t="s">
        <v>81</v>
      </c>
      <c r="AU292" s="3" t="s">
        <v>81</v>
      </c>
      <c r="AV292" s="3" t="s">
        <v>81</v>
      </c>
      <c r="AW292" s="3" t="s">
        <v>81</v>
      </c>
      <c r="AX292" s="3" t="s">
        <v>81</v>
      </c>
      <c r="AY292" s="3" t="s">
        <v>81</v>
      </c>
      <c r="AZ292" s="3" t="s">
        <v>81</v>
      </c>
      <c r="BA292" s="3" t="s">
        <v>81</v>
      </c>
      <c r="BB292" s="3" t="s">
        <v>81</v>
      </c>
      <c r="BC292" s="3" t="s">
        <v>81</v>
      </c>
      <c r="BD292" s="3" t="s">
        <v>81</v>
      </c>
      <c r="BE292" s="3" t="s">
        <v>81</v>
      </c>
      <c r="BF292" s="3" t="s">
        <v>81</v>
      </c>
      <c r="BG292" s="3" t="s">
        <v>81</v>
      </c>
      <c r="BH292" s="3" t="s">
        <v>81</v>
      </c>
      <c r="BI292" s="3" t="s">
        <v>84</v>
      </c>
      <c r="BJ292" s="3" t="s">
        <v>82</v>
      </c>
      <c r="BK292" s="3" t="s">
        <v>82</v>
      </c>
      <c r="BL292" s="3" t="s">
        <v>84</v>
      </c>
      <c r="BM292" s="3" t="s">
        <v>84</v>
      </c>
      <c r="BN292" s="3" t="s">
        <v>84</v>
      </c>
      <c r="BO292" s="3" t="s">
        <v>84</v>
      </c>
      <c r="BV292" s="3"/>
      <c r="BW292" s="3"/>
      <c r="BX292" s="3"/>
      <c r="BZ292" s="9" t="s">
        <v>93</v>
      </c>
      <c r="CB292" s="9" t="s">
        <v>84</v>
      </c>
      <c r="CD292">
        <v>3</v>
      </c>
      <c r="CG292">
        <v>3</v>
      </c>
    </row>
    <row r="293" spans="1:87" ht="15.75" customHeight="1" x14ac:dyDescent="0.15">
      <c r="A293" s="9" t="s">
        <v>555</v>
      </c>
      <c r="B293" s="9" t="s">
        <v>562</v>
      </c>
      <c r="C293" s="9" t="s">
        <v>562</v>
      </c>
      <c r="D293">
        <v>1</v>
      </c>
      <c r="E293">
        <v>2</v>
      </c>
      <c r="F293">
        <v>13.82</v>
      </c>
      <c r="G293" s="3">
        <v>0</v>
      </c>
      <c r="H293" s="3" t="s">
        <v>81</v>
      </c>
      <c r="I293" s="3" t="s">
        <v>81</v>
      </c>
      <c r="J293" s="3" t="s">
        <v>81</v>
      </c>
      <c r="K293" s="3" t="s">
        <v>81</v>
      </c>
      <c r="L293" s="3" t="s">
        <v>81</v>
      </c>
      <c r="M293" s="3" t="s">
        <v>81</v>
      </c>
      <c r="N293" s="3" t="s">
        <v>81</v>
      </c>
      <c r="O293" s="3" t="s">
        <v>81</v>
      </c>
      <c r="P293" s="3" t="s">
        <v>81</v>
      </c>
      <c r="Q293">
        <v>12.54</v>
      </c>
      <c r="R293" s="3">
        <v>0</v>
      </c>
      <c r="S293" s="3" t="s">
        <v>81</v>
      </c>
      <c r="T293" s="3" t="s">
        <v>81</v>
      </c>
      <c r="U293" s="3" t="s">
        <v>81</v>
      </c>
      <c r="V293" s="3" t="s">
        <v>81</v>
      </c>
      <c r="W293" s="3" t="s">
        <v>81</v>
      </c>
      <c r="X293" s="3" t="s">
        <v>81</v>
      </c>
      <c r="Y293" s="3" t="s">
        <v>81</v>
      </c>
      <c r="Z293" s="3" t="s">
        <v>81</v>
      </c>
      <c r="AA293" s="3" t="s">
        <v>81</v>
      </c>
      <c r="AB293" s="3" t="s">
        <v>81</v>
      </c>
      <c r="AC293" s="3" t="s">
        <v>81</v>
      </c>
      <c r="AD293" s="3" t="s">
        <v>81</v>
      </c>
      <c r="AE293" s="3" t="s">
        <v>81</v>
      </c>
      <c r="AF293" s="3" t="s">
        <v>81</v>
      </c>
      <c r="AG293" s="3" t="s">
        <v>81</v>
      </c>
      <c r="AH293" s="3" t="s">
        <v>81</v>
      </c>
      <c r="AI293" s="3" t="s">
        <v>81</v>
      </c>
      <c r="AJ293" s="3" t="s">
        <v>81</v>
      </c>
      <c r="AK293" s="3" t="s">
        <v>81</v>
      </c>
      <c r="AL293" s="3" t="s">
        <v>81</v>
      </c>
      <c r="AM293" s="3" t="s">
        <v>81</v>
      </c>
      <c r="AN293" s="3" t="s">
        <v>81</v>
      </c>
      <c r="AO293" s="3" t="s">
        <v>81</v>
      </c>
      <c r="AP293" s="3" t="s">
        <v>81</v>
      </c>
      <c r="AQ293" s="3" t="s">
        <v>81</v>
      </c>
      <c r="AR293" s="3" t="s">
        <v>81</v>
      </c>
      <c r="AS293" s="3" t="s">
        <v>81</v>
      </c>
      <c r="AT293" s="3" t="s">
        <v>81</v>
      </c>
      <c r="AU293" s="3" t="s">
        <v>81</v>
      </c>
      <c r="AV293" s="3" t="s">
        <v>81</v>
      </c>
      <c r="AW293" s="3" t="s">
        <v>81</v>
      </c>
      <c r="AX293" s="3" t="s">
        <v>81</v>
      </c>
      <c r="AY293" s="3" t="s">
        <v>81</v>
      </c>
      <c r="AZ293" s="3" t="s">
        <v>81</v>
      </c>
      <c r="BA293" s="3" t="s">
        <v>81</v>
      </c>
      <c r="BB293" s="3" t="s">
        <v>81</v>
      </c>
      <c r="BC293" s="3" t="s">
        <v>81</v>
      </c>
      <c r="BD293" s="3" t="s">
        <v>81</v>
      </c>
      <c r="BE293" s="3" t="s">
        <v>81</v>
      </c>
      <c r="BF293" s="3" t="s">
        <v>81</v>
      </c>
      <c r="BG293" s="3" t="s">
        <v>81</v>
      </c>
      <c r="BH293" s="3" t="s">
        <v>81</v>
      </c>
      <c r="BI293" s="3" t="s">
        <v>82</v>
      </c>
      <c r="BJ293" s="3" t="s">
        <v>82</v>
      </c>
      <c r="BK293" s="3" t="s">
        <v>82</v>
      </c>
      <c r="BL293" s="3" t="s">
        <v>84</v>
      </c>
      <c r="BM293" s="3" t="s">
        <v>84</v>
      </c>
      <c r="BN293" s="3" t="s">
        <v>84</v>
      </c>
      <c r="BO293" s="3"/>
      <c r="BV293" s="3"/>
      <c r="BW293" s="3"/>
      <c r="BX293" s="3"/>
      <c r="BZ293" s="9" t="s">
        <v>93</v>
      </c>
      <c r="CB293" s="9" t="s">
        <v>84</v>
      </c>
      <c r="CD293">
        <v>2</v>
      </c>
      <c r="CG293">
        <v>2</v>
      </c>
    </row>
    <row r="294" spans="1:87" ht="13" x14ac:dyDescent="0.15">
      <c r="A294" s="3">
        <v>1322959658</v>
      </c>
      <c r="B294" s="3" t="s">
        <v>481</v>
      </c>
      <c r="C294" s="3" t="s">
        <v>482</v>
      </c>
      <c r="D294" s="3" t="s">
        <v>81</v>
      </c>
      <c r="E294" s="3">
        <v>12</v>
      </c>
      <c r="F294" s="3">
        <v>255.999</v>
      </c>
      <c r="G294" s="3">
        <v>2</v>
      </c>
      <c r="H294" s="3">
        <v>147.536</v>
      </c>
      <c r="I294" s="3">
        <v>52.762</v>
      </c>
      <c r="J294" s="3">
        <v>48.384</v>
      </c>
      <c r="K294" s="3">
        <v>52.031999999999996</v>
      </c>
      <c r="L294" s="3">
        <v>56.761000000000003</v>
      </c>
      <c r="M294" s="3" t="s">
        <v>81</v>
      </c>
      <c r="N294" s="3" t="s">
        <v>81</v>
      </c>
      <c r="O294" s="3" t="s">
        <v>81</v>
      </c>
      <c r="P294" s="3" t="s">
        <v>81</v>
      </c>
      <c r="Q294" s="3">
        <v>265.99200000000002</v>
      </c>
      <c r="R294" s="3">
        <v>2</v>
      </c>
      <c r="S294" s="3">
        <v>161.17699999999999</v>
      </c>
      <c r="T294" s="3">
        <v>47.353999999999999</v>
      </c>
      <c r="U294" s="3">
        <v>44.735999999999997</v>
      </c>
      <c r="V294" s="3">
        <v>49.283000000000001</v>
      </c>
      <c r="W294" s="3">
        <v>54.878</v>
      </c>
      <c r="X294" s="3" t="s">
        <v>81</v>
      </c>
      <c r="Y294" s="3" t="s">
        <v>81</v>
      </c>
      <c r="Z294" s="3" t="s">
        <v>81</v>
      </c>
      <c r="AA294" s="3" t="s">
        <v>81</v>
      </c>
      <c r="AB294" s="3">
        <v>276.95100000000002</v>
      </c>
      <c r="AC294" s="3">
        <v>2</v>
      </c>
      <c r="AD294" s="3">
        <v>175.465</v>
      </c>
      <c r="AE294" s="3">
        <v>58.777000000000001</v>
      </c>
      <c r="AF294" s="3">
        <v>44.558</v>
      </c>
      <c r="AG294" s="3">
        <v>50.847999999999999</v>
      </c>
      <c r="AH294" s="3">
        <v>53.412999999999997</v>
      </c>
      <c r="AI294" s="3" t="s">
        <v>81</v>
      </c>
      <c r="AJ294" s="3" t="s">
        <v>81</v>
      </c>
      <c r="AK294" s="3" t="s">
        <v>81</v>
      </c>
      <c r="AL294" s="3" t="s">
        <v>81</v>
      </c>
      <c r="AM294" s="3">
        <v>275.06200000000001</v>
      </c>
      <c r="AN294" s="3">
        <v>2</v>
      </c>
      <c r="AO294" s="3">
        <v>167.01499999999999</v>
      </c>
      <c r="AP294" s="3">
        <v>54.026000000000003</v>
      </c>
      <c r="AQ294" s="3">
        <v>51.932000000000002</v>
      </c>
      <c r="AR294" s="3">
        <v>45.963000000000001</v>
      </c>
      <c r="AS294" s="3">
        <v>53.384</v>
      </c>
      <c r="AT294" s="3" t="s">
        <v>81</v>
      </c>
      <c r="AU294" s="3" t="s">
        <v>81</v>
      </c>
      <c r="AV294" s="3" t="s">
        <v>81</v>
      </c>
      <c r="AW294" s="3" t="s">
        <v>81</v>
      </c>
      <c r="AX294" s="3">
        <v>269.51900000000001</v>
      </c>
      <c r="AY294" s="3">
        <v>2</v>
      </c>
      <c r="AZ294" s="3">
        <v>163.51</v>
      </c>
      <c r="BA294" s="3">
        <v>48.279000000000003</v>
      </c>
      <c r="BB294" s="3">
        <v>43.743000000000002</v>
      </c>
      <c r="BC294" s="3">
        <v>49.906999999999996</v>
      </c>
      <c r="BD294" s="3">
        <v>58.987000000000002</v>
      </c>
      <c r="BE294" s="3" t="s">
        <v>81</v>
      </c>
      <c r="BF294" s="3" t="s">
        <v>81</v>
      </c>
      <c r="BG294" s="3" t="s">
        <v>81</v>
      </c>
      <c r="BH294" s="3" t="s">
        <v>81</v>
      </c>
      <c r="BI294" s="3" t="s">
        <v>84</v>
      </c>
      <c r="BJ294" s="3" t="s">
        <v>84</v>
      </c>
      <c r="BK294" s="3" t="s">
        <v>84</v>
      </c>
      <c r="BL294" s="3" t="s">
        <v>84</v>
      </c>
      <c r="BM294" s="3" t="s">
        <v>84</v>
      </c>
      <c r="BN294" s="3" t="s">
        <v>82</v>
      </c>
      <c r="BO294" s="3" t="s">
        <v>84</v>
      </c>
      <c r="BP294" s="3" t="s">
        <v>81</v>
      </c>
      <c r="BQ294" s="3" t="s">
        <v>81</v>
      </c>
      <c r="BR294" s="3" t="s">
        <v>81</v>
      </c>
      <c r="BS294" s="3" t="s">
        <v>81</v>
      </c>
      <c r="BT294" s="3" t="s">
        <v>81</v>
      </c>
      <c r="BU294" s="3" t="s">
        <v>81</v>
      </c>
      <c r="BV294" s="3" t="s">
        <v>82</v>
      </c>
      <c r="BW294" s="3" t="s">
        <v>91</v>
      </c>
      <c r="BX294" s="3" t="s">
        <v>82</v>
      </c>
      <c r="BZ294" s="3" t="s">
        <v>86</v>
      </c>
      <c r="CB294" s="3" t="s">
        <v>84</v>
      </c>
      <c r="CD294" s="9">
        <v>36</v>
      </c>
    </row>
    <row r="295" spans="1:87" ht="13" x14ac:dyDescent="0.15">
      <c r="A295" s="3">
        <v>1228447171</v>
      </c>
      <c r="B295" s="3" t="s">
        <v>482</v>
      </c>
      <c r="C295" s="3" t="s">
        <v>482</v>
      </c>
      <c r="D295" s="3" t="s">
        <v>81</v>
      </c>
      <c r="E295" s="3">
        <v>11</v>
      </c>
      <c r="F295" s="3">
        <v>193.839</v>
      </c>
      <c r="G295" s="3">
        <v>1</v>
      </c>
      <c r="H295" s="3">
        <v>171.90600000000001</v>
      </c>
      <c r="I295" s="3">
        <v>52.033000000000001</v>
      </c>
      <c r="J295" s="3">
        <v>20.548999999999999</v>
      </c>
      <c r="K295" s="3" t="s">
        <v>81</v>
      </c>
      <c r="L295" s="3" t="s">
        <v>81</v>
      </c>
      <c r="M295" s="3" t="s">
        <v>81</v>
      </c>
      <c r="N295" s="3" t="s">
        <v>81</v>
      </c>
      <c r="O295" s="3" t="s">
        <v>81</v>
      </c>
      <c r="P295" s="3" t="s">
        <v>81</v>
      </c>
      <c r="Q295" s="3">
        <v>217.845</v>
      </c>
      <c r="R295" s="3">
        <v>2</v>
      </c>
      <c r="S295" s="3">
        <v>160.60300000000001</v>
      </c>
      <c r="T295" s="3">
        <v>63.752000000000002</v>
      </c>
      <c r="U295" s="3">
        <v>28.908000000000001</v>
      </c>
      <c r="V295" s="3">
        <v>33.091999999999999</v>
      </c>
      <c r="W295" s="3">
        <v>25.649000000000001</v>
      </c>
      <c r="X295" s="3" t="s">
        <v>81</v>
      </c>
      <c r="Y295" s="3" t="s">
        <v>81</v>
      </c>
      <c r="Z295" s="3" t="s">
        <v>81</v>
      </c>
      <c r="AA295" s="3" t="s">
        <v>81</v>
      </c>
      <c r="AB295" s="3" t="s">
        <v>81</v>
      </c>
      <c r="AC295" s="3">
        <v>1</v>
      </c>
      <c r="AD295" s="3">
        <v>170.566</v>
      </c>
      <c r="AE295" s="3">
        <v>61.067</v>
      </c>
      <c r="AF295" s="3" t="s">
        <v>81</v>
      </c>
      <c r="AG295" s="3" t="s">
        <v>81</v>
      </c>
      <c r="AH295" s="3" t="s">
        <v>81</v>
      </c>
      <c r="AI295" s="3" t="s">
        <v>81</v>
      </c>
      <c r="AJ295" s="3" t="s">
        <v>81</v>
      </c>
      <c r="AK295" s="3" t="s">
        <v>81</v>
      </c>
      <c r="AL295" s="3" t="s">
        <v>81</v>
      </c>
      <c r="AM295" s="3" t="s">
        <v>81</v>
      </c>
      <c r="AN295" s="3" t="s">
        <v>81</v>
      </c>
      <c r="AO295" s="3" t="s">
        <v>81</v>
      </c>
      <c r="AP295" s="3" t="s">
        <v>81</v>
      </c>
      <c r="AQ295" s="3" t="s">
        <v>81</v>
      </c>
      <c r="AR295" s="3" t="s">
        <v>81</v>
      </c>
      <c r="AS295" s="3" t="s">
        <v>81</v>
      </c>
      <c r="AT295" s="3" t="s">
        <v>81</v>
      </c>
      <c r="AU295" s="3" t="s">
        <v>81</v>
      </c>
      <c r="AV295" s="3" t="s">
        <v>81</v>
      </c>
      <c r="AW295" s="3" t="s">
        <v>81</v>
      </c>
      <c r="AX295" s="3" t="s">
        <v>81</v>
      </c>
      <c r="AY295" s="3" t="s">
        <v>81</v>
      </c>
      <c r="AZ295" s="3" t="s">
        <v>81</v>
      </c>
      <c r="BA295" s="3" t="s">
        <v>81</v>
      </c>
      <c r="BB295" s="3" t="s">
        <v>81</v>
      </c>
      <c r="BC295" s="3" t="s">
        <v>81</v>
      </c>
      <c r="BD295" s="3" t="s">
        <v>81</v>
      </c>
      <c r="BE295" s="3" t="s">
        <v>81</v>
      </c>
      <c r="BF295" s="3" t="s">
        <v>81</v>
      </c>
      <c r="BG295" s="3" t="s">
        <v>81</v>
      </c>
      <c r="BH295" s="3" t="s">
        <v>81</v>
      </c>
      <c r="BI295" s="3" t="s">
        <v>84</v>
      </c>
      <c r="BJ295" s="3" t="s">
        <v>82</v>
      </c>
      <c r="BK295" s="3" t="s">
        <v>83</v>
      </c>
      <c r="BL295" s="3" t="s">
        <v>84</v>
      </c>
      <c r="BM295" s="3" t="s">
        <v>84</v>
      </c>
      <c r="BN295" s="3" t="s">
        <v>82</v>
      </c>
      <c r="BO295" s="3" t="s">
        <v>84</v>
      </c>
      <c r="BP295" s="3" t="s">
        <v>483</v>
      </c>
      <c r="BQ295" s="3" t="s">
        <v>483</v>
      </c>
      <c r="BR295" s="3" t="s">
        <v>484</v>
      </c>
      <c r="BS295" s="3" t="s">
        <v>485</v>
      </c>
      <c r="BT295" s="3" t="s">
        <v>106</v>
      </c>
      <c r="BU295" s="3" t="s">
        <v>205</v>
      </c>
      <c r="BV295" s="3" t="s">
        <v>84</v>
      </c>
      <c r="BW295" s="3" t="s">
        <v>83</v>
      </c>
      <c r="BX295" s="3" t="s">
        <v>82</v>
      </c>
      <c r="BY295" s="3" t="s">
        <v>486</v>
      </c>
      <c r="BZ295" s="3" t="s">
        <v>93</v>
      </c>
      <c r="CA295" s="3" t="s">
        <v>232</v>
      </c>
      <c r="CB295" s="3" t="s">
        <v>84</v>
      </c>
      <c r="CC295" s="3"/>
      <c r="CD295" s="9">
        <v>22</v>
      </c>
      <c r="CE295" s="3"/>
      <c r="CF295" s="5"/>
      <c r="CG295" s="5"/>
      <c r="CH295" s="5"/>
    </row>
    <row r="296" spans="1:87" ht="13" x14ac:dyDescent="0.15">
      <c r="A296" s="3">
        <v>1228461172</v>
      </c>
      <c r="B296" s="3" t="s">
        <v>482</v>
      </c>
      <c r="C296" s="3" t="s">
        <v>482</v>
      </c>
      <c r="D296" s="3">
        <v>5</v>
      </c>
      <c r="E296" s="3">
        <v>9</v>
      </c>
      <c r="F296" s="3">
        <v>237.06800000000001</v>
      </c>
      <c r="G296" s="3">
        <v>2</v>
      </c>
      <c r="H296" s="3">
        <v>143.49299999999999</v>
      </c>
      <c r="I296" s="3">
        <v>32.176000000000002</v>
      </c>
      <c r="J296" s="3">
        <v>56.76</v>
      </c>
      <c r="K296" s="3">
        <v>25.693000000000001</v>
      </c>
      <c r="L296" s="3">
        <v>33.832000000000001</v>
      </c>
      <c r="M296" s="3" t="s">
        <v>81</v>
      </c>
      <c r="N296" s="3" t="s">
        <v>81</v>
      </c>
      <c r="O296" s="3" t="s">
        <v>81</v>
      </c>
      <c r="P296" s="3" t="s">
        <v>81</v>
      </c>
      <c r="Q296" s="3">
        <v>206.06800000000001</v>
      </c>
      <c r="R296" s="3">
        <v>2</v>
      </c>
      <c r="S296" s="3">
        <v>119.60899999999999</v>
      </c>
      <c r="T296" s="3">
        <v>31.361999999999998</v>
      </c>
      <c r="U296" s="3">
        <v>63.085999999999999</v>
      </c>
      <c r="V296" s="3">
        <v>34.978999999999999</v>
      </c>
      <c r="W296" s="3">
        <v>21.956</v>
      </c>
      <c r="X296" s="3" t="s">
        <v>81</v>
      </c>
      <c r="Y296" s="3" t="s">
        <v>81</v>
      </c>
      <c r="Z296" s="3" t="s">
        <v>81</v>
      </c>
      <c r="AA296" s="3" t="s">
        <v>81</v>
      </c>
      <c r="AB296" s="3">
        <v>199.01599999999999</v>
      </c>
      <c r="AC296" s="3">
        <v>2</v>
      </c>
      <c r="AD296" s="3">
        <v>124.372</v>
      </c>
      <c r="AE296" s="3">
        <v>37.985999999999997</v>
      </c>
      <c r="AF296" s="3">
        <v>54.481999999999999</v>
      </c>
      <c r="AG296" s="3">
        <v>21.635999999999999</v>
      </c>
      <c r="AH296" s="3">
        <v>20.23</v>
      </c>
      <c r="AI296" s="3" t="s">
        <v>81</v>
      </c>
      <c r="AJ296" s="3" t="s">
        <v>81</v>
      </c>
      <c r="AK296" s="3" t="s">
        <v>81</v>
      </c>
      <c r="AL296" s="3" t="s">
        <v>81</v>
      </c>
      <c r="AM296" s="3">
        <v>201.994</v>
      </c>
      <c r="AN296" s="3">
        <v>2</v>
      </c>
      <c r="AO296" s="3">
        <v>148.886</v>
      </c>
      <c r="AP296" s="3" t="s">
        <v>81</v>
      </c>
      <c r="AQ296" s="3">
        <v>48.305</v>
      </c>
      <c r="AR296" s="3">
        <v>23.652999999999999</v>
      </c>
      <c r="AS296" s="3">
        <v>6.0110000000000001</v>
      </c>
      <c r="AT296" s="3" t="s">
        <v>81</v>
      </c>
      <c r="AU296" s="3" t="s">
        <v>81</v>
      </c>
      <c r="AV296" s="3" t="s">
        <v>81</v>
      </c>
      <c r="AW296" s="3" t="s">
        <v>81</v>
      </c>
      <c r="AX296" s="3">
        <v>220.655</v>
      </c>
      <c r="AY296" s="3">
        <v>2</v>
      </c>
      <c r="AZ296" s="3">
        <v>129.376</v>
      </c>
      <c r="BA296" s="3">
        <v>33.058999999999997</v>
      </c>
      <c r="BB296" s="3">
        <v>53.761000000000003</v>
      </c>
      <c r="BC296" s="3">
        <v>23.172999999999998</v>
      </c>
      <c r="BD296" s="3">
        <v>32.162999999999997</v>
      </c>
      <c r="BE296" s="3" t="s">
        <v>81</v>
      </c>
      <c r="BF296" s="3" t="s">
        <v>81</v>
      </c>
      <c r="BG296" s="3" t="s">
        <v>81</v>
      </c>
      <c r="BH296" s="3" t="s">
        <v>81</v>
      </c>
      <c r="BI296" s="3" t="s">
        <v>84</v>
      </c>
      <c r="BJ296" s="3" t="s">
        <v>82</v>
      </c>
      <c r="BK296" s="3" t="s">
        <v>83</v>
      </c>
      <c r="BL296" s="3" t="s">
        <v>84</v>
      </c>
      <c r="BM296" s="3" t="s">
        <v>84</v>
      </c>
      <c r="BN296" s="3" t="s">
        <v>82</v>
      </c>
      <c r="BO296" s="3" t="s">
        <v>84</v>
      </c>
      <c r="BP296" s="3" t="s">
        <v>137</v>
      </c>
      <c r="BQ296" s="3" t="s">
        <v>137</v>
      </c>
      <c r="BR296" s="3" t="s">
        <v>137</v>
      </c>
      <c r="BS296" s="3" t="s">
        <v>487</v>
      </c>
      <c r="BT296" s="3" t="s">
        <v>106</v>
      </c>
      <c r="BU296" s="3" t="s">
        <v>129</v>
      </c>
      <c r="BV296" s="3" t="s">
        <v>84</v>
      </c>
      <c r="BW296" s="3" t="s">
        <v>83</v>
      </c>
      <c r="BX296" s="3" t="s">
        <v>82</v>
      </c>
      <c r="BY296" s="3" t="s">
        <v>488</v>
      </c>
      <c r="BZ296" s="3" t="s">
        <v>93</v>
      </c>
      <c r="CB296" s="3" t="s">
        <v>84</v>
      </c>
      <c r="CD296" s="9">
        <v>20</v>
      </c>
    </row>
    <row r="297" spans="1:87" ht="15.75" customHeight="1" x14ac:dyDescent="0.15">
      <c r="A297" s="3">
        <v>1261334566</v>
      </c>
      <c r="B297" s="3" t="s">
        <v>489</v>
      </c>
      <c r="C297" s="3" t="s">
        <v>489</v>
      </c>
      <c r="D297" s="3">
        <v>3</v>
      </c>
      <c r="E297" s="3">
        <v>5</v>
      </c>
      <c r="F297" s="3">
        <v>31.263000000000002</v>
      </c>
      <c r="G297" s="3">
        <v>0</v>
      </c>
      <c r="H297" s="3" t="s">
        <v>81</v>
      </c>
      <c r="I297" s="3" t="s">
        <v>81</v>
      </c>
      <c r="J297" s="3" t="s">
        <v>81</v>
      </c>
      <c r="K297" s="3" t="s">
        <v>81</v>
      </c>
      <c r="L297" s="3" t="s">
        <v>81</v>
      </c>
      <c r="M297" s="3" t="s">
        <v>81</v>
      </c>
      <c r="N297" s="3" t="s">
        <v>81</v>
      </c>
      <c r="O297" s="3" t="s">
        <v>81</v>
      </c>
      <c r="P297" s="3" t="s">
        <v>81</v>
      </c>
      <c r="Q297" s="3">
        <v>28.673999999999999</v>
      </c>
      <c r="R297" s="3">
        <v>0</v>
      </c>
      <c r="S297" s="3" t="s">
        <v>81</v>
      </c>
      <c r="T297" s="3" t="s">
        <v>81</v>
      </c>
      <c r="U297" s="3" t="s">
        <v>81</v>
      </c>
      <c r="V297" s="3" t="s">
        <v>81</v>
      </c>
      <c r="W297" s="3" t="s">
        <v>81</v>
      </c>
      <c r="X297" s="3" t="s">
        <v>81</v>
      </c>
      <c r="Y297" s="3" t="s">
        <v>81</v>
      </c>
      <c r="Z297" s="3" t="s">
        <v>81</v>
      </c>
      <c r="AA297" s="3" t="s">
        <v>81</v>
      </c>
      <c r="AB297" s="3">
        <v>29.614999999999998</v>
      </c>
      <c r="AC297" s="3">
        <v>0</v>
      </c>
      <c r="AD297" s="3" t="s">
        <v>81</v>
      </c>
      <c r="AE297" s="3" t="s">
        <v>81</v>
      </c>
      <c r="AF297" s="3" t="s">
        <v>81</v>
      </c>
      <c r="AG297" s="3" t="s">
        <v>81</v>
      </c>
      <c r="AH297" s="3" t="s">
        <v>81</v>
      </c>
      <c r="AI297" s="3" t="s">
        <v>81</v>
      </c>
      <c r="AJ297" s="3" t="s">
        <v>81</v>
      </c>
      <c r="AK297" s="3" t="s">
        <v>81</v>
      </c>
      <c r="AL297" s="3" t="s">
        <v>81</v>
      </c>
      <c r="AM297" s="3">
        <v>25.681000000000001</v>
      </c>
      <c r="AN297" s="3">
        <v>0</v>
      </c>
      <c r="AO297" s="3" t="s">
        <v>81</v>
      </c>
      <c r="AP297" s="3" t="s">
        <v>81</v>
      </c>
      <c r="AQ297" s="3" t="s">
        <v>81</v>
      </c>
      <c r="AR297" s="3" t="s">
        <v>81</v>
      </c>
      <c r="AS297" s="3" t="s">
        <v>81</v>
      </c>
      <c r="AT297" s="3" t="s">
        <v>81</v>
      </c>
      <c r="AU297" s="3" t="s">
        <v>81</v>
      </c>
      <c r="AV297" s="3" t="s">
        <v>81</v>
      </c>
      <c r="AW297" s="3" t="s">
        <v>81</v>
      </c>
      <c r="AX297" s="3">
        <v>33.774999999999999</v>
      </c>
      <c r="AY297" s="3">
        <v>0</v>
      </c>
      <c r="AZ297" s="3" t="s">
        <v>81</v>
      </c>
      <c r="BA297" s="3" t="s">
        <v>81</v>
      </c>
      <c r="BB297" s="3" t="s">
        <v>81</v>
      </c>
      <c r="BC297" s="3" t="s">
        <v>81</v>
      </c>
      <c r="BD297" s="3" t="s">
        <v>81</v>
      </c>
      <c r="BE297" s="3" t="s">
        <v>81</v>
      </c>
      <c r="BF297" s="3" t="s">
        <v>81</v>
      </c>
      <c r="BG297" s="3" t="s">
        <v>81</v>
      </c>
      <c r="BH297" s="3" t="s">
        <v>81</v>
      </c>
      <c r="BI297" s="3" t="s">
        <v>84</v>
      </c>
      <c r="BJ297" s="3" t="s">
        <v>84</v>
      </c>
      <c r="BK297" s="3" t="s">
        <v>84</v>
      </c>
      <c r="BL297" s="3" t="s">
        <v>82</v>
      </c>
      <c r="BM297" s="3" t="s">
        <v>83</v>
      </c>
      <c r="BN297" s="3" t="s">
        <v>84</v>
      </c>
      <c r="BO297" s="3" t="s">
        <v>83</v>
      </c>
      <c r="BP297" s="3" t="s">
        <v>81</v>
      </c>
      <c r="BQ297" s="3" t="s">
        <v>81</v>
      </c>
      <c r="BR297" s="3" t="s">
        <v>81</v>
      </c>
      <c r="BS297" s="3" t="s">
        <v>81</v>
      </c>
      <c r="BT297" s="3" t="s">
        <v>81</v>
      </c>
      <c r="BU297" s="3" t="s">
        <v>81</v>
      </c>
      <c r="BV297" s="3" t="s">
        <v>83</v>
      </c>
      <c r="BW297" s="3" t="s">
        <v>83</v>
      </c>
      <c r="BX297" s="3" t="s">
        <v>83</v>
      </c>
      <c r="BY297" s="3" t="s">
        <v>490</v>
      </c>
      <c r="BZ297" s="3" t="s">
        <v>123</v>
      </c>
      <c r="CB297" s="3" t="s">
        <v>84</v>
      </c>
      <c r="CD297" s="9">
        <v>5</v>
      </c>
      <c r="CE297">
        <v>5</v>
      </c>
    </row>
    <row r="298" spans="1:87" ht="13" x14ac:dyDescent="0.15">
      <c r="A298" s="3">
        <v>1258230898</v>
      </c>
      <c r="B298" s="3" t="s">
        <v>489</v>
      </c>
      <c r="C298" s="3" t="s">
        <v>489</v>
      </c>
      <c r="D298" s="3">
        <v>9</v>
      </c>
      <c r="E298" s="3">
        <v>11</v>
      </c>
      <c r="F298" s="3">
        <v>30.568999999999999</v>
      </c>
      <c r="G298" s="3">
        <v>0</v>
      </c>
      <c r="H298" s="3" t="s">
        <v>81</v>
      </c>
      <c r="I298" s="3" t="s">
        <v>81</v>
      </c>
      <c r="J298" s="3" t="s">
        <v>81</v>
      </c>
      <c r="K298" s="3" t="s">
        <v>81</v>
      </c>
      <c r="L298" s="3" t="s">
        <v>81</v>
      </c>
      <c r="M298" s="3" t="s">
        <v>81</v>
      </c>
      <c r="N298" s="3" t="s">
        <v>81</v>
      </c>
      <c r="O298" s="3" t="s">
        <v>81</v>
      </c>
      <c r="P298" s="3" t="s">
        <v>81</v>
      </c>
      <c r="Q298" s="3">
        <v>45.061</v>
      </c>
      <c r="R298" s="3">
        <v>0</v>
      </c>
      <c r="S298" s="3" t="s">
        <v>81</v>
      </c>
      <c r="T298" s="3" t="s">
        <v>81</v>
      </c>
      <c r="U298" s="3" t="s">
        <v>81</v>
      </c>
      <c r="V298" s="3" t="s">
        <v>81</v>
      </c>
      <c r="W298" s="3" t="s">
        <v>81</v>
      </c>
      <c r="X298" s="3" t="s">
        <v>81</v>
      </c>
      <c r="Y298" s="3" t="s">
        <v>81</v>
      </c>
      <c r="Z298" s="3" t="s">
        <v>81</v>
      </c>
      <c r="AA298" s="3" t="s">
        <v>81</v>
      </c>
      <c r="AB298" s="3">
        <v>48.673999999999999</v>
      </c>
      <c r="AC298" s="3">
        <v>0</v>
      </c>
      <c r="AD298" s="3" t="s">
        <v>81</v>
      </c>
      <c r="AE298" s="3" t="s">
        <v>81</v>
      </c>
      <c r="AF298" s="3" t="s">
        <v>81</v>
      </c>
      <c r="AG298" s="3" t="s">
        <v>81</v>
      </c>
      <c r="AH298" s="3" t="s">
        <v>81</v>
      </c>
      <c r="AI298" s="3" t="s">
        <v>81</v>
      </c>
      <c r="AJ298" s="3" t="s">
        <v>81</v>
      </c>
      <c r="AK298" s="3" t="s">
        <v>81</v>
      </c>
      <c r="AL298" s="3" t="s">
        <v>81</v>
      </c>
      <c r="AM298" s="3">
        <v>36.084000000000003</v>
      </c>
      <c r="AN298" s="3">
        <v>0</v>
      </c>
      <c r="AO298" s="3" t="s">
        <v>81</v>
      </c>
      <c r="AP298" s="3" t="s">
        <v>81</v>
      </c>
      <c r="AQ298" s="3" t="s">
        <v>81</v>
      </c>
      <c r="AR298" s="3" t="s">
        <v>81</v>
      </c>
      <c r="AS298" s="3" t="s">
        <v>81</v>
      </c>
      <c r="AT298" s="3" t="s">
        <v>81</v>
      </c>
      <c r="AU298" s="3" t="s">
        <v>81</v>
      </c>
      <c r="AV298" s="3" t="s">
        <v>81</v>
      </c>
      <c r="AW298" s="3" t="s">
        <v>81</v>
      </c>
      <c r="AX298" s="3">
        <v>35.206000000000003</v>
      </c>
      <c r="AY298" s="3">
        <v>0</v>
      </c>
      <c r="AZ298" s="3" t="s">
        <v>81</v>
      </c>
      <c r="BA298" s="3" t="s">
        <v>81</v>
      </c>
      <c r="BB298" s="3" t="s">
        <v>81</v>
      </c>
      <c r="BC298" s="3" t="s">
        <v>81</v>
      </c>
      <c r="BD298" s="3" t="s">
        <v>81</v>
      </c>
      <c r="BE298" s="3" t="s">
        <v>81</v>
      </c>
      <c r="BF298" s="3" t="s">
        <v>81</v>
      </c>
      <c r="BG298" s="3" t="s">
        <v>81</v>
      </c>
      <c r="BH298" s="3" t="s">
        <v>81</v>
      </c>
      <c r="BI298" s="3" t="s">
        <v>84</v>
      </c>
      <c r="BJ298" s="3" t="s">
        <v>84</v>
      </c>
      <c r="BK298" s="3" t="s">
        <v>84</v>
      </c>
      <c r="BL298" s="3" t="s">
        <v>84</v>
      </c>
      <c r="BM298" s="3" t="s">
        <v>84</v>
      </c>
      <c r="BN298" s="3" t="s">
        <v>82</v>
      </c>
      <c r="BO298" s="3" t="s">
        <v>82</v>
      </c>
      <c r="BP298" s="3" t="s">
        <v>85</v>
      </c>
      <c r="BQ298" s="3" t="s">
        <v>85</v>
      </c>
      <c r="BR298" s="3" t="s">
        <v>85</v>
      </c>
      <c r="BS298" s="3" t="s">
        <v>85</v>
      </c>
      <c r="BT298" s="3" t="s">
        <v>85</v>
      </c>
      <c r="BU298" s="3" t="s">
        <v>81</v>
      </c>
      <c r="BV298" s="3" t="s">
        <v>82</v>
      </c>
      <c r="BW298" s="3" t="s">
        <v>91</v>
      </c>
      <c r="BX298" s="3" t="s">
        <v>82</v>
      </c>
      <c r="BZ298" s="3" t="s">
        <v>123</v>
      </c>
      <c r="CB298" s="3" t="s">
        <v>84</v>
      </c>
      <c r="CD298">
        <v>11</v>
      </c>
      <c r="CE298">
        <v>8</v>
      </c>
    </row>
    <row r="299" spans="1:87" ht="13" x14ac:dyDescent="0.15">
      <c r="A299" s="3">
        <v>1258977037</v>
      </c>
      <c r="B299" s="3" t="s">
        <v>489</v>
      </c>
      <c r="C299" s="3" t="s">
        <v>489</v>
      </c>
      <c r="D299" s="3">
        <v>4</v>
      </c>
      <c r="E299" s="3">
        <v>6</v>
      </c>
      <c r="F299" s="3">
        <v>36.225000000000001</v>
      </c>
      <c r="G299" s="3">
        <v>0</v>
      </c>
      <c r="H299" s="3" t="s">
        <v>81</v>
      </c>
      <c r="I299" s="3" t="s">
        <v>81</v>
      </c>
      <c r="J299" s="3" t="s">
        <v>81</v>
      </c>
      <c r="K299" s="3" t="s">
        <v>81</v>
      </c>
      <c r="L299" s="3" t="s">
        <v>81</v>
      </c>
      <c r="M299" s="3" t="s">
        <v>81</v>
      </c>
      <c r="N299" s="3" t="s">
        <v>81</v>
      </c>
      <c r="O299" s="3" t="s">
        <v>81</v>
      </c>
      <c r="P299" s="3" t="s">
        <v>81</v>
      </c>
      <c r="Q299" s="3">
        <v>35.420999999999999</v>
      </c>
      <c r="R299" s="3">
        <v>0</v>
      </c>
      <c r="S299" s="3" t="s">
        <v>81</v>
      </c>
      <c r="T299" s="3" t="s">
        <v>81</v>
      </c>
      <c r="U299" s="3" t="s">
        <v>81</v>
      </c>
      <c r="V299" s="3" t="s">
        <v>81</v>
      </c>
      <c r="W299" s="3" t="s">
        <v>81</v>
      </c>
      <c r="X299" s="3" t="s">
        <v>81</v>
      </c>
      <c r="Y299" s="3" t="s">
        <v>81</v>
      </c>
      <c r="Z299" s="3" t="s">
        <v>81</v>
      </c>
      <c r="AA299" s="3" t="s">
        <v>81</v>
      </c>
      <c r="AB299" s="3">
        <v>36.167000000000002</v>
      </c>
      <c r="AC299" s="3">
        <v>0</v>
      </c>
      <c r="AD299" s="3" t="s">
        <v>81</v>
      </c>
      <c r="AE299" s="3" t="s">
        <v>81</v>
      </c>
      <c r="AF299" s="3" t="s">
        <v>81</v>
      </c>
      <c r="AG299" s="3" t="s">
        <v>81</v>
      </c>
      <c r="AH299" s="3" t="s">
        <v>81</v>
      </c>
      <c r="AI299" s="3" t="s">
        <v>81</v>
      </c>
      <c r="AJ299" s="3" t="s">
        <v>81</v>
      </c>
      <c r="AK299" s="3" t="s">
        <v>81</v>
      </c>
      <c r="AL299" s="3" t="s">
        <v>81</v>
      </c>
      <c r="AM299" s="3">
        <v>34.963000000000001</v>
      </c>
      <c r="AN299" s="3">
        <v>0</v>
      </c>
      <c r="AO299" s="3" t="s">
        <v>81</v>
      </c>
      <c r="AP299" s="3" t="s">
        <v>81</v>
      </c>
      <c r="AQ299" s="3" t="s">
        <v>81</v>
      </c>
      <c r="AR299" s="3" t="s">
        <v>81</v>
      </c>
      <c r="AS299" s="3" t="s">
        <v>81</v>
      </c>
      <c r="AT299" s="3" t="s">
        <v>81</v>
      </c>
      <c r="AU299" s="3" t="s">
        <v>81</v>
      </c>
      <c r="AV299" s="3" t="s">
        <v>81</v>
      </c>
      <c r="AW299" s="3" t="s">
        <v>81</v>
      </c>
      <c r="AX299" s="3">
        <v>34.481999999999999</v>
      </c>
      <c r="AY299" s="3">
        <v>0</v>
      </c>
      <c r="AZ299" s="3" t="s">
        <v>81</v>
      </c>
      <c r="BA299" s="3" t="s">
        <v>81</v>
      </c>
      <c r="BB299" s="3" t="s">
        <v>81</v>
      </c>
      <c r="BC299" s="3" t="s">
        <v>81</v>
      </c>
      <c r="BD299" s="3" t="s">
        <v>81</v>
      </c>
      <c r="BE299" s="3" t="s">
        <v>81</v>
      </c>
      <c r="BF299" s="3" t="s">
        <v>81</v>
      </c>
      <c r="BG299" s="3" t="s">
        <v>81</v>
      </c>
      <c r="BH299" s="3" t="s">
        <v>81</v>
      </c>
      <c r="BI299" s="3" t="s">
        <v>84</v>
      </c>
      <c r="BJ299" s="3" t="s">
        <v>84</v>
      </c>
      <c r="BK299" s="3" t="s">
        <v>84</v>
      </c>
      <c r="BL299" s="3" t="s">
        <v>82</v>
      </c>
      <c r="BM299" s="3" t="s">
        <v>83</v>
      </c>
      <c r="BN299" s="3" t="s">
        <v>84</v>
      </c>
      <c r="BO299" s="3" t="s">
        <v>83</v>
      </c>
      <c r="BP299" s="3" t="s">
        <v>81</v>
      </c>
      <c r="BQ299" s="3" t="s">
        <v>81</v>
      </c>
      <c r="BR299" s="3" t="s">
        <v>81</v>
      </c>
      <c r="BS299" s="3" t="s">
        <v>81</v>
      </c>
      <c r="BT299" s="3" t="s">
        <v>81</v>
      </c>
      <c r="BU299" s="3" t="s">
        <v>81</v>
      </c>
      <c r="BV299" s="3" t="s">
        <v>83</v>
      </c>
      <c r="BW299" s="3" t="s">
        <v>83</v>
      </c>
      <c r="BX299" s="3" t="s">
        <v>83</v>
      </c>
      <c r="BY299" s="3" t="s">
        <v>491</v>
      </c>
      <c r="BZ299" s="3" t="s">
        <v>123</v>
      </c>
      <c r="CB299" s="3" t="s">
        <v>84</v>
      </c>
      <c r="CD299">
        <v>5</v>
      </c>
      <c r="CI299" s="3"/>
    </row>
    <row r="300" spans="1:87" ht="15.75" customHeight="1" x14ac:dyDescent="0.15">
      <c r="A300" s="9">
        <v>1228215758</v>
      </c>
      <c r="B300" s="9" t="s">
        <v>494</v>
      </c>
      <c r="C300" s="9" t="s">
        <v>494</v>
      </c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Z300" s="3"/>
      <c r="CB300" s="3" t="s">
        <v>84</v>
      </c>
      <c r="CD300" s="9">
        <v>36</v>
      </c>
    </row>
    <row r="301" spans="1:87" ht="15.75" customHeight="1" x14ac:dyDescent="0.15">
      <c r="A301" s="3">
        <v>2643373740</v>
      </c>
      <c r="B301" s="3" t="s">
        <v>494</v>
      </c>
      <c r="C301" s="3" t="s">
        <v>494</v>
      </c>
      <c r="D301" s="3" t="s">
        <v>81</v>
      </c>
      <c r="E301" s="3">
        <v>24</v>
      </c>
      <c r="F301" s="3">
        <v>41.311</v>
      </c>
      <c r="G301" s="3">
        <v>2</v>
      </c>
      <c r="H301" s="3">
        <v>27.071000000000002</v>
      </c>
      <c r="I301" s="3">
        <v>29.541</v>
      </c>
      <c r="J301" s="3">
        <v>13.545</v>
      </c>
      <c r="K301" s="3">
        <v>23.818999999999999</v>
      </c>
      <c r="L301" s="3">
        <v>0.50700000000000001</v>
      </c>
      <c r="M301" s="3" t="s">
        <v>81</v>
      </c>
      <c r="N301" s="3" t="s">
        <v>81</v>
      </c>
      <c r="O301" s="3" t="s">
        <v>81</v>
      </c>
      <c r="P301" s="3" t="s">
        <v>81</v>
      </c>
      <c r="Q301" s="3">
        <v>44.314999999999998</v>
      </c>
      <c r="R301" s="3">
        <v>2</v>
      </c>
      <c r="S301" s="3">
        <v>28.879000000000001</v>
      </c>
      <c r="T301" s="3">
        <v>32.557000000000002</v>
      </c>
      <c r="U301" s="3">
        <v>14.066000000000001</v>
      </c>
      <c r="V301" s="3">
        <v>27.443999999999999</v>
      </c>
      <c r="W301" s="3">
        <v>0.438</v>
      </c>
      <c r="X301" s="3" t="s">
        <v>81</v>
      </c>
      <c r="Y301" s="3" t="s">
        <v>81</v>
      </c>
      <c r="Z301" s="3" t="s">
        <v>81</v>
      </c>
      <c r="AA301" s="3" t="s">
        <v>81</v>
      </c>
      <c r="AB301" s="3">
        <v>48.305999999999997</v>
      </c>
      <c r="AC301" s="3">
        <v>2</v>
      </c>
      <c r="AD301" s="3">
        <v>36.743000000000002</v>
      </c>
      <c r="AE301" s="3">
        <v>27.329000000000001</v>
      </c>
      <c r="AF301" s="3">
        <v>11.977</v>
      </c>
      <c r="AG301" s="3">
        <v>19.343</v>
      </c>
      <c r="AH301" s="3">
        <v>0.44800000000000001</v>
      </c>
      <c r="AI301" s="3" t="s">
        <v>81</v>
      </c>
      <c r="AJ301" s="3" t="s">
        <v>81</v>
      </c>
      <c r="AK301" s="3" t="s">
        <v>81</v>
      </c>
      <c r="AL301" s="3" t="s">
        <v>81</v>
      </c>
      <c r="AM301" s="3">
        <v>53.311</v>
      </c>
      <c r="AN301" s="3">
        <v>2</v>
      </c>
      <c r="AO301" s="3">
        <v>40.344000000000001</v>
      </c>
      <c r="AP301" s="3">
        <v>30.709</v>
      </c>
      <c r="AQ301" s="3">
        <v>12.255000000000001</v>
      </c>
      <c r="AR301" s="3">
        <v>23.791</v>
      </c>
      <c r="AS301" s="3">
        <v>0.46300000000000002</v>
      </c>
      <c r="AT301" s="3" t="s">
        <v>81</v>
      </c>
      <c r="AU301" s="3" t="s">
        <v>81</v>
      </c>
      <c r="AV301" s="3" t="s">
        <v>81</v>
      </c>
      <c r="AW301" s="3" t="s">
        <v>81</v>
      </c>
      <c r="AX301" s="3">
        <v>52.892000000000003</v>
      </c>
      <c r="AY301" s="3">
        <v>2</v>
      </c>
      <c r="AZ301" s="3">
        <v>39.908000000000001</v>
      </c>
      <c r="BA301" s="3">
        <v>19.908999999999999</v>
      </c>
      <c r="BB301" s="3">
        <v>12.99</v>
      </c>
      <c r="BC301" s="3">
        <v>25.542999999999999</v>
      </c>
      <c r="BD301" s="3">
        <v>0.30599999999999999</v>
      </c>
      <c r="BE301" s="3" t="s">
        <v>81</v>
      </c>
      <c r="BF301" s="3" t="s">
        <v>81</v>
      </c>
      <c r="BG301" s="3" t="s">
        <v>81</v>
      </c>
      <c r="BH301" s="3" t="s">
        <v>81</v>
      </c>
      <c r="BI301" s="3" t="s">
        <v>84</v>
      </c>
      <c r="BJ301" s="3" t="s">
        <v>84</v>
      </c>
      <c r="BK301" s="3" t="s">
        <v>84</v>
      </c>
      <c r="BL301" s="3" t="s">
        <v>84</v>
      </c>
      <c r="BM301" s="3" t="s">
        <v>84</v>
      </c>
      <c r="BN301" s="3" t="s">
        <v>82</v>
      </c>
      <c r="BO301" s="3" t="s">
        <v>84</v>
      </c>
      <c r="BP301" s="3" t="s">
        <v>106</v>
      </c>
      <c r="BQ301" s="3" t="s">
        <v>106</v>
      </c>
      <c r="BR301" s="3" t="s">
        <v>497</v>
      </c>
      <c r="BS301" s="3" t="s">
        <v>497</v>
      </c>
      <c r="BT301" s="3" t="s">
        <v>106</v>
      </c>
      <c r="BU301" s="3" t="s">
        <v>129</v>
      </c>
      <c r="BV301" s="3" t="s">
        <v>82</v>
      </c>
      <c r="BW301" s="3" t="s">
        <v>91</v>
      </c>
      <c r="BX301" s="3" t="s">
        <v>82</v>
      </c>
      <c r="BZ301" s="3" t="s">
        <v>86</v>
      </c>
      <c r="CB301" s="3" t="s">
        <v>84</v>
      </c>
      <c r="CD301" s="9">
        <v>46</v>
      </c>
    </row>
    <row r="302" spans="1:87" ht="13" x14ac:dyDescent="0.15">
      <c r="A302" s="3">
        <v>2625851693</v>
      </c>
      <c r="B302" s="3" t="s">
        <v>494</v>
      </c>
      <c r="C302" s="3" t="s">
        <v>494</v>
      </c>
      <c r="D302" s="3" t="s">
        <v>81</v>
      </c>
      <c r="E302" s="3">
        <v>14</v>
      </c>
      <c r="F302" s="3">
        <v>60.832999999999998</v>
      </c>
      <c r="G302" s="3">
        <v>2</v>
      </c>
      <c r="H302" s="3">
        <v>25.917000000000002</v>
      </c>
      <c r="I302" s="3">
        <v>18.744</v>
      </c>
      <c r="J302" s="3">
        <v>8.5540000000000003</v>
      </c>
      <c r="K302" s="3">
        <v>19.366</v>
      </c>
      <c r="L302" s="3">
        <v>25.535</v>
      </c>
      <c r="M302" s="3" t="s">
        <v>81</v>
      </c>
      <c r="N302" s="3" t="s">
        <v>81</v>
      </c>
      <c r="O302" s="3" t="s">
        <v>81</v>
      </c>
      <c r="P302" s="3" t="s">
        <v>81</v>
      </c>
      <c r="Q302" s="3">
        <v>60.472000000000001</v>
      </c>
      <c r="R302" s="3">
        <v>2</v>
      </c>
      <c r="S302" s="3">
        <v>27.577999999999999</v>
      </c>
      <c r="T302" s="3">
        <v>17.29</v>
      </c>
      <c r="U302" s="3">
        <v>10.164999999999999</v>
      </c>
      <c r="V302" s="3">
        <v>20.436</v>
      </c>
      <c r="W302" s="3">
        <v>21.920999999999999</v>
      </c>
      <c r="X302" s="3" t="s">
        <v>81</v>
      </c>
      <c r="Y302" s="3" t="s">
        <v>81</v>
      </c>
      <c r="Z302" s="3" t="s">
        <v>81</v>
      </c>
      <c r="AA302" s="3" t="s">
        <v>81</v>
      </c>
      <c r="AB302" s="3">
        <v>58.41</v>
      </c>
      <c r="AC302" s="3">
        <v>2</v>
      </c>
      <c r="AD302" s="3">
        <v>24.363</v>
      </c>
      <c r="AE302" s="3">
        <v>17.645</v>
      </c>
      <c r="AF302" s="3">
        <v>8.67</v>
      </c>
      <c r="AG302" s="3">
        <v>19.577999999999999</v>
      </c>
      <c r="AH302" s="3">
        <v>24.242999999999999</v>
      </c>
      <c r="AI302" s="3" t="s">
        <v>81</v>
      </c>
      <c r="AJ302" s="3" t="s">
        <v>81</v>
      </c>
      <c r="AK302" s="3" t="s">
        <v>81</v>
      </c>
      <c r="AL302" s="3" t="s">
        <v>81</v>
      </c>
      <c r="AM302" s="3">
        <v>56.158999999999999</v>
      </c>
      <c r="AN302" s="3">
        <v>2</v>
      </c>
      <c r="AO302" s="3">
        <v>28.585999999999999</v>
      </c>
      <c r="AP302" s="3">
        <v>23.81</v>
      </c>
      <c r="AQ302" s="3">
        <v>13.862</v>
      </c>
      <c r="AR302" s="3">
        <v>14.746</v>
      </c>
      <c r="AS302" s="3">
        <v>19.004000000000001</v>
      </c>
      <c r="AT302" s="3" t="s">
        <v>81</v>
      </c>
      <c r="AU302" s="3" t="s">
        <v>81</v>
      </c>
      <c r="AV302" s="3" t="s">
        <v>81</v>
      </c>
      <c r="AW302" s="3" t="s">
        <v>81</v>
      </c>
      <c r="AX302" s="3">
        <v>65.563999999999993</v>
      </c>
      <c r="AY302" s="3">
        <v>2</v>
      </c>
      <c r="AZ302" s="3">
        <v>33.764000000000003</v>
      </c>
      <c r="BA302" s="3">
        <v>18.096</v>
      </c>
      <c r="BB302" s="3">
        <v>8.5299999999999994</v>
      </c>
      <c r="BC302" s="3">
        <v>18.212</v>
      </c>
      <c r="BD302" s="3">
        <v>22.835000000000001</v>
      </c>
      <c r="BE302" s="3" t="s">
        <v>81</v>
      </c>
      <c r="BF302" s="3" t="s">
        <v>81</v>
      </c>
      <c r="BG302" s="3" t="s">
        <v>81</v>
      </c>
      <c r="BH302" s="3" t="s">
        <v>81</v>
      </c>
      <c r="BI302" s="3" t="s">
        <v>84</v>
      </c>
      <c r="BJ302" s="3" t="s">
        <v>84</v>
      </c>
      <c r="BK302" s="3" t="s">
        <v>84</v>
      </c>
      <c r="BL302" s="3" t="s">
        <v>82</v>
      </c>
      <c r="BM302" s="3" t="s">
        <v>83</v>
      </c>
      <c r="BN302" s="3" t="s">
        <v>82</v>
      </c>
      <c r="BO302" s="3" t="s">
        <v>83</v>
      </c>
      <c r="BP302" s="3" t="s">
        <v>498</v>
      </c>
      <c r="BQ302" s="3" t="s">
        <v>498</v>
      </c>
      <c r="BR302" s="3" t="s">
        <v>498</v>
      </c>
      <c r="BS302" s="3" t="s">
        <v>498</v>
      </c>
      <c r="BT302" s="3" t="s">
        <v>87</v>
      </c>
      <c r="BU302" s="3" t="s">
        <v>129</v>
      </c>
      <c r="BV302" s="3" t="s">
        <v>84</v>
      </c>
      <c r="BW302" s="3" t="s">
        <v>83</v>
      </c>
      <c r="BX302" s="3" t="s">
        <v>82</v>
      </c>
      <c r="BY302" s="3" t="s">
        <v>499</v>
      </c>
      <c r="BZ302" s="3" t="s">
        <v>86</v>
      </c>
      <c r="CB302" s="3" t="s">
        <v>84</v>
      </c>
      <c r="CD302" s="9">
        <v>32</v>
      </c>
    </row>
    <row r="303" spans="1:87" ht="15.75" customHeight="1" x14ac:dyDescent="0.15">
      <c r="A303" s="3">
        <v>2625833384</v>
      </c>
      <c r="B303" s="3" t="s">
        <v>500</v>
      </c>
      <c r="C303" s="3" t="s">
        <v>501</v>
      </c>
      <c r="D303" s="3">
        <v>4</v>
      </c>
      <c r="E303" s="3">
        <v>4</v>
      </c>
      <c r="F303" s="3">
        <v>35.968000000000004</v>
      </c>
      <c r="G303" s="3">
        <v>0</v>
      </c>
      <c r="H303" s="3" t="s">
        <v>81</v>
      </c>
      <c r="I303" s="3" t="s">
        <v>81</v>
      </c>
      <c r="J303" s="3" t="s">
        <v>81</v>
      </c>
      <c r="K303" s="3" t="s">
        <v>81</v>
      </c>
      <c r="L303" s="3" t="s">
        <v>81</v>
      </c>
      <c r="M303" s="3" t="s">
        <v>81</v>
      </c>
      <c r="N303" s="3" t="s">
        <v>81</v>
      </c>
      <c r="O303" s="3" t="s">
        <v>81</v>
      </c>
      <c r="P303" s="3" t="s">
        <v>81</v>
      </c>
      <c r="Q303" s="3">
        <v>35.887999999999998</v>
      </c>
      <c r="R303" s="3">
        <v>0</v>
      </c>
      <c r="S303" s="3" t="s">
        <v>81</v>
      </c>
      <c r="T303" s="3" t="s">
        <v>81</v>
      </c>
      <c r="U303" s="3" t="s">
        <v>81</v>
      </c>
      <c r="V303" s="3" t="s">
        <v>81</v>
      </c>
      <c r="W303" s="3" t="s">
        <v>81</v>
      </c>
      <c r="X303" s="3" t="s">
        <v>81</v>
      </c>
      <c r="Y303" s="3" t="s">
        <v>81</v>
      </c>
      <c r="Z303" s="3" t="s">
        <v>81</v>
      </c>
      <c r="AA303" s="3" t="s">
        <v>81</v>
      </c>
      <c r="AB303" s="3">
        <v>35.781999999999996</v>
      </c>
      <c r="AC303" s="3">
        <v>0</v>
      </c>
      <c r="AD303" s="3" t="s">
        <v>81</v>
      </c>
      <c r="AE303" s="3" t="s">
        <v>81</v>
      </c>
      <c r="AF303" s="3" t="s">
        <v>81</v>
      </c>
      <c r="AG303" s="3" t="s">
        <v>81</v>
      </c>
      <c r="AH303" s="3" t="s">
        <v>81</v>
      </c>
      <c r="AI303" s="3" t="s">
        <v>81</v>
      </c>
      <c r="AJ303" s="3" t="s">
        <v>81</v>
      </c>
      <c r="AK303" s="3" t="s">
        <v>81</v>
      </c>
      <c r="AL303" s="3" t="s">
        <v>81</v>
      </c>
      <c r="AM303" s="3">
        <v>34.494</v>
      </c>
      <c r="AN303" s="3">
        <v>0</v>
      </c>
      <c r="AO303" s="3" t="s">
        <v>81</v>
      </c>
      <c r="AP303" s="3" t="s">
        <v>81</v>
      </c>
      <c r="AQ303" s="3" t="s">
        <v>81</v>
      </c>
      <c r="AR303" s="3" t="s">
        <v>81</v>
      </c>
      <c r="AS303" s="3" t="s">
        <v>81</v>
      </c>
      <c r="AT303" s="3" t="s">
        <v>81</v>
      </c>
      <c r="AU303" s="3" t="s">
        <v>81</v>
      </c>
      <c r="AV303" s="3" t="s">
        <v>81</v>
      </c>
      <c r="AW303" s="3" t="s">
        <v>81</v>
      </c>
      <c r="AX303" s="3" t="s">
        <v>81</v>
      </c>
      <c r="AY303" s="3" t="s">
        <v>81</v>
      </c>
      <c r="AZ303" s="3" t="s">
        <v>81</v>
      </c>
      <c r="BA303" s="3" t="s">
        <v>81</v>
      </c>
      <c r="BB303" s="3" t="s">
        <v>81</v>
      </c>
      <c r="BC303" s="3" t="s">
        <v>81</v>
      </c>
      <c r="BD303" s="3" t="s">
        <v>81</v>
      </c>
      <c r="BE303" s="3" t="s">
        <v>81</v>
      </c>
      <c r="BF303" s="3" t="s">
        <v>81</v>
      </c>
      <c r="BG303" s="3" t="s">
        <v>81</v>
      </c>
      <c r="BH303" s="3" t="s">
        <v>81</v>
      </c>
      <c r="BI303" s="3" t="s">
        <v>82</v>
      </c>
      <c r="BJ303" s="3" t="s">
        <v>84</v>
      </c>
      <c r="BK303" s="3" t="s">
        <v>84</v>
      </c>
      <c r="BL303" s="3" t="s">
        <v>84</v>
      </c>
      <c r="BM303" s="3" t="s">
        <v>84</v>
      </c>
      <c r="BN303" s="3" t="s">
        <v>82</v>
      </c>
      <c r="BO303" s="3" t="s">
        <v>82</v>
      </c>
      <c r="BP303" s="3" t="s">
        <v>137</v>
      </c>
      <c r="BQ303" s="3" t="s">
        <v>137</v>
      </c>
      <c r="BR303" s="3" t="s">
        <v>137</v>
      </c>
      <c r="BS303" s="3" t="s">
        <v>137</v>
      </c>
      <c r="BT303" s="3" t="s">
        <v>106</v>
      </c>
      <c r="BU303" s="3" t="s">
        <v>81</v>
      </c>
      <c r="BV303" s="3" t="s">
        <v>84</v>
      </c>
      <c r="BW303" s="3" t="s">
        <v>83</v>
      </c>
      <c r="BX303" s="3" t="s">
        <v>82</v>
      </c>
      <c r="BZ303" s="3" t="s">
        <v>86</v>
      </c>
      <c r="CB303" s="3" t="s">
        <v>84</v>
      </c>
      <c r="CD303" s="9">
        <v>4</v>
      </c>
    </row>
    <row r="304" spans="1:87" ht="15.75" customHeight="1" x14ac:dyDescent="0.15">
      <c r="A304" s="3">
        <v>1228304147</v>
      </c>
      <c r="B304" s="3" t="s">
        <v>501</v>
      </c>
      <c r="C304" s="3" t="s">
        <v>501</v>
      </c>
      <c r="D304" s="3">
        <v>28</v>
      </c>
      <c r="E304" s="3">
        <v>47</v>
      </c>
      <c r="F304" s="3">
        <v>47.362000000000002</v>
      </c>
      <c r="G304" s="3">
        <v>0</v>
      </c>
      <c r="H304" s="3" t="s">
        <v>81</v>
      </c>
      <c r="I304" s="3" t="s">
        <v>81</v>
      </c>
      <c r="J304" s="3" t="s">
        <v>81</v>
      </c>
      <c r="K304" s="3" t="s">
        <v>81</v>
      </c>
      <c r="L304" s="3" t="s">
        <v>81</v>
      </c>
      <c r="M304" s="3" t="s">
        <v>81</v>
      </c>
      <c r="N304" s="3" t="s">
        <v>81</v>
      </c>
      <c r="O304" s="3" t="s">
        <v>81</v>
      </c>
      <c r="P304" s="3" t="s">
        <v>81</v>
      </c>
      <c r="Q304" s="3">
        <v>47.878999999999998</v>
      </c>
      <c r="R304" s="3">
        <v>0</v>
      </c>
      <c r="S304" s="3" t="s">
        <v>81</v>
      </c>
      <c r="T304" s="3" t="s">
        <v>81</v>
      </c>
      <c r="U304" s="3" t="s">
        <v>81</v>
      </c>
      <c r="V304" s="3" t="s">
        <v>81</v>
      </c>
      <c r="W304" s="3" t="s">
        <v>81</v>
      </c>
      <c r="X304" s="3" t="s">
        <v>81</v>
      </c>
      <c r="Y304" s="3" t="s">
        <v>81</v>
      </c>
      <c r="Z304" s="3" t="s">
        <v>81</v>
      </c>
      <c r="AA304" s="3" t="s">
        <v>81</v>
      </c>
      <c r="AB304" s="3">
        <v>48.372999999999998</v>
      </c>
      <c r="AC304" s="3">
        <v>0</v>
      </c>
      <c r="AD304" s="3" t="s">
        <v>81</v>
      </c>
      <c r="AE304" s="3" t="s">
        <v>81</v>
      </c>
      <c r="AF304" s="3" t="s">
        <v>81</v>
      </c>
      <c r="AG304" s="3" t="s">
        <v>81</v>
      </c>
      <c r="AH304" s="3" t="s">
        <v>81</v>
      </c>
      <c r="AI304" s="3" t="s">
        <v>81</v>
      </c>
      <c r="AJ304" s="3" t="s">
        <v>81</v>
      </c>
      <c r="AK304" s="3" t="s">
        <v>81</v>
      </c>
      <c r="AL304" s="3" t="s">
        <v>81</v>
      </c>
      <c r="AM304" s="3">
        <v>40.692</v>
      </c>
      <c r="AN304" s="3">
        <v>0</v>
      </c>
      <c r="AO304" s="3" t="s">
        <v>81</v>
      </c>
      <c r="AP304" s="3" t="s">
        <v>81</v>
      </c>
      <c r="AQ304" s="3" t="s">
        <v>81</v>
      </c>
      <c r="AR304" s="3" t="s">
        <v>81</v>
      </c>
      <c r="AS304" s="3" t="s">
        <v>81</v>
      </c>
      <c r="AT304" s="3" t="s">
        <v>81</v>
      </c>
      <c r="AU304" s="3" t="s">
        <v>81</v>
      </c>
      <c r="AV304" s="3" t="s">
        <v>81</v>
      </c>
      <c r="AW304" s="3" t="s">
        <v>81</v>
      </c>
      <c r="AX304" s="3">
        <v>34.918999999999997</v>
      </c>
      <c r="AY304" s="3">
        <v>0</v>
      </c>
      <c r="AZ304" s="3" t="s">
        <v>81</v>
      </c>
      <c r="BA304" s="3" t="s">
        <v>81</v>
      </c>
      <c r="BB304" s="3" t="s">
        <v>81</v>
      </c>
      <c r="BC304" s="3" t="s">
        <v>81</v>
      </c>
      <c r="BD304" s="3" t="s">
        <v>81</v>
      </c>
      <c r="BE304" s="3" t="s">
        <v>81</v>
      </c>
      <c r="BF304" s="3" t="s">
        <v>81</v>
      </c>
      <c r="BG304" s="3" t="s">
        <v>81</v>
      </c>
      <c r="BH304" s="3" t="s">
        <v>81</v>
      </c>
      <c r="BI304" s="3" t="s">
        <v>82</v>
      </c>
      <c r="BJ304" s="3" t="s">
        <v>82</v>
      </c>
      <c r="BK304" s="3" t="s">
        <v>83</v>
      </c>
      <c r="BL304" s="3" t="s">
        <v>84</v>
      </c>
      <c r="BM304" s="3" t="s">
        <v>84</v>
      </c>
      <c r="BN304" s="3" t="s">
        <v>84</v>
      </c>
      <c r="BO304" s="3" t="s">
        <v>84</v>
      </c>
      <c r="BP304" s="3" t="s">
        <v>87</v>
      </c>
      <c r="BQ304" s="3" t="s">
        <v>87</v>
      </c>
      <c r="BR304" s="3" t="s">
        <v>87</v>
      </c>
      <c r="BS304" s="3" t="s">
        <v>87</v>
      </c>
      <c r="BT304" s="3" t="s">
        <v>87</v>
      </c>
      <c r="BU304" s="3" t="s">
        <v>81</v>
      </c>
      <c r="BV304" s="3" t="s">
        <v>82</v>
      </c>
      <c r="BW304" s="3" t="s">
        <v>111</v>
      </c>
      <c r="BX304" s="3" t="s">
        <v>82</v>
      </c>
      <c r="BY304" s="3" t="s">
        <v>502</v>
      </c>
      <c r="BZ304" s="3" t="s">
        <v>93</v>
      </c>
      <c r="CB304" s="3" t="s">
        <v>84</v>
      </c>
    </row>
    <row r="305" spans="1:86" ht="15.75" customHeight="1" x14ac:dyDescent="0.15">
      <c r="A305" s="3">
        <v>1228174454</v>
      </c>
      <c r="B305" s="3" t="s">
        <v>501</v>
      </c>
      <c r="C305" s="3" t="s">
        <v>501</v>
      </c>
      <c r="D305" s="3">
        <v>12</v>
      </c>
      <c r="E305" s="3">
        <v>15</v>
      </c>
      <c r="F305" s="3">
        <v>12.78</v>
      </c>
      <c r="G305" s="3">
        <v>0</v>
      </c>
      <c r="H305" s="3" t="s">
        <v>81</v>
      </c>
      <c r="I305" s="3" t="s">
        <v>81</v>
      </c>
      <c r="J305" s="3" t="s">
        <v>81</v>
      </c>
      <c r="K305" s="3" t="s">
        <v>81</v>
      </c>
      <c r="L305" s="3" t="s">
        <v>81</v>
      </c>
      <c r="M305" s="3" t="s">
        <v>81</v>
      </c>
      <c r="N305" s="3" t="s">
        <v>81</v>
      </c>
      <c r="O305" s="3" t="s">
        <v>81</v>
      </c>
      <c r="P305" s="3" t="s">
        <v>81</v>
      </c>
      <c r="Q305" s="3">
        <v>12.875</v>
      </c>
      <c r="R305" s="3">
        <v>0</v>
      </c>
      <c r="S305" s="3" t="s">
        <v>81</v>
      </c>
      <c r="T305" s="3" t="s">
        <v>81</v>
      </c>
      <c r="U305" s="3" t="s">
        <v>81</v>
      </c>
      <c r="V305" s="3" t="s">
        <v>81</v>
      </c>
      <c r="W305" s="3" t="s">
        <v>81</v>
      </c>
      <c r="X305" s="3" t="s">
        <v>81</v>
      </c>
      <c r="Y305" s="3" t="s">
        <v>81</v>
      </c>
      <c r="Z305" s="3" t="s">
        <v>81</v>
      </c>
      <c r="AA305" s="3" t="s">
        <v>81</v>
      </c>
      <c r="AB305" s="3">
        <v>15.823</v>
      </c>
      <c r="AC305" s="3">
        <v>0</v>
      </c>
      <c r="AD305" s="3" t="s">
        <v>81</v>
      </c>
      <c r="AE305" s="3" t="s">
        <v>81</v>
      </c>
      <c r="AF305" s="3" t="s">
        <v>81</v>
      </c>
      <c r="AG305" s="3" t="s">
        <v>81</v>
      </c>
      <c r="AH305" s="3" t="s">
        <v>81</v>
      </c>
      <c r="AI305" s="3" t="s">
        <v>81</v>
      </c>
      <c r="AJ305" s="3" t="s">
        <v>81</v>
      </c>
      <c r="AK305" s="3" t="s">
        <v>81</v>
      </c>
      <c r="AL305" s="3" t="s">
        <v>81</v>
      </c>
      <c r="AM305" s="3">
        <v>13.012</v>
      </c>
      <c r="AN305" s="3">
        <v>0</v>
      </c>
      <c r="AO305" s="3" t="s">
        <v>81</v>
      </c>
      <c r="AP305" s="3" t="s">
        <v>81</v>
      </c>
      <c r="AQ305" s="3" t="s">
        <v>81</v>
      </c>
      <c r="AR305" s="3" t="s">
        <v>81</v>
      </c>
      <c r="AS305" s="3" t="s">
        <v>81</v>
      </c>
      <c r="AT305" s="3" t="s">
        <v>81</v>
      </c>
      <c r="AU305" s="3" t="s">
        <v>81</v>
      </c>
      <c r="AV305" s="3" t="s">
        <v>81</v>
      </c>
      <c r="AW305" s="3" t="s">
        <v>81</v>
      </c>
      <c r="AX305" s="3">
        <v>13.135999999999999</v>
      </c>
      <c r="AY305" s="3">
        <v>0</v>
      </c>
      <c r="AZ305" s="3" t="s">
        <v>81</v>
      </c>
      <c r="BA305" s="3" t="s">
        <v>81</v>
      </c>
      <c r="BB305" s="3" t="s">
        <v>81</v>
      </c>
      <c r="BC305" s="3" t="s">
        <v>81</v>
      </c>
      <c r="BD305" s="3" t="s">
        <v>81</v>
      </c>
      <c r="BE305" s="3" t="s">
        <v>81</v>
      </c>
      <c r="BF305" s="3" t="s">
        <v>81</v>
      </c>
      <c r="BG305" s="3" t="s">
        <v>81</v>
      </c>
      <c r="BH305" s="3" t="s">
        <v>81</v>
      </c>
      <c r="BI305" s="3" t="s">
        <v>82</v>
      </c>
      <c r="BJ305" s="3" t="s">
        <v>82</v>
      </c>
      <c r="BK305" s="3" t="s">
        <v>83</v>
      </c>
      <c r="BL305" s="3" t="s">
        <v>84</v>
      </c>
      <c r="BM305" s="3" t="s">
        <v>84</v>
      </c>
      <c r="BN305" s="3" t="s">
        <v>82</v>
      </c>
      <c r="BO305" s="3" t="s">
        <v>84</v>
      </c>
      <c r="BP305" s="3" t="s">
        <v>106</v>
      </c>
      <c r="BQ305" s="3" t="s">
        <v>106</v>
      </c>
      <c r="BR305" s="3" t="s">
        <v>106</v>
      </c>
      <c r="BS305" s="3" t="s">
        <v>106</v>
      </c>
      <c r="BT305" s="3" t="s">
        <v>106</v>
      </c>
      <c r="BU305" s="3" t="s">
        <v>81</v>
      </c>
      <c r="BV305" s="3" t="s">
        <v>84</v>
      </c>
      <c r="BW305" s="3" t="s">
        <v>83</v>
      </c>
      <c r="BX305" s="3" t="s">
        <v>82</v>
      </c>
      <c r="BY305" s="3" t="s">
        <v>503</v>
      </c>
      <c r="BZ305" s="3" t="s">
        <v>93</v>
      </c>
      <c r="CB305" s="3" t="s">
        <v>84</v>
      </c>
    </row>
    <row r="306" spans="1:86" ht="15.75" customHeight="1" x14ac:dyDescent="0.15">
      <c r="A306" s="3">
        <v>1228244905</v>
      </c>
      <c r="B306" s="3" t="s">
        <v>505</v>
      </c>
      <c r="C306" s="3" t="s">
        <v>505</v>
      </c>
      <c r="D306" s="3">
        <v>3</v>
      </c>
      <c r="E306" s="3">
        <v>2</v>
      </c>
      <c r="F306" s="3">
        <v>142.38300000000001</v>
      </c>
      <c r="G306" s="3">
        <v>1</v>
      </c>
      <c r="H306" s="3">
        <v>76.106999999999999</v>
      </c>
      <c r="I306" s="3" t="s">
        <v>81</v>
      </c>
      <c r="J306" s="3">
        <v>40.301000000000002</v>
      </c>
      <c r="K306" s="3">
        <v>23.591000000000001</v>
      </c>
      <c r="L306" s="3" t="s">
        <v>81</v>
      </c>
      <c r="M306" s="3" t="s">
        <v>81</v>
      </c>
      <c r="N306" s="3" t="s">
        <v>81</v>
      </c>
      <c r="O306" s="3" t="s">
        <v>81</v>
      </c>
      <c r="P306" s="3" t="s">
        <v>81</v>
      </c>
      <c r="Q306" s="3" t="s">
        <v>81</v>
      </c>
      <c r="R306" s="3">
        <v>1</v>
      </c>
      <c r="S306" s="3">
        <v>85.141000000000005</v>
      </c>
      <c r="T306" s="3">
        <v>28.085000000000001</v>
      </c>
      <c r="U306" s="3">
        <v>44.287999999999997</v>
      </c>
      <c r="V306" s="3" t="s">
        <v>81</v>
      </c>
      <c r="W306" s="3" t="s">
        <v>81</v>
      </c>
      <c r="X306" s="3" t="s">
        <v>81</v>
      </c>
      <c r="Y306" s="3" t="s">
        <v>81</v>
      </c>
      <c r="Z306" s="3" t="s">
        <v>81</v>
      </c>
      <c r="AA306" s="3" t="s">
        <v>81</v>
      </c>
      <c r="AB306" s="3" t="s">
        <v>81</v>
      </c>
      <c r="AC306" s="3" t="s">
        <v>81</v>
      </c>
      <c r="AD306" s="3" t="s">
        <v>81</v>
      </c>
      <c r="AE306" s="3" t="s">
        <v>81</v>
      </c>
      <c r="AF306" s="3" t="s">
        <v>81</v>
      </c>
      <c r="AG306" s="3" t="s">
        <v>81</v>
      </c>
      <c r="AH306" s="3" t="s">
        <v>81</v>
      </c>
      <c r="AI306" s="3" t="s">
        <v>81</v>
      </c>
      <c r="AJ306" s="3" t="s">
        <v>81</v>
      </c>
      <c r="AK306" s="3" t="s">
        <v>81</v>
      </c>
      <c r="AL306" s="3" t="s">
        <v>81</v>
      </c>
      <c r="AM306" s="3" t="s">
        <v>81</v>
      </c>
      <c r="AN306" s="3" t="s">
        <v>81</v>
      </c>
      <c r="AO306" s="3" t="s">
        <v>81</v>
      </c>
      <c r="AP306" s="3" t="s">
        <v>81</v>
      </c>
      <c r="AQ306" s="3" t="s">
        <v>81</v>
      </c>
      <c r="AR306" s="3" t="s">
        <v>81</v>
      </c>
      <c r="AS306" s="3" t="s">
        <v>81</v>
      </c>
      <c r="AT306" s="3" t="s">
        <v>81</v>
      </c>
      <c r="AU306" s="3" t="s">
        <v>81</v>
      </c>
      <c r="AV306" s="3" t="s">
        <v>81</v>
      </c>
      <c r="AW306" s="3" t="s">
        <v>81</v>
      </c>
      <c r="AX306" s="3" t="s">
        <v>81</v>
      </c>
      <c r="AY306" s="3" t="s">
        <v>81</v>
      </c>
      <c r="AZ306" s="3" t="s">
        <v>81</v>
      </c>
      <c r="BA306" s="3" t="s">
        <v>81</v>
      </c>
      <c r="BB306" s="3" t="s">
        <v>81</v>
      </c>
      <c r="BC306" s="3" t="s">
        <v>81</v>
      </c>
      <c r="BD306" s="3" t="s">
        <v>81</v>
      </c>
      <c r="BE306" s="3" t="s">
        <v>81</v>
      </c>
      <c r="BF306" s="3" t="s">
        <v>81</v>
      </c>
      <c r="BG306" s="3" t="s">
        <v>81</v>
      </c>
      <c r="BH306" s="3" t="s">
        <v>81</v>
      </c>
      <c r="BI306" s="3" t="s">
        <v>84</v>
      </c>
      <c r="BJ306" s="3" t="s">
        <v>84</v>
      </c>
      <c r="BK306" s="3" t="s">
        <v>82</v>
      </c>
      <c r="BL306" s="3" t="s">
        <v>84</v>
      </c>
      <c r="BM306" s="3" t="s">
        <v>84</v>
      </c>
      <c r="BN306" s="3" t="s">
        <v>82</v>
      </c>
      <c r="BO306" s="3" t="s">
        <v>84</v>
      </c>
      <c r="BP306" s="3" t="s">
        <v>106</v>
      </c>
      <c r="BQ306" s="3" t="s">
        <v>106</v>
      </c>
      <c r="BR306" s="3" t="s">
        <v>106</v>
      </c>
      <c r="BS306" s="3" t="s">
        <v>106</v>
      </c>
      <c r="BT306" s="3" t="s">
        <v>106</v>
      </c>
      <c r="BU306" s="3" t="s">
        <v>81</v>
      </c>
      <c r="BV306" s="3" t="s">
        <v>84</v>
      </c>
      <c r="BW306" s="3" t="s">
        <v>83</v>
      </c>
      <c r="BX306" s="3" t="s">
        <v>82</v>
      </c>
      <c r="BY306" s="3" t="s">
        <v>506</v>
      </c>
      <c r="BZ306" s="3" t="s">
        <v>93</v>
      </c>
      <c r="CA306" s="3"/>
      <c r="CB306" s="3" t="s">
        <v>84</v>
      </c>
      <c r="CC306" s="3"/>
      <c r="CD306" s="9">
        <v>4</v>
      </c>
      <c r="CE306" s="9">
        <v>3</v>
      </c>
      <c r="CF306" s="9">
        <v>3</v>
      </c>
      <c r="CG306" s="6"/>
      <c r="CH306" s="6"/>
    </row>
    <row r="307" spans="1:86" ht="15.75" customHeight="1" x14ac:dyDescent="0.15">
      <c r="A307" s="3">
        <v>1228497868</v>
      </c>
      <c r="B307" s="3" t="s">
        <v>505</v>
      </c>
      <c r="C307" s="3" t="s">
        <v>505</v>
      </c>
      <c r="D307" s="3">
        <v>3</v>
      </c>
      <c r="E307" s="3">
        <v>5</v>
      </c>
      <c r="F307" s="3">
        <v>125.179</v>
      </c>
      <c r="G307" s="3">
        <v>2</v>
      </c>
      <c r="H307" s="3">
        <v>70.953999999999994</v>
      </c>
      <c r="I307" s="3">
        <v>20.178000000000001</v>
      </c>
      <c r="J307" s="3">
        <v>39.213999999999999</v>
      </c>
      <c r="K307" s="3">
        <v>15.39</v>
      </c>
      <c r="L307" s="3" t="s">
        <v>81</v>
      </c>
      <c r="M307" s="3" t="s">
        <v>81</v>
      </c>
      <c r="N307" s="3" t="s">
        <v>81</v>
      </c>
      <c r="O307" s="3" t="s">
        <v>81</v>
      </c>
      <c r="P307" s="3" t="s">
        <v>81</v>
      </c>
      <c r="Q307" s="3" t="s">
        <v>81</v>
      </c>
      <c r="R307" s="3">
        <v>2</v>
      </c>
      <c r="S307" s="3">
        <v>72.394000000000005</v>
      </c>
      <c r="T307" s="3">
        <v>26.027999999999999</v>
      </c>
      <c r="U307" s="3">
        <v>37.198</v>
      </c>
      <c r="V307" s="3" t="s">
        <v>81</v>
      </c>
      <c r="W307" s="3" t="s">
        <v>81</v>
      </c>
      <c r="X307" s="3" t="s">
        <v>81</v>
      </c>
      <c r="Y307" s="3" t="s">
        <v>81</v>
      </c>
      <c r="Z307" s="3" t="s">
        <v>81</v>
      </c>
      <c r="AA307" s="3" t="s">
        <v>81</v>
      </c>
      <c r="AB307" s="3">
        <v>106.961</v>
      </c>
      <c r="AC307" s="3">
        <v>1</v>
      </c>
      <c r="AD307" s="3">
        <v>59.719000000000001</v>
      </c>
      <c r="AE307" s="3" t="s">
        <v>81</v>
      </c>
      <c r="AF307" s="3">
        <v>46.204999999999998</v>
      </c>
      <c r="AG307" s="3" t="s">
        <v>81</v>
      </c>
      <c r="AH307" s="3" t="s">
        <v>81</v>
      </c>
      <c r="AI307" s="3" t="s">
        <v>81</v>
      </c>
      <c r="AJ307" s="3" t="s">
        <v>81</v>
      </c>
      <c r="AK307" s="3" t="s">
        <v>81</v>
      </c>
      <c r="AL307" s="3" t="s">
        <v>81</v>
      </c>
      <c r="AM307" s="3">
        <v>119.006</v>
      </c>
      <c r="AN307" s="3">
        <v>2</v>
      </c>
      <c r="AO307" s="3">
        <v>66.777000000000001</v>
      </c>
      <c r="AP307" s="3" t="s">
        <v>81</v>
      </c>
      <c r="AQ307" s="3">
        <v>41.667999999999999</v>
      </c>
      <c r="AR307" s="3">
        <v>10.858000000000001</v>
      </c>
      <c r="AS307" s="3">
        <v>7.4269999999999996</v>
      </c>
      <c r="AT307" s="3" t="s">
        <v>81</v>
      </c>
      <c r="AU307" s="3" t="s">
        <v>81</v>
      </c>
      <c r="AV307" s="3" t="s">
        <v>81</v>
      </c>
      <c r="AW307" s="3" t="s">
        <v>81</v>
      </c>
      <c r="AX307" s="3" t="s">
        <v>81</v>
      </c>
      <c r="AY307" s="3">
        <v>2</v>
      </c>
      <c r="AZ307" s="3">
        <v>58.110999999999997</v>
      </c>
      <c r="BA307" s="3">
        <v>24.312999999999999</v>
      </c>
      <c r="BB307" s="3">
        <v>40.39</v>
      </c>
      <c r="BC307" s="3" t="s">
        <v>81</v>
      </c>
      <c r="BD307" s="3" t="s">
        <v>81</v>
      </c>
      <c r="BE307" s="3" t="s">
        <v>81</v>
      </c>
      <c r="BF307" s="3" t="s">
        <v>81</v>
      </c>
      <c r="BG307" s="3" t="s">
        <v>81</v>
      </c>
      <c r="BH307" s="3" t="s">
        <v>81</v>
      </c>
      <c r="BI307" s="3" t="s">
        <v>84</v>
      </c>
      <c r="BJ307" s="3" t="s">
        <v>84</v>
      </c>
      <c r="BK307" s="3" t="s">
        <v>84</v>
      </c>
      <c r="BL307" s="3" t="s">
        <v>84</v>
      </c>
      <c r="BM307" s="3" t="s">
        <v>84</v>
      </c>
      <c r="BN307" s="3" t="s">
        <v>82</v>
      </c>
      <c r="BO307" s="3" t="s">
        <v>84</v>
      </c>
      <c r="BP307" s="3" t="s">
        <v>106</v>
      </c>
      <c r="BQ307" s="3" t="s">
        <v>106</v>
      </c>
      <c r="BR307" s="3" t="s">
        <v>106</v>
      </c>
      <c r="BS307" s="3" t="s">
        <v>106</v>
      </c>
      <c r="BT307" s="3" t="s">
        <v>106</v>
      </c>
      <c r="BU307" s="3" t="s">
        <v>81</v>
      </c>
      <c r="BV307" s="3" t="s">
        <v>84</v>
      </c>
      <c r="BW307" s="3" t="s">
        <v>83</v>
      </c>
      <c r="BX307" s="3" t="s">
        <v>82</v>
      </c>
      <c r="BY307" s="3" t="s">
        <v>507</v>
      </c>
      <c r="BZ307" s="3" t="s">
        <v>93</v>
      </c>
      <c r="CB307" s="3" t="s">
        <v>84</v>
      </c>
      <c r="CD307" s="9">
        <v>13</v>
      </c>
      <c r="CE307" s="9"/>
      <c r="CF307" s="9"/>
    </row>
    <row r="308" spans="1:86" ht="15.75" customHeight="1" x14ac:dyDescent="0.15">
      <c r="A308" s="3">
        <v>1228210579</v>
      </c>
      <c r="B308" s="3" t="s">
        <v>505</v>
      </c>
      <c r="C308" s="3" t="s">
        <v>505</v>
      </c>
      <c r="D308" s="3">
        <v>3</v>
      </c>
      <c r="E308" s="3">
        <v>3</v>
      </c>
      <c r="F308" s="3">
        <v>117.629</v>
      </c>
      <c r="G308" s="3">
        <v>1</v>
      </c>
      <c r="H308" s="3">
        <v>64.843000000000004</v>
      </c>
      <c r="I308" s="3">
        <v>16.507000000000001</v>
      </c>
      <c r="J308" s="3">
        <v>35.296999999999997</v>
      </c>
      <c r="K308" s="3">
        <v>17.420999999999999</v>
      </c>
      <c r="L308" s="3" t="s">
        <v>81</v>
      </c>
      <c r="M308" s="3" t="s">
        <v>81</v>
      </c>
      <c r="N308" s="3" t="s">
        <v>81</v>
      </c>
      <c r="O308" s="3" t="s">
        <v>81</v>
      </c>
      <c r="P308" s="3" t="s">
        <v>81</v>
      </c>
      <c r="Q308" s="3">
        <v>132.50299999999999</v>
      </c>
      <c r="R308" s="3">
        <v>2</v>
      </c>
      <c r="S308" s="3">
        <v>68.948999999999998</v>
      </c>
      <c r="T308" s="3">
        <v>18.466999999999999</v>
      </c>
      <c r="U308" s="3">
        <v>33.984999999999999</v>
      </c>
      <c r="V308" s="3">
        <v>14.6</v>
      </c>
      <c r="W308" s="3">
        <v>29.44</v>
      </c>
      <c r="X308" s="3" t="s">
        <v>81</v>
      </c>
      <c r="Y308" s="3" t="s">
        <v>81</v>
      </c>
      <c r="Z308" s="3" t="s">
        <v>81</v>
      </c>
      <c r="AA308" s="3" t="s">
        <v>81</v>
      </c>
      <c r="AB308" s="3">
        <v>130.37299999999999</v>
      </c>
      <c r="AC308" s="3">
        <v>2</v>
      </c>
      <c r="AD308" s="3">
        <v>62.363999999999997</v>
      </c>
      <c r="AE308" s="3">
        <v>16.766999999999999</v>
      </c>
      <c r="AF308" s="3">
        <v>35.091000000000001</v>
      </c>
      <c r="AG308" s="3">
        <v>18.283000000000001</v>
      </c>
      <c r="AH308" s="3">
        <v>33.067999999999998</v>
      </c>
      <c r="AI308" s="3" t="s">
        <v>81</v>
      </c>
      <c r="AJ308" s="3" t="s">
        <v>81</v>
      </c>
      <c r="AK308" s="3" t="s">
        <v>81</v>
      </c>
      <c r="AL308" s="3" t="s">
        <v>81</v>
      </c>
      <c r="AM308" s="3" t="s">
        <v>81</v>
      </c>
      <c r="AN308" s="3" t="s">
        <v>81</v>
      </c>
      <c r="AO308" s="3" t="s">
        <v>81</v>
      </c>
      <c r="AP308" s="3" t="s">
        <v>81</v>
      </c>
      <c r="AQ308" s="3" t="s">
        <v>81</v>
      </c>
      <c r="AR308" s="3" t="s">
        <v>81</v>
      </c>
      <c r="AS308" s="3" t="s">
        <v>81</v>
      </c>
      <c r="AT308" s="3" t="s">
        <v>81</v>
      </c>
      <c r="AU308" s="3" t="s">
        <v>81</v>
      </c>
      <c r="AV308" s="3" t="s">
        <v>81</v>
      </c>
      <c r="AW308" s="3" t="s">
        <v>81</v>
      </c>
      <c r="AX308" s="3" t="s">
        <v>81</v>
      </c>
      <c r="AY308" s="3" t="s">
        <v>81</v>
      </c>
      <c r="AZ308" s="3" t="s">
        <v>81</v>
      </c>
      <c r="BA308" s="3" t="s">
        <v>81</v>
      </c>
      <c r="BB308" s="3" t="s">
        <v>81</v>
      </c>
      <c r="BC308" s="3" t="s">
        <v>81</v>
      </c>
      <c r="BD308" s="3" t="s">
        <v>81</v>
      </c>
      <c r="BE308" s="3" t="s">
        <v>81</v>
      </c>
      <c r="BF308" s="3" t="s">
        <v>81</v>
      </c>
      <c r="BG308" s="3" t="s">
        <v>81</v>
      </c>
      <c r="BH308" s="3" t="s">
        <v>81</v>
      </c>
      <c r="BI308" s="3" t="s">
        <v>84</v>
      </c>
      <c r="BJ308" s="3" t="s">
        <v>84</v>
      </c>
      <c r="BK308" s="3" t="s">
        <v>82</v>
      </c>
      <c r="BL308" s="3" t="s">
        <v>84</v>
      </c>
      <c r="BM308" s="3" t="s">
        <v>84</v>
      </c>
      <c r="BN308" s="3" t="s">
        <v>82</v>
      </c>
      <c r="BO308" s="3" t="s">
        <v>83</v>
      </c>
      <c r="BP308" s="3" t="s">
        <v>81</v>
      </c>
      <c r="BQ308" s="3" t="s">
        <v>81</v>
      </c>
      <c r="BR308" s="3" t="s">
        <v>81</v>
      </c>
      <c r="BS308" s="3" t="s">
        <v>81</v>
      </c>
      <c r="BT308" s="3" t="s">
        <v>81</v>
      </c>
      <c r="BU308" s="3" t="s">
        <v>81</v>
      </c>
      <c r="BV308" s="3" t="s">
        <v>84</v>
      </c>
      <c r="BW308" s="3" t="s">
        <v>83</v>
      </c>
      <c r="BX308" s="3" t="s">
        <v>82</v>
      </c>
      <c r="BY308" s="3" t="s">
        <v>173</v>
      </c>
      <c r="BZ308" s="3" t="s">
        <v>93</v>
      </c>
      <c r="CB308" s="3" t="s">
        <v>84</v>
      </c>
      <c r="CD308" s="9">
        <v>8</v>
      </c>
      <c r="CE308" s="9">
        <v>6</v>
      </c>
      <c r="CF308" s="9"/>
    </row>
    <row r="309" spans="1:86" ht="15.75" customHeight="1" x14ac:dyDescent="0.15">
      <c r="A309" s="3">
        <v>1318581732</v>
      </c>
      <c r="B309" s="3" t="s">
        <v>508</v>
      </c>
      <c r="C309" s="3" t="s">
        <v>508</v>
      </c>
      <c r="D309" s="3">
        <v>8</v>
      </c>
      <c r="E309" s="3">
        <v>8</v>
      </c>
      <c r="F309" s="3">
        <v>234.51900000000001</v>
      </c>
      <c r="G309" s="3">
        <v>2</v>
      </c>
      <c r="H309" s="3">
        <v>135.297</v>
      </c>
      <c r="I309" s="3">
        <v>23.423999999999999</v>
      </c>
      <c r="J309" s="3">
        <v>52.347999999999999</v>
      </c>
      <c r="K309" s="3">
        <v>21.173999999999999</v>
      </c>
      <c r="L309" s="3">
        <v>25.893000000000001</v>
      </c>
      <c r="M309" s="3">
        <v>18.462</v>
      </c>
      <c r="N309" s="3" t="s">
        <v>81</v>
      </c>
      <c r="O309" s="3" t="s">
        <v>81</v>
      </c>
      <c r="P309" s="3" t="s">
        <v>81</v>
      </c>
      <c r="Q309" s="3" t="s">
        <v>81</v>
      </c>
      <c r="R309" s="3">
        <v>2</v>
      </c>
      <c r="S309" s="3">
        <v>148.191</v>
      </c>
      <c r="T309" s="3">
        <v>29.571999999999999</v>
      </c>
      <c r="U309" s="3">
        <v>48.054000000000002</v>
      </c>
      <c r="V309" s="3" t="s">
        <v>81</v>
      </c>
      <c r="W309" s="3" t="s">
        <v>81</v>
      </c>
      <c r="X309" s="3" t="s">
        <v>81</v>
      </c>
      <c r="Y309" s="3" t="s">
        <v>81</v>
      </c>
      <c r="Z309" s="3" t="s">
        <v>81</v>
      </c>
      <c r="AA309" s="3" t="s">
        <v>81</v>
      </c>
      <c r="AB309" s="3">
        <v>180.92599999999999</v>
      </c>
      <c r="AC309" s="3">
        <v>2</v>
      </c>
      <c r="AD309" s="3">
        <v>129.24299999999999</v>
      </c>
      <c r="AE309" s="3">
        <v>27.963999999999999</v>
      </c>
      <c r="AF309" s="3">
        <v>49.643999999999998</v>
      </c>
      <c r="AG309" s="3">
        <v>24.748000000000001</v>
      </c>
      <c r="AH309" s="3">
        <v>1.5129999999999999</v>
      </c>
      <c r="AI309" s="3" t="s">
        <v>81</v>
      </c>
      <c r="AJ309" s="3" t="s">
        <v>81</v>
      </c>
      <c r="AK309" s="3" t="s">
        <v>81</v>
      </c>
      <c r="AL309" s="3" t="s">
        <v>81</v>
      </c>
      <c r="AM309" s="3">
        <v>199.001</v>
      </c>
      <c r="AN309" s="3">
        <v>3</v>
      </c>
      <c r="AO309" s="3">
        <v>128.43799999999999</v>
      </c>
      <c r="AP309" s="3">
        <v>27.289000000000001</v>
      </c>
      <c r="AQ309" s="3">
        <v>49.258000000000003</v>
      </c>
      <c r="AR309" s="3">
        <v>26.904</v>
      </c>
      <c r="AS309" s="3">
        <v>18.995000000000001</v>
      </c>
      <c r="AT309" s="3">
        <v>23.908000000000001</v>
      </c>
      <c r="AU309" s="3">
        <v>1.129</v>
      </c>
      <c r="AV309" s="3" t="s">
        <v>81</v>
      </c>
      <c r="AW309" s="3" t="s">
        <v>81</v>
      </c>
      <c r="AX309" s="3" t="s">
        <v>81</v>
      </c>
      <c r="AY309" s="3" t="s">
        <v>81</v>
      </c>
      <c r="AZ309" s="3" t="s">
        <v>81</v>
      </c>
      <c r="BA309" s="3" t="s">
        <v>81</v>
      </c>
      <c r="BB309" s="3" t="s">
        <v>81</v>
      </c>
      <c r="BC309" s="3" t="s">
        <v>81</v>
      </c>
      <c r="BD309" s="3" t="s">
        <v>81</v>
      </c>
      <c r="BE309" s="3" t="s">
        <v>81</v>
      </c>
      <c r="BF309" s="3" t="s">
        <v>81</v>
      </c>
      <c r="BG309" s="3" t="s">
        <v>81</v>
      </c>
      <c r="BH309" s="3" t="s">
        <v>81</v>
      </c>
      <c r="BI309" s="3" t="s">
        <v>84</v>
      </c>
      <c r="BJ309" s="3" t="s">
        <v>84</v>
      </c>
      <c r="BK309" s="3" t="s">
        <v>82</v>
      </c>
      <c r="BL309" s="3" t="s">
        <v>84</v>
      </c>
      <c r="BM309" s="3" t="s">
        <v>84</v>
      </c>
      <c r="BN309" s="3" t="s">
        <v>82</v>
      </c>
      <c r="BO309" s="3" t="s">
        <v>84</v>
      </c>
      <c r="BP309" s="3" t="s">
        <v>106</v>
      </c>
      <c r="BQ309" s="3" t="s">
        <v>509</v>
      </c>
      <c r="BR309" s="3" t="s">
        <v>225</v>
      </c>
      <c r="BS309" s="3" t="s">
        <v>510</v>
      </c>
      <c r="BT309" s="3" t="s">
        <v>106</v>
      </c>
      <c r="BU309" s="3" t="s">
        <v>98</v>
      </c>
      <c r="BV309" s="3" t="s">
        <v>82</v>
      </c>
      <c r="BW309" s="3" t="s">
        <v>91</v>
      </c>
      <c r="BX309" s="3" t="s">
        <v>82</v>
      </c>
      <c r="BY309" s="3" t="s">
        <v>507</v>
      </c>
      <c r="BZ309" s="3" t="s">
        <v>86</v>
      </c>
      <c r="CB309" s="3" t="s">
        <v>84</v>
      </c>
      <c r="CD309" s="9">
        <v>15</v>
      </c>
      <c r="CE309" s="9"/>
      <c r="CF309" s="9"/>
    </row>
    <row r="310" spans="1:86" ht="15.75" customHeight="1" x14ac:dyDescent="0.15">
      <c r="A310" s="3">
        <v>1318127882</v>
      </c>
      <c r="B310" s="3" t="s">
        <v>508</v>
      </c>
      <c r="C310" s="3" t="s">
        <v>508</v>
      </c>
      <c r="D310" s="3" t="s">
        <v>81</v>
      </c>
      <c r="E310" s="3">
        <v>35</v>
      </c>
      <c r="F310" s="3">
        <v>139.898</v>
      </c>
      <c r="G310" s="3">
        <v>2</v>
      </c>
      <c r="H310" s="3">
        <v>99.555000000000007</v>
      </c>
      <c r="I310" s="3">
        <v>8.0649999999999995</v>
      </c>
      <c r="J310" s="3">
        <v>31.9</v>
      </c>
      <c r="K310" s="3">
        <v>16.038</v>
      </c>
      <c r="L310" s="3">
        <v>5.1529999999999996</v>
      </c>
      <c r="M310" s="3" t="s">
        <v>81</v>
      </c>
      <c r="N310" s="3" t="s">
        <v>81</v>
      </c>
      <c r="O310" s="3" t="s">
        <v>81</v>
      </c>
      <c r="P310" s="3" t="s">
        <v>81</v>
      </c>
      <c r="Q310" s="3">
        <v>143.73699999999999</v>
      </c>
      <c r="R310" s="3">
        <v>3</v>
      </c>
      <c r="S310" s="3">
        <v>99.795000000000002</v>
      </c>
      <c r="T310" s="3">
        <v>7.7290000000000001</v>
      </c>
      <c r="U310" s="3">
        <v>36.398000000000003</v>
      </c>
      <c r="V310" s="3">
        <v>8.9979999999999993</v>
      </c>
      <c r="W310" s="3">
        <v>7.8070000000000004</v>
      </c>
      <c r="X310" s="3">
        <v>8.4649999999999999</v>
      </c>
      <c r="Y310" s="3">
        <v>2.5179999999999998</v>
      </c>
      <c r="Z310" s="3" t="s">
        <v>81</v>
      </c>
      <c r="AA310" s="3" t="s">
        <v>81</v>
      </c>
      <c r="AB310" s="3">
        <v>178.672</v>
      </c>
      <c r="AC310" s="3">
        <v>3</v>
      </c>
      <c r="AD310" s="3">
        <v>103.48</v>
      </c>
      <c r="AE310" s="3">
        <v>8.0340000000000007</v>
      </c>
      <c r="AF310" s="3">
        <v>46.375</v>
      </c>
      <c r="AG310" s="3">
        <v>20.469000000000001</v>
      </c>
      <c r="AH310" s="3">
        <v>22.15</v>
      </c>
      <c r="AI310" s="3">
        <v>11.214</v>
      </c>
      <c r="AJ310" s="3">
        <v>4.74</v>
      </c>
      <c r="AK310" s="3" t="s">
        <v>81</v>
      </c>
      <c r="AL310" s="3" t="s">
        <v>81</v>
      </c>
      <c r="AM310" s="3">
        <v>180.50200000000001</v>
      </c>
      <c r="AN310" s="3">
        <v>3</v>
      </c>
      <c r="AO310" s="3">
        <v>105.41</v>
      </c>
      <c r="AP310" s="3">
        <v>8.69</v>
      </c>
      <c r="AQ310" s="3">
        <v>40.664000000000001</v>
      </c>
      <c r="AR310" s="3">
        <v>16.535</v>
      </c>
      <c r="AS310" s="3">
        <v>26.324000000000002</v>
      </c>
      <c r="AT310" s="3">
        <v>15.27</v>
      </c>
      <c r="AU310" s="3">
        <v>11.205</v>
      </c>
      <c r="AV310" s="3" t="s">
        <v>81</v>
      </c>
      <c r="AW310" s="3" t="s">
        <v>81</v>
      </c>
      <c r="AX310" s="3">
        <v>191.227</v>
      </c>
      <c r="AY310" s="3">
        <v>3</v>
      </c>
      <c r="AZ310" s="3">
        <v>97.456999999999994</v>
      </c>
      <c r="BA310" s="3">
        <v>8.6069999999999993</v>
      </c>
      <c r="BB310" s="3">
        <v>50.465000000000003</v>
      </c>
      <c r="BC310" s="3">
        <v>16.747</v>
      </c>
      <c r="BD310" s="3">
        <v>30.905000000000001</v>
      </c>
      <c r="BE310" s="3">
        <v>17.393999999999998</v>
      </c>
      <c r="BF310" s="3">
        <v>10.643000000000001</v>
      </c>
      <c r="BG310" s="3" t="s">
        <v>81</v>
      </c>
      <c r="BH310" s="3" t="s">
        <v>81</v>
      </c>
      <c r="BI310" s="3" t="s">
        <v>84</v>
      </c>
      <c r="BJ310" s="3" t="s">
        <v>82</v>
      </c>
      <c r="BK310" s="3" t="s">
        <v>83</v>
      </c>
      <c r="BL310" s="3" t="s">
        <v>84</v>
      </c>
      <c r="BM310" s="3" t="s">
        <v>84</v>
      </c>
      <c r="BN310" s="3" t="s">
        <v>82</v>
      </c>
      <c r="BO310" s="3" t="s">
        <v>84</v>
      </c>
      <c r="BP310" s="3" t="s">
        <v>87</v>
      </c>
      <c r="BQ310" s="3" t="s">
        <v>87</v>
      </c>
      <c r="BR310" s="3" t="s">
        <v>129</v>
      </c>
      <c r="BS310" s="3" t="s">
        <v>212</v>
      </c>
      <c r="BT310" s="3" t="s">
        <v>87</v>
      </c>
      <c r="BU310" s="3" t="s">
        <v>129</v>
      </c>
      <c r="BV310" s="3" t="s">
        <v>84</v>
      </c>
      <c r="BW310" s="3" t="s">
        <v>83</v>
      </c>
      <c r="BX310" s="3" t="s">
        <v>82</v>
      </c>
      <c r="BY310" s="3" t="s">
        <v>160</v>
      </c>
      <c r="BZ310" s="3" t="s">
        <v>86</v>
      </c>
      <c r="CB310" s="3" t="s">
        <v>84</v>
      </c>
      <c r="CD310" s="9">
        <v>99</v>
      </c>
      <c r="CE310" s="9"/>
      <c r="CF310" s="9"/>
    </row>
    <row r="311" spans="1:86" ht="15.75" customHeight="1" x14ac:dyDescent="0.15">
      <c r="A311" s="3">
        <v>2625828034</v>
      </c>
      <c r="B311" s="3" t="s">
        <v>522</v>
      </c>
      <c r="C311" s="3" t="s">
        <v>522</v>
      </c>
      <c r="D311" s="3">
        <v>6</v>
      </c>
      <c r="E311" s="3">
        <v>7</v>
      </c>
      <c r="F311" s="3">
        <v>52.057000000000002</v>
      </c>
      <c r="G311" s="3">
        <v>0</v>
      </c>
      <c r="H311" s="3" t="s">
        <v>81</v>
      </c>
      <c r="I311" s="3" t="s">
        <v>81</v>
      </c>
      <c r="J311" s="3" t="s">
        <v>81</v>
      </c>
      <c r="K311" s="3" t="s">
        <v>81</v>
      </c>
      <c r="L311" s="3" t="s">
        <v>81</v>
      </c>
      <c r="M311" s="3" t="s">
        <v>81</v>
      </c>
      <c r="N311" s="3" t="s">
        <v>81</v>
      </c>
      <c r="O311" s="3" t="s">
        <v>81</v>
      </c>
      <c r="P311" s="3" t="s">
        <v>81</v>
      </c>
      <c r="Q311" s="3">
        <v>53.088000000000001</v>
      </c>
      <c r="R311" s="3">
        <v>0</v>
      </c>
      <c r="S311" s="3" t="s">
        <v>81</v>
      </c>
      <c r="T311" s="3" t="s">
        <v>81</v>
      </c>
      <c r="U311" s="3" t="s">
        <v>81</v>
      </c>
      <c r="V311" s="3" t="s">
        <v>81</v>
      </c>
      <c r="W311" s="3" t="s">
        <v>81</v>
      </c>
      <c r="X311" s="3" t="s">
        <v>81</v>
      </c>
      <c r="Y311" s="3" t="s">
        <v>81</v>
      </c>
      <c r="Z311" s="3" t="s">
        <v>81</v>
      </c>
      <c r="AA311" s="3" t="s">
        <v>81</v>
      </c>
      <c r="AB311" s="3">
        <v>48.371000000000002</v>
      </c>
      <c r="AC311" s="3">
        <v>0</v>
      </c>
      <c r="AD311" s="3" t="s">
        <v>81</v>
      </c>
      <c r="AE311" s="3" t="s">
        <v>81</v>
      </c>
      <c r="AF311" s="3" t="s">
        <v>81</v>
      </c>
      <c r="AG311" s="3" t="s">
        <v>81</v>
      </c>
      <c r="AH311" s="3" t="s">
        <v>81</v>
      </c>
      <c r="AI311" s="3" t="s">
        <v>81</v>
      </c>
      <c r="AJ311" s="3" t="s">
        <v>81</v>
      </c>
      <c r="AK311" s="3" t="s">
        <v>81</v>
      </c>
      <c r="AL311" s="3" t="s">
        <v>81</v>
      </c>
      <c r="AM311" s="3">
        <v>53.292000000000002</v>
      </c>
      <c r="AN311" s="3">
        <v>0</v>
      </c>
      <c r="AO311" s="3" t="s">
        <v>81</v>
      </c>
      <c r="AP311" s="3" t="s">
        <v>81</v>
      </c>
      <c r="AQ311" s="3" t="s">
        <v>81</v>
      </c>
      <c r="AR311" s="3" t="s">
        <v>81</v>
      </c>
      <c r="AS311" s="3" t="s">
        <v>81</v>
      </c>
      <c r="AT311" s="3" t="s">
        <v>81</v>
      </c>
      <c r="AU311" s="3" t="s">
        <v>81</v>
      </c>
      <c r="AV311" s="3" t="s">
        <v>81</v>
      </c>
      <c r="AW311" s="3" t="s">
        <v>81</v>
      </c>
      <c r="AX311" s="3">
        <v>54.213000000000001</v>
      </c>
      <c r="AY311" s="3">
        <v>0</v>
      </c>
      <c r="AZ311" s="3" t="s">
        <v>81</v>
      </c>
      <c r="BA311" s="3" t="s">
        <v>81</v>
      </c>
      <c r="BB311" s="3" t="s">
        <v>81</v>
      </c>
      <c r="BC311" s="3" t="s">
        <v>81</v>
      </c>
      <c r="BD311" s="3" t="s">
        <v>81</v>
      </c>
      <c r="BE311" s="3" t="s">
        <v>81</v>
      </c>
      <c r="BF311" s="3" t="s">
        <v>81</v>
      </c>
      <c r="BG311" s="3" t="s">
        <v>81</v>
      </c>
      <c r="BH311" s="3" t="s">
        <v>81</v>
      </c>
      <c r="BI311" s="3" t="s">
        <v>82</v>
      </c>
      <c r="BJ311" s="3" t="s">
        <v>82</v>
      </c>
      <c r="BK311" s="3" t="s">
        <v>83</v>
      </c>
      <c r="BL311" s="3" t="s">
        <v>84</v>
      </c>
      <c r="BM311" s="3" t="s">
        <v>84</v>
      </c>
      <c r="BN311" s="3" t="s">
        <v>82</v>
      </c>
      <c r="BO311" s="3" t="s">
        <v>84</v>
      </c>
      <c r="BP311" s="3" t="s">
        <v>81</v>
      </c>
      <c r="BQ311" s="3" t="s">
        <v>81</v>
      </c>
      <c r="BR311" s="3" t="s">
        <v>81</v>
      </c>
      <c r="BS311" s="3" t="s">
        <v>81</v>
      </c>
      <c r="BT311" s="3" t="s">
        <v>81</v>
      </c>
      <c r="BU311" s="3" t="s">
        <v>81</v>
      </c>
      <c r="BV311" s="3" t="s">
        <v>84</v>
      </c>
      <c r="BW311" s="3" t="s">
        <v>83</v>
      </c>
      <c r="BX311" s="3" t="s">
        <v>82</v>
      </c>
      <c r="BY311" s="3" t="s">
        <v>173</v>
      </c>
      <c r="BZ311" s="3" t="s">
        <v>86</v>
      </c>
      <c r="CA311" s="3"/>
      <c r="CB311" s="3" t="s">
        <v>84</v>
      </c>
      <c r="CC311" s="3"/>
      <c r="CD311" s="9">
        <v>7</v>
      </c>
      <c r="CE311" s="9"/>
      <c r="CF311" s="9"/>
      <c r="CG311" s="6"/>
      <c r="CH311" s="6"/>
    </row>
    <row r="312" spans="1:86" ht="15.75" customHeight="1" x14ac:dyDescent="0.15">
      <c r="A312" s="3">
        <v>2643313885</v>
      </c>
      <c r="B312" s="3" t="s">
        <v>522</v>
      </c>
      <c r="C312" s="3" t="s">
        <v>522</v>
      </c>
      <c r="D312" s="3" t="s">
        <v>81</v>
      </c>
      <c r="E312" s="3">
        <v>14</v>
      </c>
      <c r="F312" s="3">
        <v>25.251000000000001</v>
      </c>
      <c r="G312" s="3">
        <v>0</v>
      </c>
      <c r="H312" s="3" t="s">
        <v>81</v>
      </c>
      <c r="I312" s="3" t="s">
        <v>81</v>
      </c>
      <c r="J312" s="3" t="s">
        <v>81</v>
      </c>
      <c r="K312" s="3" t="s">
        <v>81</v>
      </c>
      <c r="L312" s="3" t="s">
        <v>81</v>
      </c>
      <c r="M312" s="3" t="s">
        <v>81</v>
      </c>
      <c r="N312" s="3" t="s">
        <v>81</v>
      </c>
      <c r="O312" s="3" t="s">
        <v>81</v>
      </c>
      <c r="P312" s="3" t="s">
        <v>81</v>
      </c>
      <c r="Q312" s="3">
        <v>22.812999999999999</v>
      </c>
      <c r="R312" s="3">
        <v>0</v>
      </c>
      <c r="S312" s="3" t="s">
        <v>81</v>
      </c>
      <c r="T312" s="3" t="s">
        <v>81</v>
      </c>
      <c r="U312" s="3" t="s">
        <v>81</v>
      </c>
      <c r="V312" s="3" t="s">
        <v>81</v>
      </c>
      <c r="W312" s="3" t="s">
        <v>81</v>
      </c>
      <c r="X312" s="3" t="s">
        <v>81</v>
      </c>
      <c r="Y312" s="3" t="s">
        <v>81</v>
      </c>
      <c r="Z312" s="3" t="s">
        <v>81</v>
      </c>
      <c r="AA312" s="3" t="s">
        <v>81</v>
      </c>
      <c r="AB312" s="3">
        <v>31.071999999999999</v>
      </c>
      <c r="AC312" s="3">
        <v>0</v>
      </c>
      <c r="AD312" s="3" t="s">
        <v>81</v>
      </c>
      <c r="AE312" s="3" t="s">
        <v>81</v>
      </c>
      <c r="AF312" s="3" t="s">
        <v>81</v>
      </c>
      <c r="AG312" s="3" t="s">
        <v>81</v>
      </c>
      <c r="AH312" s="3" t="s">
        <v>81</v>
      </c>
      <c r="AI312" s="3" t="s">
        <v>81</v>
      </c>
      <c r="AJ312" s="3" t="s">
        <v>81</v>
      </c>
      <c r="AK312" s="3" t="s">
        <v>81</v>
      </c>
      <c r="AL312" s="3" t="s">
        <v>81</v>
      </c>
      <c r="AM312" s="3">
        <v>31.741</v>
      </c>
      <c r="AN312" s="3">
        <v>0</v>
      </c>
      <c r="AO312" s="3" t="s">
        <v>81</v>
      </c>
      <c r="AP312" s="3" t="s">
        <v>81</v>
      </c>
      <c r="AQ312" s="3" t="s">
        <v>81</v>
      </c>
      <c r="AR312" s="3" t="s">
        <v>81</v>
      </c>
      <c r="AS312" s="3" t="s">
        <v>81</v>
      </c>
      <c r="AT312" s="3" t="s">
        <v>81</v>
      </c>
      <c r="AU312" s="3" t="s">
        <v>81</v>
      </c>
      <c r="AV312" s="3" t="s">
        <v>81</v>
      </c>
      <c r="AW312" s="3" t="s">
        <v>81</v>
      </c>
      <c r="AX312" s="3">
        <v>25.43</v>
      </c>
      <c r="AY312" s="3">
        <v>0</v>
      </c>
      <c r="AZ312" s="3" t="s">
        <v>81</v>
      </c>
      <c r="BA312" s="3" t="s">
        <v>81</v>
      </c>
      <c r="BB312" s="3" t="s">
        <v>81</v>
      </c>
      <c r="BC312" s="3" t="s">
        <v>81</v>
      </c>
      <c r="BD312" s="3" t="s">
        <v>81</v>
      </c>
      <c r="BE312" s="3" t="s">
        <v>81</v>
      </c>
      <c r="BF312" s="3" t="s">
        <v>81</v>
      </c>
      <c r="BG312" s="3" t="s">
        <v>81</v>
      </c>
      <c r="BH312" s="3" t="s">
        <v>81</v>
      </c>
      <c r="BI312" s="3" t="s">
        <v>84</v>
      </c>
      <c r="BJ312" s="3" t="s">
        <v>82</v>
      </c>
      <c r="BK312" s="3" t="s">
        <v>82</v>
      </c>
      <c r="BL312" s="3" t="s">
        <v>84</v>
      </c>
      <c r="BM312" s="3" t="s">
        <v>84</v>
      </c>
      <c r="BN312" s="3" t="s">
        <v>82</v>
      </c>
      <c r="BO312" s="3" t="s">
        <v>84</v>
      </c>
      <c r="BP312" s="3" t="s">
        <v>85</v>
      </c>
      <c r="BQ312" s="3" t="s">
        <v>85</v>
      </c>
      <c r="BR312" s="3" t="s">
        <v>85</v>
      </c>
      <c r="BS312" s="3" t="s">
        <v>85</v>
      </c>
      <c r="BT312" s="3" t="s">
        <v>85</v>
      </c>
      <c r="BU312" s="3" t="s">
        <v>81</v>
      </c>
      <c r="BV312" s="3" t="s">
        <v>84</v>
      </c>
      <c r="BW312" s="3" t="s">
        <v>83</v>
      </c>
      <c r="BX312" s="3" t="s">
        <v>82</v>
      </c>
      <c r="BZ312" s="3" t="s">
        <v>86</v>
      </c>
      <c r="CB312" s="3" t="s">
        <v>84</v>
      </c>
      <c r="CD312" s="9">
        <v>14</v>
      </c>
      <c r="CE312" s="9"/>
      <c r="CF312" s="9"/>
    </row>
    <row r="313" spans="1:86" ht="13" x14ac:dyDescent="0.15">
      <c r="A313" s="3">
        <v>1847936427</v>
      </c>
      <c r="B313" s="3" t="s">
        <v>527</v>
      </c>
      <c r="C313" s="3" t="s">
        <v>527</v>
      </c>
      <c r="D313" s="3">
        <v>6</v>
      </c>
      <c r="E313" s="3">
        <v>8</v>
      </c>
      <c r="F313" s="3">
        <v>55.595999999999997</v>
      </c>
      <c r="G313" s="3">
        <v>0</v>
      </c>
      <c r="H313" s="3" t="s">
        <v>81</v>
      </c>
      <c r="I313" s="3" t="s">
        <v>81</v>
      </c>
      <c r="J313" s="3" t="s">
        <v>81</v>
      </c>
      <c r="K313" s="3" t="s">
        <v>81</v>
      </c>
      <c r="L313" s="3" t="s">
        <v>81</v>
      </c>
      <c r="M313" s="3" t="s">
        <v>81</v>
      </c>
      <c r="N313" s="3" t="s">
        <v>81</v>
      </c>
      <c r="O313" s="3" t="s">
        <v>81</v>
      </c>
      <c r="P313" s="3" t="s">
        <v>81</v>
      </c>
      <c r="Q313" s="3">
        <v>55.726999999999997</v>
      </c>
      <c r="R313" s="3">
        <v>0</v>
      </c>
      <c r="S313" s="3" t="s">
        <v>81</v>
      </c>
      <c r="T313" s="3" t="s">
        <v>81</v>
      </c>
      <c r="U313" s="3" t="s">
        <v>81</v>
      </c>
      <c r="V313" s="3" t="s">
        <v>81</v>
      </c>
      <c r="W313" s="3" t="s">
        <v>81</v>
      </c>
      <c r="X313" s="3" t="s">
        <v>81</v>
      </c>
      <c r="Y313" s="3" t="s">
        <v>81</v>
      </c>
      <c r="Z313" s="3" t="s">
        <v>81</v>
      </c>
      <c r="AA313" s="3" t="s">
        <v>81</v>
      </c>
      <c r="AB313" s="3">
        <v>54.759</v>
      </c>
      <c r="AC313" s="3">
        <v>0</v>
      </c>
      <c r="AD313" s="3" t="s">
        <v>81</v>
      </c>
      <c r="AE313" s="3" t="s">
        <v>81</v>
      </c>
      <c r="AF313" s="3" t="s">
        <v>81</v>
      </c>
      <c r="AG313" s="3" t="s">
        <v>81</v>
      </c>
      <c r="AH313" s="3" t="s">
        <v>81</v>
      </c>
      <c r="AI313" s="3" t="s">
        <v>81</v>
      </c>
      <c r="AJ313" s="3" t="s">
        <v>81</v>
      </c>
      <c r="AK313" s="3" t="s">
        <v>81</v>
      </c>
      <c r="AL313" s="3" t="s">
        <v>81</v>
      </c>
      <c r="AM313" s="3">
        <v>54.866999999999997</v>
      </c>
      <c r="AN313" s="3">
        <v>0</v>
      </c>
      <c r="AO313" s="3" t="s">
        <v>81</v>
      </c>
      <c r="AP313" s="3" t="s">
        <v>81</v>
      </c>
      <c r="AQ313" s="3" t="s">
        <v>81</v>
      </c>
      <c r="AR313" s="3" t="s">
        <v>81</v>
      </c>
      <c r="AS313" s="3" t="s">
        <v>81</v>
      </c>
      <c r="AT313" s="3" t="s">
        <v>81</v>
      </c>
      <c r="AU313" s="3" t="s">
        <v>81</v>
      </c>
      <c r="AV313" s="3" t="s">
        <v>81</v>
      </c>
      <c r="AW313" s="3" t="s">
        <v>81</v>
      </c>
      <c r="AX313" s="3" t="s">
        <v>81</v>
      </c>
      <c r="AY313" s="3" t="s">
        <v>81</v>
      </c>
      <c r="AZ313" s="3" t="s">
        <v>81</v>
      </c>
      <c r="BA313" s="3" t="s">
        <v>81</v>
      </c>
      <c r="BB313" s="3" t="s">
        <v>81</v>
      </c>
      <c r="BC313" s="3" t="s">
        <v>81</v>
      </c>
      <c r="BD313" s="3" t="s">
        <v>81</v>
      </c>
      <c r="BE313" s="3" t="s">
        <v>81</v>
      </c>
      <c r="BF313" s="3" t="s">
        <v>81</v>
      </c>
      <c r="BG313" s="3" t="s">
        <v>81</v>
      </c>
      <c r="BH313" s="3" t="s">
        <v>81</v>
      </c>
      <c r="BI313" s="3" t="s">
        <v>84</v>
      </c>
      <c r="BJ313" s="3" t="s">
        <v>84</v>
      </c>
      <c r="BK313" s="3" t="s">
        <v>82</v>
      </c>
      <c r="BL313" s="3" t="s">
        <v>84</v>
      </c>
      <c r="BM313" s="3" t="s">
        <v>84</v>
      </c>
      <c r="BN313" s="3" t="s">
        <v>82</v>
      </c>
      <c r="BO313" s="3" t="s">
        <v>83</v>
      </c>
      <c r="BP313" s="3" t="s">
        <v>528</v>
      </c>
      <c r="BQ313" s="3" t="s">
        <v>528</v>
      </c>
      <c r="BR313" s="3" t="s">
        <v>528</v>
      </c>
      <c r="BS313" s="3" t="s">
        <v>528</v>
      </c>
      <c r="BT313" s="3" t="s">
        <v>87</v>
      </c>
      <c r="BU313" s="3" t="s">
        <v>129</v>
      </c>
      <c r="BV313" s="3" t="s">
        <v>82</v>
      </c>
      <c r="BW313" s="3" t="s">
        <v>91</v>
      </c>
      <c r="BX313" s="3" t="s">
        <v>84</v>
      </c>
      <c r="BY313" s="3" t="s">
        <v>261</v>
      </c>
      <c r="BZ313" s="3" t="s">
        <v>93</v>
      </c>
      <c r="CA313" s="3" t="s">
        <v>103</v>
      </c>
      <c r="CB313" s="3" t="s">
        <v>84</v>
      </c>
      <c r="CC313" s="3"/>
      <c r="CD313" s="9">
        <v>8</v>
      </c>
      <c r="CE313" s="9"/>
      <c r="CF313" s="4"/>
      <c r="CG313" s="4"/>
      <c r="CH313" s="4"/>
    </row>
    <row r="314" spans="1:86" ht="13" x14ac:dyDescent="0.15">
      <c r="A314" s="9" t="s">
        <v>564</v>
      </c>
      <c r="B314" s="9" t="s">
        <v>562</v>
      </c>
      <c r="C314" s="9" t="s">
        <v>556</v>
      </c>
      <c r="E314">
        <v>9</v>
      </c>
      <c r="F314">
        <f>SUM(H314,J314,L314,N314,P314,)</f>
        <v>570.99</v>
      </c>
      <c r="G314" s="3">
        <v>4</v>
      </c>
      <c r="H314">
        <f>SUM(69.95+19.9+20.18+30.9)</f>
        <v>140.93</v>
      </c>
      <c r="I314">
        <f>SUM(20.8+42.2+10.3)</f>
        <v>73.3</v>
      </c>
      <c r="J314">
        <f>SUM(25.82+41.28+47.85)</f>
        <v>114.94999999999999</v>
      </c>
      <c r="K314">
        <f>SUM(78.95)</f>
        <v>78.95</v>
      </c>
      <c r="L314">
        <f>SUM(29.4+24.57+59.14)</f>
        <v>113.11</v>
      </c>
      <c r="M314">
        <f>SUM(6.14+65.5)</f>
        <v>71.64</v>
      </c>
      <c r="N314">
        <f>SUM(140.91)</f>
        <v>140.91</v>
      </c>
      <c r="O314">
        <v>65.61</v>
      </c>
      <c r="P314">
        <v>61.09</v>
      </c>
      <c r="Q314">
        <f>SUM(S314,U314,W314,Y314,AA314)</f>
        <v>577.51</v>
      </c>
      <c r="R314" s="3">
        <v>4</v>
      </c>
      <c r="S314">
        <v>132.38</v>
      </c>
      <c r="T314">
        <f>SUM(44.44+19.63+23.33)</f>
        <v>87.399999999999991</v>
      </c>
      <c r="U314">
        <f>SUM(40.4+38.06+40.75+20.49)</f>
        <v>139.70000000000002</v>
      </c>
      <c r="V314">
        <v>78.98</v>
      </c>
      <c r="W314">
        <v>120.77</v>
      </c>
      <c r="X314">
        <v>77.67</v>
      </c>
      <c r="Y314">
        <v>104.38</v>
      </c>
      <c r="Z314">
        <v>44.11</v>
      </c>
      <c r="AA314">
        <v>80.28</v>
      </c>
      <c r="AB314">
        <f>SUM(AD314,AF314,AH314,AJ314,AL314)</f>
        <v>408.38</v>
      </c>
      <c r="AC314">
        <v>5</v>
      </c>
      <c r="AD314">
        <v>119.35</v>
      </c>
      <c r="AE314">
        <f>SUM(14.86+21.22+39.99+12.23)</f>
        <v>88.3</v>
      </c>
      <c r="AF314">
        <f>SUM(23.84+29+30.21+39.01)</f>
        <v>122.06</v>
      </c>
      <c r="AG314">
        <f>SUM(31.83+23.37+21.26)</f>
        <v>76.460000000000008</v>
      </c>
      <c r="AH314">
        <f>SUM(19.26+26.29+21.99)</f>
        <v>67.539999999999992</v>
      </c>
      <c r="AI314">
        <v>11.5</v>
      </c>
      <c r="AJ314">
        <v>52.98</v>
      </c>
      <c r="AK314">
        <v>8.5500000000000007</v>
      </c>
      <c r="AL314">
        <v>46.45</v>
      </c>
      <c r="AM314" s="3" t="s">
        <v>81</v>
      </c>
      <c r="AN314" s="3" t="s">
        <v>81</v>
      </c>
      <c r="AO314" s="3" t="s">
        <v>81</v>
      </c>
      <c r="AP314" s="3" t="s">
        <v>81</v>
      </c>
      <c r="AQ314" s="3" t="s">
        <v>81</v>
      </c>
      <c r="AR314" s="3" t="s">
        <v>81</v>
      </c>
      <c r="AS314" s="3" t="s">
        <v>81</v>
      </c>
      <c r="AT314" s="3" t="s">
        <v>81</v>
      </c>
      <c r="AU314" s="3" t="s">
        <v>81</v>
      </c>
      <c r="AV314" s="3" t="s">
        <v>81</v>
      </c>
      <c r="AW314" s="3" t="s">
        <v>81</v>
      </c>
      <c r="AX314" s="3" t="s">
        <v>81</v>
      </c>
      <c r="AY314" s="3" t="s">
        <v>81</v>
      </c>
      <c r="AZ314" s="3" t="s">
        <v>81</v>
      </c>
      <c r="BA314" s="3" t="s">
        <v>81</v>
      </c>
      <c r="BB314" s="3" t="s">
        <v>81</v>
      </c>
      <c r="BC314" s="3" t="s">
        <v>81</v>
      </c>
      <c r="BD314" s="3" t="s">
        <v>81</v>
      </c>
      <c r="BF314" s="3" t="s">
        <v>81</v>
      </c>
      <c r="BG314" s="3" t="s">
        <v>81</v>
      </c>
      <c r="BH314" s="3" t="s">
        <v>81</v>
      </c>
      <c r="BI314" s="3" t="s">
        <v>84</v>
      </c>
      <c r="BJ314" s="3" t="s">
        <v>82</v>
      </c>
      <c r="BK314" s="3" t="s">
        <v>83</v>
      </c>
      <c r="BL314" s="3" t="s">
        <v>84</v>
      </c>
      <c r="BM314" s="3" t="s">
        <v>84</v>
      </c>
      <c r="BN314" s="3" t="s">
        <v>82</v>
      </c>
      <c r="BO314" s="3"/>
      <c r="BV314" s="3"/>
      <c r="BW314" s="3"/>
      <c r="BX314" s="3"/>
      <c r="BZ314" s="9" t="s">
        <v>93</v>
      </c>
      <c r="CB314" s="9" t="s">
        <v>84</v>
      </c>
      <c r="CD314">
        <v>45</v>
      </c>
      <c r="CG314">
        <v>45</v>
      </c>
    </row>
    <row r="315" spans="1:86" ht="13" hidden="1" x14ac:dyDescent="0.15">
      <c r="A315" s="9" t="s">
        <v>558</v>
      </c>
      <c r="B315" s="9" t="s">
        <v>559</v>
      </c>
      <c r="C315" s="9" t="s">
        <v>559</v>
      </c>
      <c r="E315">
        <v>3</v>
      </c>
      <c r="F315">
        <v>40.53</v>
      </c>
      <c r="G315" s="3">
        <v>1</v>
      </c>
      <c r="H315">
        <v>15.98</v>
      </c>
      <c r="I315">
        <v>24.38</v>
      </c>
      <c r="J315">
        <v>23.33</v>
      </c>
      <c r="K315" s="3" t="s">
        <v>81</v>
      </c>
      <c r="L315" s="3" t="s">
        <v>81</v>
      </c>
      <c r="M315" s="3" t="s">
        <v>81</v>
      </c>
      <c r="N315" s="3" t="s">
        <v>81</v>
      </c>
      <c r="O315" s="3" t="s">
        <v>81</v>
      </c>
      <c r="P315" s="3" t="s">
        <v>81</v>
      </c>
      <c r="Q315" s="3">
        <v>48.13</v>
      </c>
      <c r="R315" s="3">
        <v>2</v>
      </c>
      <c r="S315">
        <v>19.12</v>
      </c>
      <c r="T315" s="3">
        <v>10.43</v>
      </c>
      <c r="U315" s="3" t="s">
        <v>81</v>
      </c>
      <c r="V315" s="3">
        <v>70.33</v>
      </c>
      <c r="W315" s="3">
        <v>20.56</v>
      </c>
      <c r="X315" s="3" t="s">
        <v>81</v>
      </c>
      <c r="Y315" s="3" t="s">
        <v>81</v>
      </c>
      <c r="Z315" s="3" t="s">
        <v>81</v>
      </c>
      <c r="AA315" s="3" t="s">
        <v>81</v>
      </c>
      <c r="AB315" s="3">
        <v>39.21</v>
      </c>
      <c r="AC315">
        <v>0</v>
      </c>
      <c r="AD315" s="3" t="s">
        <v>81</v>
      </c>
      <c r="AE315" s="3" t="s">
        <v>81</v>
      </c>
      <c r="AF315" s="3" t="s">
        <v>81</v>
      </c>
      <c r="AG315" s="3" t="s">
        <v>81</v>
      </c>
      <c r="AH315" s="3" t="s">
        <v>81</v>
      </c>
      <c r="AI315" s="3" t="s">
        <v>81</v>
      </c>
      <c r="AJ315" s="3" t="s">
        <v>81</v>
      </c>
      <c r="AK315" s="3" t="s">
        <v>81</v>
      </c>
      <c r="AL315" s="3" t="s">
        <v>81</v>
      </c>
      <c r="AM315" s="3" t="s">
        <v>81</v>
      </c>
      <c r="AN315" s="3" t="s">
        <v>81</v>
      </c>
      <c r="AO315" s="3" t="s">
        <v>81</v>
      </c>
      <c r="AP315" s="3" t="s">
        <v>81</v>
      </c>
      <c r="AQ315" s="3" t="s">
        <v>81</v>
      </c>
      <c r="AR315" s="3" t="s">
        <v>81</v>
      </c>
      <c r="AS315" s="3" t="s">
        <v>81</v>
      </c>
      <c r="AT315" s="3" t="s">
        <v>81</v>
      </c>
      <c r="AU315" s="3" t="s">
        <v>81</v>
      </c>
      <c r="AV315" s="3" t="s">
        <v>81</v>
      </c>
      <c r="AW315" s="3" t="s">
        <v>81</v>
      </c>
      <c r="AX315" s="3" t="s">
        <v>81</v>
      </c>
      <c r="AY315" s="3" t="s">
        <v>81</v>
      </c>
      <c r="AZ315" s="3" t="s">
        <v>81</v>
      </c>
      <c r="BA315" s="3" t="s">
        <v>81</v>
      </c>
      <c r="BB315" s="3" t="s">
        <v>81</v>
      </c>
      <c r="BC315" s="3" t="s">
        <v>81</v>
      </c>
      <c r="BD315" s="3" t="s">
        <v>81</v>
      </c>
      <c r="BE315" s="3" t="s">
        <v>81</v>
      </c>
      <c r="BF315" s="3" t="s">
        <v>81</v>
      </c>
      <c r="BG315" s="3" t="s">
        <v>81</v>
      </c>
      <c r="BH315" s="3" t="s">
        <v>81</v>
      </c>
      <c r="BI315" s="3" t="s">
        <v>84</v>
      </c>
      <c r="BJ315" s="3" t="s">
        <v>82</v>
      </c>
      <c r="BK315" s="3" t="s">
        <v>83</v>
      </c>
      <c r="BL315" s="3" t="s">
        <v>84</v>
      </c>
      <c r="BM315" s="3" t="s">
        <v>84</v>
      </c>
      <c r="BN315" s="3" t="s">
        <v>82</v>
      </c>
      <c r="BO315" s="3"/>
      <c r="BV315" s="3"/>
      <c r="BW315" s="3"/>
      <c r="BX315" s="3"/>
      <c r="BZ315" s="9" t="s">
        <v>93</v>
      </c>
      <c r="CB315" s="9"/>
      <c r="CD315">
        <v>7</v>
      </c>
      <c r="CG315">
        <v>7</v>
      </c>
    </row>
    <row r="316" spans="1:86" ht="13" hidden="1" x14ac:dyDescent="0.15">
      <c r="A316" s="9" t="s">
        <v>560</v>
      </c>
      <c r="B316" s="9" t="s">
        <v>559</v>
      </c>
      <c r="C316" s="9" t="s">
        <v>559</v>
      </c>
      <c r="E316">
        <v>4</v>
      </c>
      <c r="F316">
        <v>64.47</v>
      </c>
      <c r="G316" s="3">
        <v>3</v>
      </c>
      <c r="H316">
        <v>43.37</v>
      </c>
      <c r="I316">
        <v>16.239999999999998</v>
      </c>
      <c r="J316">
        <v>7.74</v>
      </c>
      <c r="K316">
        <v>5.53</v>
      </c>
      <c r="L316" s="3">
        <v>1.86</v>
      </c>
      <c r="M316">
        <v>7.94</v>
      </c>
      <c r="N316">
        <v>8.5299999999999994</v>
      </c>
      <c r="O316" s="3" t="s">
        <v>81</v>
      </c>
      <c r="P316" s="3" t="s">
        <v>81</v>
      </c>
      <c r="Q316" s="3">
        <v>47.81</v>
      </c>
      <c r="R316" s="3">
        <v>2</v>
      </c>
      <c r="S316" s="3">
        <v>35.840000000000003</v>
      </c>
      <c r="T316" s="3">
        <v>18.89</v>
      </c>
      <c r="U316" s="3">
        <v>12.41</v>
      </c>
      <c r="V316" s="3">
        <v>9.81</v>
      </c>
      <c r="W316" s="3">
        <v>6.19</v>
      </c>
      <c r="X316" s="3" t="s">
        <v>81</v>
      </c>
      <c r="Y316" s="3" t="s">
        <v>81</v>
      </c>
      <c r="Z316" s="3" t="s">
        <v>81</v>
      </c>
      <c r="AA316" s="3" t="s">
        <v>81</v>
      </c>
      <c r="AB316">
        <f>SUM(AD316,AF316,AH316)</f>
        <v>60.629999999999995</v>
      </c>
      <c r="AC316">
        <v>2</v>
      </c>
      <c r="AD316">
        <v>29.35</v>
      </c>
      <c r="AE316">
        <v>18.670000000000002</v>
      </c>
      <c r="AF316">
        <v>23.45</v>
      </c>
      <c r="AG316">
        <v>8.2100000000000009</v>
      </c>
      <c r="AH316">
        <v>7.83</v>
      </c>
      <c r="AI316" s="3" t="s">
        <v>81</v>
      </c>
      <c r="AJ316" s="3" t="s">
        <v>81</v>
      </c>
      <c r="AK316" s="3" t="s">
        <v>81</v>
      </c>
      <c r="AL316" s="3" t="s">
        <v>81</v>
      </c>
      <c r="AM316" s="3">
        <v>62.36</v>
      </c>
      <c r="AN316" s="3">
        <v>3</v>
      </c>
      <c r="AO316" s="3">
        <v>29.12</v>
      </c>
      <c r="AP316" s="3">
        <v>19.34</v>
      </c>
      <c r="AQ316" s="3">
        <v>14.6</v>
      </c>
      <c r="AR316" s="3">
        <v>11.5</v>
      </c>
      <c r="AS316" s="3">
        <v>3.23</v>
      </c>
      <c r="AT316" s="3">
        <v>5.45</v>
      </c>
      <c r="AU316" s="3">
        <v>3.23</v>
      </c>
      <c r="AV316" s="3" t="s">
        <v>81</v>
      </c>
      <c r="AW316" s="3" t="s">
        <v>81</v>
      </c>
      <c r="AX316" s="3" t="s">
        <v>81</v>
      </c>
      <c r="AY316" s="3" t="s">
        <v>81</v>
      </c>
      <c r="AZ316" s="3" t="s">
        <v>81</v>
      </c>
      <c r="BA316" s="3" t="s">
        <v>81</v>
      </c>
      <c r="BB316" s="3" t="s">
        <v>81</v>
      </c>
      <c r="BC316" s="3" t="s">
        <v>81</v>
      </c>
      <c r="BD316" s="3" t="s">
        <v>81</v>
      </c>
      <c r="BE316" s="3" t="s">
        <v>81</v>
      </c>
      <c r="BF316" s="3" t="s">
        <v>81</v>
      </c>
      <c r="BG316" s="3" t="s">
        <v>81</v>
      </c>
      <c r="BH316" s="3" t="s">
        <v>81</v>
      </c>
      <c r="BI316" s="3" t="s">
        <v>84</v>
      </c>
      <c r="BJ316" s="3" t="s">
        <v>82</v>
      </c>
      <c r="BK316" s="3" t="s">
        <v>83</v>
      </c>
      <c r="BL316" s="3" t="s">
        <v>84</v>
      </c>
      <c r="BM316" s="3" t="s">
        <v>84</v>
      </c>
      <c r="BN316" s="3" t="s">
        <v>82</v>
      </c>
      <c r="BO316" s="3"/>
      <c r="BV316" s="3"/>
      <c r="BW316" s="3"/>
      <c r="BX316" s="3"/>
      <c r="BZ316" s="9" t="s">
        <v>93</v>
      </c>
      <c r="CB316" s="9"/>
      <c r="CD316">
        <v>14</v>
      </c>
      <c r="CG316">
        <v>14</v>
      </c>
    </row>
    <row r="317" spans="1:86" ht="13" hidden="1" x14ac:dyDescent="0.15">
      <c r="BI317" s="3"/>
      <c r="BJ317" s="3"/>
      <c r="BK317" s="3"/>
      <c r="BL317" s="3"/>
      <c r="BM317" s="3"/>
      <c r="BN317" s="3"/>
      <c r="BO317" s="3"/>
      <c r="BV317" s="3"/>
      <c r="BW317" s="3"/>
      <c r="BX317" s="3"/>
    </row>
    <row r="318" spans="1:86" ht="13" hidden="1" x14ac:dyDescent="0.15">
      <c r="BI318" s="3"/>
      <c r="BJ318" s="3"/>
      <c r="BK318" s="3"/>
      <c r="BL318" s="3"/>
      <c r="BM318" s="3"/>
      <c r="BN318" s="3"/>
      <c r="BO318" s="3"/>
      <c r="BV318" s="3"/>
      <c r="BW318" s="3"/>
      <c r="BX318" s="3"/>
    </row>
    <row r="319" spans="1:86" ht="13" hidden="1" x14ac:dyDescent="0.15">
      <c r="BI319" s="3"/>
      <c r="BJ319" s="3"/>
      <c r="BK319" s="3"/>
      <c r="BL319" s="3"/>
      <c r="BM319" s="3"/>
      <c r="BN319" s="3"/>
      <c r="BO319" s="3"/>
      <c r="BV319" s="3"/>
      <c r="BW319" s="3"/>
      <c r="BX319" s="3"/>
    </row>
    <row r="320" spans="1:86" ht="13" hidden="1" x14ac:dyDescent="0.15">
      <c r="BI320" s="3"/>
      <c r="BJ320" s="3"/>
      <c r="BK320" s="3"/>
      <c r="BL320" s="3"/>
      <c r="BM320" s="3"/>
      <c r="BN320" s="3"/>
      <c r="BO320" s="3"/>
      <c r="BV320" s="3"/>
      <c r="BW320" s="3"/>
      <c r="BX320" s="3"/>
    </row>
    <row r="321" spans="61:76" ht="13" hidden="1" x14ac:dyDescent="0.15">
      <c r="BI321" s="3"/>
      <c r="BJ321" s="3"/>
      <c r="BK321" s="3"/>
      <c r="BL321" s="3"/>
      <c r="BM321" s="3"/>
      <c r="BN321" s="3"/>
      <c r="BO321" s="3"/>
      <c r="BV321" s="3"/>
      <c r="BW321" s="3"/>
      <c r="BX321" s="3"/>
    </row>
    <row r="322" spans="61:76" ht="13" hidden="1" x14ac:dyDescent="0.15">
      <c r="BI322" s="3"/>
      <c r="BJ322" s="3"/>
      <c r="BK322" s="3"/>
      <c r="BL322" s="3"/>
      <c r="BM322" s="3"/>
      <c r="BN322" s="3"/>
      <c r="BO322" s="3"/>
      <c r="BV322" s="3"/>
      <c r="BW322" s="3"/>
      <c r="BX322" s="3"/>
    </row>
    <row r="323" spans="61:76" ht="13" hidden="1" x14ac:dyDescent="0.15">
      <c r="BI323" s="3"/>
      <c r="BJ323" s="3"/>
      <c r="BK323" s="3"/>
      <c r="BL323" s="3"/>
      <c r="BM323" s="3"/>
      <c r="BN323" s="3"/>
      <c r="BO323" s="3"/>
      <c r="BV323" s="3"/>
      <c r="BW323" s="3"/>
      <c r="BX323" s="3"/>
    </row>
    <row r="324" spans="61:76" ht="13" hidden="1" x14ac:dyDescent="0.15">
      <c r="BI324" s="3"/>
      <c r="BJ324" s="3"/>
      <c r="BK324" s="3"/>
      <c r="BL324" s="3"/>
      <c r="BM324" s="3"/>
      <c r="BN324" s="3"/>
      <c r="BO324" s="3"/>
      <c r="BV324" s="3"/>
      <c r="BW324" s="3"/>
      <c r="BX324" s="3"/>
    </row>
    <row r="325" spans="61:76" ht="13" hidden="1" x14ac:dyDescent="0.15">
      <c r="BI325" s="3"/>
      <c r="BJ325" s="3"/>
      <c r="BK325" s="3"/>
      <c r="BL325" s="3"/>
      <c r="BM325" s="3"/>
      <c r="BN325" s="3"/>
      <c r="BO325" s="3"/>
      <c r="BV325" s="3"/>
      <c r="BW325" s="3"/>
      <c r="BX325" s="3"/>
    </row>
    <row r="326" spans="61:76" ht="13" hidden="1" x14ac:dyDescent="0.15">
      <c r="BI326" s="3"/>
      <c r="BJ326" s="3"/>
      <c r="BK326" s="3"/>
      <c r="BL326" s="3"/>
      <c r="BM326" s="3"/>
      <c r="BN326" s="3"/>
      <c r="BO326" s="3"/>
      <c r="BV326" s="3"/>
      <c r="BW326" s="3"/>
      <c r="BX326" s="3"/>
    </row>
    <row r="327" spans="61:76" ht="13" hidden="1" x14ac:dyDescent="0.15">
      <c r="BI327" s="3"/>
      <c r="BJ327" s="3"/>
      <c r="BK327" s="3"/>
      <c r="BL327" s="3"/>
      <c r="BM327" s="3"/>
      <c r="BN327" s="3"/>
      <c r="BO327" s="3"/>
      <c r="BV327" s="3"/>
      <c r="BW327" s="3"/>
      <c r="BX327" s="3"/>
    </row>
    <row r="328" spans="61:76" ht="13" hidden="1" x14ac:dyDescent="0.15">
      <c r="BI328" s="3"/>
      <c r="BJ328" s="3"/>
      <c r="BK328" s="3"/>
      <c r="BL328" s="3"/>
      <c r="BM328" s="3"/>
      <c r="BN328" s="3"/>
      <c r="BO328" s="3"/>
      <c r="BV328" s="3"/>
      <c r="BW328" s="3"/>
      <c r="BX328" s="3"/>
    </row>
    <row r="329" spans="61:76" ht="13" hidden="1" x14ac:dyDescent="0.15">
      <c r="BI329" s="3"/>
      <c r="BJ329" s="3"/>
      <c r="BK329" s="3"/>
      <c r="BL329" s="3"/>
      <c r="BM329" s="3"/>
      <c r="BN329" s="3"/>
      <c r="BO329" s="3"/>
      <c r="BV329" s="3"/>
      <c r="BW329" s="3"/>
      <c r="BX329" s="3"/>
    </row>
    <row r="330" spans="61:76" ht="13" hidden="1" x14ac:dyDescent="0.15">
      <c r="BI330" s="3"/>
      <c r="BJ330" s="3"/>
      <c r="BK330" s="3"/>
      <c r="BL330" s="3"/>
      <c r="BM330" s="3"/>
      <c r="BN330" s="3"/>
      <c r="BO330" s="3"/>
      <c r="BV330" s="3"/>
      <c r="BW330" s="3"/>
      <c r="BX330" s="3"/>
    </row>
    <row r="331" spans="61:76" ht="13" hidden="1" x14ac:dyDescent="0.15">
      <c r="BI331" s="3"/>
      <c r="BJ331" s="3"/>
      <c r="BK331" s="3"/>
      <c r="BL331" s="3"/>
      <c r="BM331" s="3"/>
      <c r="BN331" s="3"/>
      <c r="BO331" s="3"/>
      <c r="BV331" s="3"/>
      <c r="BW331" s="3"/>
      <c r="BX331" s="3"/>
    </row>
    <row r="332" spans="61:76" ht="13" hidden="1" x14ac:dyDescent="0.15">
      <c r="BI332" s="3"/>
      <c r="BJ332" s="3"/>
      <c r="BK332" s="3"/>
      <c r="BL332" s="3"/>
      <c r="BM332" s="3"/>
      <c r="BN332" s="3"/>
      <c r="BO332" s="3"/>
      <c r="BV332" s="3"/>
      <c r="BW332" s="3"/>
      <c r="BX332" s="3"/>
    </row>
    <row r="333" spans="61:76" ht="13" hidden="1" x14ac:dyDescent="0.15">
      <c r="BI333" s="3"/>
      <c r="BJ333" s="3"/>
      <c r="BK333" s="3"/>
      <c r="BL333" s="3"/>
      <c r="BM333" s="3"/>
      <c r="BN333" s="3"/>
      <c r="BO333" s="3"/>
      <c r="BV333" s="3"/>
      <c r="BW333" s="3"/>
      <c r="BX333" s="3"/>
    </row>
    <row r="334" spans="61:76" ht="13" hidden="1" x14ac:dyDescent="0.15">
      <c r="BI334" s="3"/>
      <c r="BJ334" s="3"/>
      <c r="BK334" s="3"/>
      <c r="BL334" s="3"/>
      <c r="BM334" s="3"/>
      <c r="BN334" s="3"/>
      <c r="BO334" s="3"/>
      <c r="BV334" s="3"/>
      <c r="BW334" s="3"/>
      <c r="BX334" s="3"/>
    </row>
    <row r="335" spans="61:76" ht="13" hidden="1" x14ac:dyDescent="0.15">
      <c r="BI335" s="3"/>
      <c r="BJ335" s="3"/>
      <c r="BK335" s="3"/>
      <c r="BL335" s="3"/>
      <c r="BM335" s="3"/>
      <c r="BN335" s="3"/>
      <c r="BO335" s="3"/>
      <c r="BV335" s="3"/>
      <c r="BW335" s="3"/>
      <c r="BX335" s="3"/>
    </row>
    <row r="336" spans="61:76" ht="13" hidden="1" x14ac:dyDescent="0.15">
      <c r="BI336" s="3"/>
      <c r="BJ336" s="3"/>
      <c r="BK336" s="3"/>
      <c r="BL336" s="3"/>
      <c r="BM336" s="3"/>
      <c r="BN336" s="3"/>
      <c r="BO336" s="3"/>
      <c r="BV336" s="3"/>
      <c r="BW336" s="3"/>
      <c r="BX336" s="3"/>
    </row>
    <row r="337" spans="61:76" ht="13" hidden="1" x14ac:dyDescent="0.15">
      <c r="BI337" s="3"/>
      <c r="BJ337" s="3"/>
      <c r="BK337" s="3"/>
      <c r="BL337" s="3"/>
      <c r="BM337" s="3"/>
      <c r="BN337" s="3"/>
      <c r="BO337" s="3"/>
      <c r="BV337" s="3"/>
      <c r="BW337" s="3"/>
      <c r="BX337" s="3"/>
    </row>
    <row r="338" spans="61:76" ht="13" hidden="1" x14ac:dyDescent="0.15">
      <c r="BI338" s="3"/>
      <c r="BJ338" s="3"/>
      <c r="BK338" s="3"/>
      <c r="BL338" s="3"/>
      <c r="BM338" s="3"/>
      <c r="BN338" s="3"/>
      <c r="BO338" s="3"/>
      <c r="BV338" s="3"/>
      <c r="BW338" s="3"/>
      <c r="BX338" s="3"/>
    </row>
    <row r="339" spans="61:76" ht="13" hidden="1" x14ac:dyDescent="0.15">
      <c r="BI339" s="3"/>
      <c r="BJ339" s="3"/>
      <c r="BK339" s="3"/>
      <c r="BL339" s="3"/>
      <c r="BM339" s="3"/>
      <c r="BN339" s="3"/>
      <c r="BO339" s="3"/>
      <c r="BV339" s="3"/>
      <c r="BW339" s="3"/>
      <c r="BX339" s="3"/>
    </row>
    <row r="340" spans="61:76" ht="13" hidden="1" x14ac:dyDescent="0.15">
      <c r="BI340" s="3"/>
      <c r="BJ340" s="3"/>
      <c r="BK340" s="3"/>
      <c r="BL340" s="3"/>
      <c r="BM340" s="3"/>
      <c r="BN340" s="3"/>
      <c r="BO340" s="3"/>
      <c r="BV340" s="3"/>
      <c r="BW340" s="3"/>
      <c r="BX340" s="3"/>
    </row>
    <row r="341" spans="61:76" ht="13" hidden="1" x14ac:dyDescent="0.15">
      <c r="BI341" s="3"/>
      <c r="BJ341" s="3"/>
      <c r="BK341" s="3"/>
      <c r="BL341" s="3"/>
      <c r="BM341" s="3"/>
      <c r="BN341" s="3"/>
      <c r="BO341" s="3"/>
      <c r="BV341" s="3"/>
      <c r="BW341" s="3"/>
      <c r="BX341" s="3"/>
    </row>
    <row r="342" spans="61:76" ht="13" hidden="1" x14ac:dyDescent="0.15">
      <c r="BI342" s="3"/>
      <c r="BJ342" s="3"/>
      <c r="BK342" s="3"/>
      <c r="BL342" s="3"/>
      <c r="BM342" s="3"/>
      <c r="BN342" s="3"/>
      <c r="BO342" s="3"/>
      <c r="BV342" s="3"/>
      <c r="BW342" s="3"/>
      <c r="BX342" s="3"/>
    </row>
    <row r="343" spans="61:76" ht="13" hidden="1" x14ac:dyDescent="0.15">
      <c r="BI343" s="3"/>
      <c r="BJ343" s="3"/>
      <c r="BK343" s="3"/>
      <c r="BL343" s="3"/>
      <c r="BM343" s="3"/>
      <c r="BN343" s="3"/>
      <c r="BO343" s="3"/>
      <c r="BV343" s="3"/>
      <c r="BW343" s="3"/>
      <c r="BX343" s="3"/>
    </row>
    <row r="344" spans="61:76" ht="13" hidden="1" x14ac:dyDescent="0.15">
      <c r="BI344" s="3"/>
      <c r="BJ344" s="3"/>
      <c r="BK344" s="3"/>
      <c r="BL344" s="3"/>
      <c r="BM344" s="3"/>
      <c r="BN344" s="3"/>
      <c r="BO344" s="3"/>
      <c r="BV344" s="3"/>
      <c r="BW344" s="3"/>
      <c r="BX344" s="3"/>
    </row>
    <row r="345" spans="61:76" ht="13" hidden="1" x14ac:dyDescent="0.15">
      <c r="BI345" s="3"/>
      <c r="BJ345" s="3"/>
      <c r="BK345" s="3"/>
      <c r="BL345" s="3"/>
      <c r="BM345" s="3"/>
      <c r="BN345" s="3"/>
      <c r="BO345" s="3"/>
      <c r="BV345" s="3"/>
      <c r="BW345" s="3"/>
      <c r="BX345" s="3"/>
    </row>
    <row r="346" spans="61:76" ht="13" hidden="1" x14ac:dyDescent="0.15">
      <c r="BI346" s="3"/>
      <c r="BJ346" s="3"/>
      <c r="BK346" s="3"/>
      <c r="BL346" s="3"/>
      <c r="BM346" s="3"/>
      <c r="BN346" s="3"/>
      <c r="BO346" s="3"/>
      <c r="BV346" s="3"/>
      <c r="BW346" s="3"/>
      <c r="BX346" s="3"/>
    </row>
    <row r="347" spans="61:76" ht="13" hidden="1" x14ac:dyDescent="0.15">
      <c r="BI347" s="3"/>
      <c r="BJ347" s="3"/>
      <c r="BK347" s="3"/>
      <c r="BL347" s="3"/>
      <c r="BM347" s="3"/>
      <c r="BN347" s="3"/>
      <c r="BO347" s="3"/>
      <c r="BV347" s="3"/>
      <c r="BW347" s="3"/>
      <c r="BX347" s="3"/>
    </row>
    <row r="348" spans="61:76" ht="13" hidden="1" x14ac:dyDescent="0.15">
      <c r="BI348" s="3"/>
      <c r="BJ348" s="3"/>
      <c r="BK348" s="3"/>
      <c r="BL348" s="3"/>
      <c r="BM348" s="3"/>
      <c r="BN348" s="3"/>
      <c r="BO348" s="3"/>
      <c r="BV348" s="3"/>
      <c r="BW348" s="3"/>
      <c r="BX348" s="3"/>
    </row>
    <row r="349" spans="61:76" ht="13" hidden="1" x14ac:dyDescent="0.15">
      <c r="BI349" s="3"/>
      <c r="BJ349" s="3"/>
      <c r="BK349" s="3"/>
      <c r="BL349" s="3"/>
      <c r="BM349" s="3"/>
      <c r="BN349" s="3"/>
      <c r="BO349" s="3"/>
      <c r="BV349" s="3"/>
      <c r="BW349" s="3"/>
      <c r="BX349" s="3"/>
    </row>
    <row r="350" spans="61:76" ht="13" hidden="1" x14ac:dyDescent="0.15">
      <c r="BI350" s="3"/>
      <c r="BJ350" s="3"/>
      <c r="BK350" s="3"/>
      <c r="BL350" s="3"/>
      <c r="BM350" s="3"/>
      <c r="BN350" s="3"/>
      <c r="BO350" s="3"/>
      <c r="BV350" s="3"/>
      <c r="BW350" s="3"/>
      <c r="BX350" s="3"/>
    </row>
    <row r="351" spans="61:76" ht="13" hidden="1" x14ac:dyDescent="0.15">
      <c r="BI351" s="3"/>
      <c r="BJ351" s="3"/>
      <c r="BK351" s="3"/>
      <c r="BL351" s="3"/>
      <c r="BM351" s="3"/>
      <c r="BN351" s="3"/>
      <c r="BO351" s="3"/>
      <c r="BV351" s="3"/>
      <c r="BW351" s="3"/>
      <c r="BX351" s="3"/>
    </row>
    <row r="352" spans="61:76" ht="13" hidden="1" x14ac:dyDescent="0.15">
      <c r="BI352" s="3"/>
      <c r="BJ352" s="3"/>
      <c r="BK352" s="3"/>
      <c r="BL352" s="3"/>
      <c r="BM352" s="3"/>
      <c r="BN352" s="3"/>
      <c r="BO352" s="3"/>
      <c r="BV352" s="3"/>
      <c r="BW352" s="3"/>
      <c r="BX352" s="3"/>
    </row>
    <row r="353" spans="61:76" ht="13" hidden="1" x14ac:dyDescent="0.15">
      <c r="BI353" s="3"/>
      <c r="BJ353" s="3"/>
      <c r="BK353" s="3"/>
      <c r="BL353" s="3"/>
      <c r="BM353" s="3"/>
      <c r="BN353" s="3"/>
      <c r="BO353" s="3"/>
      <c r="BV353" s="3"/>
      <c r="BW353" s="3"/>
      <c r="BX353" s="3"/>
    </row>
    <row r="354" spans="61:76" ht="13" hidden="1" x14ac:dyDescent="0.15">
      <c r="BI354" s="3"/>
      <c r="BJ354" s="3"/>
      <c r="BK354" s="3"/>
      <c r="BL354" s="3"/>
      <c r="BM354" s="3"/>
      <c r="BN354" s="3"/>
      <c r="BO354" s="3"/>
      <c r="BV354" s="3"/>
      <c r="BW354" s="3"/>
      <c r="BX354" s="3"/>
    </row>
    <row r="355" spans="61:76" ht="13" hidden="1" x14ac:dyDescent="0.15">
      <c r="BI355" s="3"/>
      <c r="BJ355" s="3"/>
      <c r="BK355" s="3"/>
      <c r="BL355" s="3"/>
      <c r="BM355" s="3"/>
      <c r="BN355" s="3"/>
      <c r="BO355" s="3"/>
      <c r="BV355" s="3"/>
      <c r="BW355" s="3"/>
      <c r="BX355" s="3"/>
    </row>
    <row r="356" spans="61:76" ht="13" hidden="1" x14ac:dyDescent="0.15">
      <c r="BI356" s="3"/>
      <c r="BJ356" s="3"/>
      <c r="BK356" s="3"/>
      <c r="BL356" s="3"/>
      <c r="BM356" s="3"/>
      <c r="BN356" s="3"/>
      <c r="BO356" s="3"/>
      <c r="BV356" s="3"/>
      <c r="BW356" s="3"/>
      <c r="BX356" s="3"/>
    </row>
    <row r="357" spans="61:76" ht="13" hidden="1" x14ac:dyDescent="0.15">
      <c r="BI357" s="3"/>
      <c r="BJ357" s="3"/>
      <c r="BK357" s="3"/>
      <c r="BL357" s="3"/>
      <c r="BM357" s="3"/>
      <c r="BN357" s="3"/>
      <c r="BO357" s="3"/>
      <c r="BV357" s="3"/>
      <c r="BW357" s="3"/>
      <c r="BX357" s="3"/>
    </row>
    <row r="358" spans="61:76" ht="13" hidden="1" x14ac:dyDescent="0.15">
      <c r="BI358" s="3"/>
      <c r="BJ358" s="3"/>
      <c r="BK358" s="3"/>
      <c r="BL358" s="3"/>
      <c r="BM358" s="3"/>
      <c r="BN358" s="3"/>
      <c r="BO358" s="3"/>
      <c r="BV358" s="3"/>
      <c r="BW358" s="3"/>
      <c r="BX358" s="3"/>
    </row>
    <row r="359" spans="61:76" ht="13" hidden="1" x14ac:dyDescent="0.15">
      <c r="BI359" s="3"/>
      <c r="BJ359" s="3"/>
      <c r="BK359" s="3"/>
      <c r="BL359" s="3"/>
      <c r="BM359" s="3"/>
      <c r="BN359" s="3"/>
      <c r="BO359" s="3"/>
      <c r="BV359" s="3"/>
      <c r="BW359" s="3"/>
      <c r="BX359" s="3"/>
    </row>
    <row r="360" spans="61:76" ht="13" hidden="1" x14ac:dyDescent="0.15">
      <c r="BI360" s="3"/>
      <c r="BJ360" s="3"/>
      <c r="BK360" s="3"/>
      <c r="BL360" s="3"/>
      <c r="BM360" s="3"/>
      <c r="BN360" s="3"/>
      <c r="BO360" s="3"/>
      <c r="BV360" s="3"/>
      <c r="BW360" s="3"/>
      <c r="BX360" s="3"/>
    </row>
    <row r="361" spans="61:76" ht="13" hidden="1" x14ac:dyDescent="0.15">
      <c r="BI361" s="3"/>
      <c r="BJ361" s="3"/>
      <c r="BK361" s="3"/>
      <c r="BL361" s="3"/>
      <c r="BM361" s="3"/>
      <c r="BN361" s="3"/>
      <c r="BO361" s="3"/>
      <c r="BV361" s="3"/>
      <c r="BW361" s="3"/>
      <c r="BX361" s="3"/>
    </row>
    <row r="362" spans="61:76" ht="13" hidden="1" x14ac:dyDescent="0.15">
      <c r="BI362" s="3"/>
      <c r="BJ362" s="3"/>
      <c r="BK362" s="3"/>
      <c r="BL362" s="3"/>
      <c r="BM362" s="3"/>
      <c r="BN362" s="3"/>
      <c r="BO362" s="3"/>
      <c r="BV362" s="3"/>
      <c r="BW362" s="3"/>
      <c r="BX362" s="3"/>
    </row>
    <row r="363" spans="61:76" ht="13" hidden="1" x14ac:dyDescent="0.15">
      <c r="BI363" s="3"/>
      <c r="BJ363" s="3"/>
      <c r="BK363" s="3"/>
      <c r="BL363" s="3"/>
      <c r="BM363" s="3"/>
      <c r="BN363" s="3"/>
      <c r="BO363" s="3"/>
      <c r="BV363" s="3"/>
      <c r="BW363" s="3"/>
      <c r="BX363" s="3"/>
    </row>
    <row r="364" spans="61:76" ht="13" hidden="1" x14ac:dyDescent="0.15">
      <c r="BI364" s="3"/>
      <c r="BJ364" s="3"/>
      <c r="BK364" s="3"/>
      <c r="BL364" s="3"/>
      <c r="BM364" s="3"/>
      <c r="BN364" s="3"/>
      <c r="BO364" s="3"/>
      <c r="BV364" s="3"/>
      <c r="BW364" s="3"/>
      <c r="BX364" s="3"/>
    </row>
    <row r="365" spans="61:76" ht="13" hidden="1" x14ac:dyDescent="0.15">
      <c r="BI365" s="3"/>
      <c r="BJ365" s="3"/>
      <c r="BK365" s="3"/>
      <c r="BL365" s="3"/>
      <c r="BM365" s="3"/>
      <c r="BN365" s="3"/>
      <c r="BO365" s="3"/>
      <c r="BV365" s="3"/>
      <c r="BW365" s="3"/>
      <c r="BX365" s="3"/>
    </row>
    <row r="366" spans="61:76" ht="13" hidden="1" x14ac:dyDescent="0.15">
      <c r="BI366" s="3"/>
      <c r="BJ366" s="3"/>
      <c r="BK366" s="3"/>
      <c r="BL366" s="3"/>
      <c r="BM366" s="3"/>
      <c r="BN366" s="3"/>
      <c r="BO366" s="3"/>
      <c r="BV366" s="3"/>
      <c r="BW366" s="3"/>
      <c r="BX366" s="3"/>
    </row>
    <row r="367" spans="61:76" ht="13" hidden="1" x14ac:dyDescent="0.15">
      <c r="BI367" s="3"/>
      <c r="BJ367" s="3"/>
      <c r="BK367" s="3"/>
      <c r="BL367" s="3"/>
      <c r="BM367" s="3"/>
      <c r="BN367" s="3"/>
      <c r="BO367" s="3"/>
      <c r="BV367" s="3"/>
      <c r="BW367" s="3"/>
      <c r="BX367" s="3"/>
    </row>
    <row r="368" spans="61:76" ht="13" hidden="1" x14ac:dyDescent="0.15">
      <c r="BI368" s="3"/>
      <c r="BJ368" s="3"/>
      <c r="BK368" s="3"/>
      <c r="BL368" s="3"/>
      <c r="BM368" s="3"/>
      <c r="BN368" s="3"/>
      <c r="BO368" s="3"/>
      <c r="BV368" s="3"/>
      <c r="BW368" s="3"/>
      <c r="BX368" s="3"/>
    </row>
    <row r="369" spans="61:76" ht="13" hidden="1" x14ac:dyDescent="0.15">
      <c r="BI369" s="3"/>
      <c r="BJ369" s="3"/>
      <c r="BK369" s="3"/>
      <c r="BL369" s="3"/>
      <c r="BM369" s="3"/>
      <c r="BN369" s="3"/>
      <c r="BO369" s="3"/>
      <c r="BV369" s="3"/>
      <c r="BW369" s="3"/>
      <c r="BX369" s="3"/>
    </row>
    <row r="370" spans="61:76" ht="13" hidden="1" x14ac:dyDescent="0.15">
      <c r="BI370" s="3"/>
      <c r="BJ370" s="3"/>
      <c r="BK370" s="3"/>
      <c r="BL370" s="3"/>
      <c r="BM370" s="3"/>
      <c r="BN370" s="3"/>
      <c r="BO370" s="3"/>
      <c r="BV370" s="3"/>
      <c r="BW370" s="3"/>
      <c r="BX370" s="3"/>
    </row>
    <row r="371" spans="61:76" ht="13" hidden="1" x14ac:dyDescent="0.15">
      <c r="BI371" s="3"/>
      <c r="BJ371" s="3"/>
      <c r="BK371" s="3"/>
      <c r="BL371" s="3"/>
      <c r="BM371" s="3"/>
      <c r="BN371" s="3"/>
      <c r="BO371" s="3"/>
      <c r="BV371" s="3"/>
      <c r="BW371" s="3"/>
      <c r="BX371" s="3"/>
    </row>
    <row r="372" spans="61:76" ht="13" hidden="1" x14ac:dyDescent="0.15">
      <c r="BI372" s="3"/>
      <c r="BJ372" s="3"/>
      <c r="BK372" s="3"/>
      <c r="BL372" s="3"/>
      <c r="BM372" s="3"/>
      <c r="BN372" s="3"/>
      <c r="BO372" s="3"/>
      <c r="BV372" s="3"/>
      <c r="BW372" s="3"/>
      <c r="BX372" s="3"/>
    </row>
    <row r="373" spans="61:76" ht="13" hidden="1" x14ac:dyDescent="0.15">
      <c r="BI373" s="3"/>
      <c r="BJ373" s="3"/>
      <c r="BK373" s="3"/>
      <c r="BL373" s="3"/>
      <c r="BM373" s="3"/>
      <c r="BN373" s="3"/>
      <c r="BO373" s="3"/>
      <c r="BV373" s="3"/>
      <c r="BW373" s="3"/>
      <c r="BX373" s="3"/>
    </row>
    <row r="374" spans="61:76" ht="13" hidden="1" x14ac:dyDescent="0.15">
      <c r="BI374" s="3"/>
      <c r="BJ374" s="3"/>
      <c r="BK374" s="3"/>
      <c r="BL374" s="3"/>
      <c r="BM374" s="3"/>
      <c r="BN374" s="3"/>
      <c r="BO374" s="3"/>
      <c r="BV374" s="3"/>
      <c r="BW374" s="3"/>
      <c r="BX374" s="3"/>
    </row>
    <row r="375" spans="61:76" ht="13" hidden="1" x14ac:dyDescent="0.15">
      <c r="BI375" s="3"/>
      <c r="BJ375" s="3"/>
      <c r="BK375" s="3"/>
      <c r="BL375" s="3"/>
      <c r="BM375" s="3"/>
      <c r="BN375" s="3"/>
      <c r="BO375" s="3"/>
      <c r="BV375" s="3"/>
      <c r="BW375" s="3"/>
      <c r="BX375" s="3"/>
    </row>
    <row r="376" spans="61:76" ht="13" hidden="1" x14ac:dyDescent="0.15">
      <c r="BI376" s="3"/>
      <c r="BJ376" s="3"/>
      <c r="BK376" s="3"/>
      <c r="BL376" s="3"/>
      <c r="BM376" s="3"/>
      <c r="BN376" s="3"/>
      <c r="BO376" s="3"/>
      <c r="BV376" s="3"/>
      <c r="BW376" s="3"/>
      <c r="BX376" s="3"/>
    </row>
    <row r="377" spans="61:76" ht="13" hidden="1" x14ac:dyDescent="0.15">
      <c r="BI377" s="3"/>
      <c r="BJ377" s="3"/>
      <c r="BK377" s="3"/>
      <c r="BL377" s="3"/>
      <c r="BM377" s="3"/>
      <c r="BN377" s="3"/>
      <c r="BO377" s="3"/>
      <c r="BV377" s="3"/>
      <c r="BW377" s="3"/>
      <c r="BX377" s="3"/>
    </row>
    <row r="378" spans="61:76" ht="13" hidden="1" x14ac:dyDescent="0.15">
      <c r="BI378" s="3"/>
      <c r="BJ378" s="3"/>
      <c r="BK378" s="3"/>
      <c r="BL378" s="3"/>
      <c r="BM378" s="3"/>
      <c r="BN378" s="3"/>
      <c r="BO378" s="3"/>
      <c r="BV378" s="3"/>
      <c r="BW378" s="3"/>
      <c r="BX378" s="3"/>
    </row>
    <row r="379" spans="61:76" ht="13" hidden="1" x14ac:dyDescent="0.15">
      <c r="BI379" s="3"/>
      <c r="BJ379" s="3"/>
      <c r="BK379" s="3"/>
      <c r="BL379" s="3"/>
      <c r="BM379" s="3"/>
      <c r="BN379" s="3"/>
      <c r="BO379" s="3"/>
      <c r="BV379" s="3"/>
      <c r="BW379" s="3"/>
      <c r="BX379" s="3"/>
    </row>
    <row r="380" spans="61:76" ht="13" hidden="1" x14ac:dyDescent="0.15">
      <c r="BI380" s="3"/>
      <c r="BJ380" s="3"/>
      <c r="BK380" s="3"/>
      <c r="BL380" s="3"/>
      <c r="BM380" s="3"/>
      <c r="BN380" s="3"/>
      <c r="BO380" s="3"/>
      <c r="BV380" s="3"/>
      <c r="BW380" s="3"/>
      <c r="BX380" s="3"/>
    </row>
    <row r="381" spans="61:76" ht="13" hidden="1" x14ac:dyDescent="0.15">
      <c r="BI381" s="3"/>
      <c r="BJ381" s="3"/>
      <c r="BK381" s="3"/>
      <c r="BL381" s="3"/>
      <c r="BM381" s="3"/>
      <c r="BN381" s="3"/>
      <c r="BO381" s="3"/>
      <c r="BV381" s="3"/>
      <c r="BW381" s="3"/>
      <c r="BX381" s="3"/>
    </row>
    <row r="382" spans="61:76" ht="13" hidden="1" x14ac:dyDescent="0.15">
      <c r="BI382" s="3"/>
      <c r="BJ382" s="3"/>
      <c r="BK382" s="3"/>
      <c r="BL382" s="3"/>
      <c r="BM382" s="3"/>
      <c r="BN382" s="3"/>
      <c r="BO382" s="3"/>
      <c r="BV382" s="3"/>
      <c r="BW382" s="3"/>
      <c r="BX382" s="3"/>
    </row>
    <row r="383" spans="61:76" ht="13" hidden="1" x14ac:dyDescent="0.15">
      <c r="BI383" s="3"/>
      <c r="BJ383" s="3"/>
      <c r="BK383" s="3"/>
      <c r="BL383" s="3"/>
      <c r="BM383" s="3"/>
      <c r="BN383" s="3"/>
      <c r="BO383" s="3"/>
      <c r="BV383" s="3"/>
      <c r="BW383" s="3"/>
      <c r="BX383" s="3"/>
    </row>
    <row r="384" spans="61:76" ht="13" hidden="1" x14ac:dyDescent="0.15">
      <c r="BI384" s="3"/>
      <c r="BJ384" s="3"/>
      <c r="BK384" s="3"/>
      <c r="BL384" s="3"/>
      <c r="BM384" s="3"/>
      <c r="BN384" s="3"/>
      <c r="BO384" s="3"/>
      <c r="BV384" s="3"/>
      <c r="BW384" s="3"/>
      <c r="BX384" s="3"/>
    </row>
    <row r="385" spans="61:76" ht="13" hidden="1" x14ac:dyDescent="0.15">
      <c r="BI385" s="3"/>
      <c r="BJ385" s="3"/>
      <c r="BK385" s="3"/>
      <c r="BL385" s="3"/>
      <c r="BM385" s="3"/>
      <c r="BN385" s="3"/>
      <c r="BO385" s="3"/>
      <c r="BV385" s="3"/>
      <c r="BW385" s="3"/>
      <c r="BX385" s="3"/>
    </row>
    <row r="386" spans="61:76" ht="13" hidden="1" x14ac:dyDescent="0.15">
      <c r="BI386" s="3"/>
      <c r="BJ386" s="3"/>
      <c r="BK386" s="3"/>
      <c r="BL386" s="3"/>
      <c r="BM386" s="3"/>
      <c r="BN386" s="3"/>
      <c r="BO386" s="3"/>
      <c r="BV386" s="3"/>
      <c r="BW386" s="3"/>
      <c r="BX386" s="3"/>
    </row>
    <row r="387" spans="61:76" ht="13" hidden="1" x14ac:dyDescent="0.15">
      <c r="BI387" s="3"/>
      <c r="BJ387" s="3"/>
      <c r="BK387" s="3"/>
      <c r="BL387" s="3"/>
      <c r="BM387" s="3"/>
      <c r="BN387" s="3"/>
      <c r="BO387" s="3"/>
      <c r="BV387" s="3"/>
      <c r="BW387" s="3"/>
      <c r="BX387" s="3"/>
    </row>
    <row r="388" spans="61:76" ht="13" hidden="1" x14ac:dyDescent="0.15">
      <c r="BI388" s="3"/>
      <c r="BJ388" s="3"/>
      <c r="BK388" s="3"/>
      <c r="BL388" s="3"/>
      <c r="BM388" s="3"/>
      <c r="BN388" s="3"/>
      <c r="BO388" s="3"/>
      <c r="BV388" s="3"/>
      <c r="BW388" s="3"/>
      <c r="BX388" s="3"/>
    </row>
    <row r="389" spans="61:76" ht="13" hidden="1" x14ac:dyDescent="0.15">
      <c r="BI389" s="3"/>
      <c r="BJ389" s="3"/>
      <c r="BK389" s="3"/>
      <c r="BL389" s="3"/>
      <c r="BM389" s="3"/>
      <c r="BN389" s="3"/>
      <c r="BO389" s="3"/>
      <c r="BV389" s="3"/>
      <c r="BW389" s="3"/>
      <c r="BX389" s="3"/>
    </row>
    <row r="390" spans="61:76" ht="13" hidden="1" x14ac:dyDescent="0.15">
      <c r="BI390" s="3"/>
      <c r="BJ390" s="3"/>
      <c r="BK390" s="3"/>
      <c r="BL390" s="3"/>
      <c r="BM390" s="3"/>
      <c r="BN390" s="3"/>
      <c r="BO390" s="3"/>
      <c r="BV390" s="3"/>
      <c r="BW390" s="3"/>
      <c r="BX390" s="3"/>
    </row>
    <row r="391" spans="61:76" ht="13" hidden="1" x14ac:dyDescent="0.15">
      <c r="BI391" s="3"/>
      <c r="BJ391" s="3"/>
      <c r="BK391" s="3"/>
      <c r="BL391" s="3"/>
      <c r="BM391" s="3"/>
      <c r="BN391" s="3"/>
      <c r="BO391" s="3"/>
      <c r="BV391" s="3"/>
      <c r="BW391" s="3"/>
      <c r="BX391" s="3"/>
    </row>
    <row r="392" spans="61:76" ht="13" hidden="1" x14ac:dyDescent="0.15">
      <c r="BI392" s="3"/>
      <c r="BJ392" s="3"/>
      <c r="BK392" s="3"/>
      <c r="BL392" s="3"/>
      <c r="BM392" s="3"/>
      <c r="BN392" s="3"/>
      <c r="BO392" s="3"/>
      <c r="BV392" s="3"/>
      <c r="BW392" s="3"/>
      <c r="BX392" s="3"/>
    </row>
    <row r="393" spans="61:76" ht="13" hidden="1" x14ac:dyDescent="0.15">
      <c r="BI393" s="3"/>
      <c r="BJ393" s="3"/>
      <c r="BK393" s="3"/>
      <c r="BL393" s="3"/>
      <c r="BM393" s="3"/>
      <c r="BN393" s="3"/>
      <c r="BO393" s="3"/>
      <c r="BV393" s="3"/>
      <c r="BW393" s="3"/>
      <c r="BX393" s="3"/>
    </row>
    <row r="394" spans="61:76" ht="13" hidden="1" x14ac:dyDescent="0.15">
      <c r="BI394" s="3"/>
      <c r="BJ394" s="3"/>
      <c r="BK394" s="3"/>
      <c r="BL394" s="3"/>
      <c r="BM394" s="3"/>
      <c r="BN394" s="3"/>
      <c r="BO394" s="3"/>
      <c r="BV394" s="3"/>
      <c r="BW394" s="3"/>
      <c r="BX394" s="3"/>
    </row>
    <row r="395" spans="61:76" ht="13" hidden="1" x14ac:dyDescent="0.15">
      <c r="BI395" s="3"/>
      <c r="BJ395" s="3"/>
      <c r="BK395" s="3"/>
      <c r="BL395" s="3"/>
      <c r="BM395" s="3"/>
      <c r="BN395" s="3"/>
      <c r="BO395" s="3"/>
      <c r="BV395" s="3"/>
      <c r="BW395" s="3"/>
      <c r="BX395" s="3"/>
    </row>
    <row r="396" spans="61:76" ht="13" hidden="1" x14ac:dyDescent="0.15">
      <c r="BI396" s="3"/>
      <c r="BJ396" s="3"/>
      <c r="BK396" s="3"/>
      <c r="BL396" s="3"/>
      <c r="BM396" s="3"/>
      <c r="BN396" s="3"/>
      <c r="BO396" s="3"/>
      <c r="BV396" s="3"/>
      <c r="BW396" s="3"/>
      <c r="BX396" s="3"/>
    </row>
    <row r="397" spans="61:76" ht="13" hidden="1" x14ac:dyDescent="0.15">
      <c r="BI397" s="3"/>
      <c r="BJ397" s="3"/>
      <c r="BK397" s="3"/>
      <c r="BL397" s="3"/>
      <c r="BM397" s="3"/>
      <c r="BN397" s="3"/>
      <c r="BO397" s="3"/>
      <c r="BV397" s="3"/>
      <c r="BW397" s="3"/>
      <c r="BX397" s="3"/>
    </row>
    <row r="398" spans="61:76" ht="13" hidden="1" x14ac:dyDescent="0.15">
      <c r="BI398" s="3"/>
      <c r="BJ398" s="3"/>
      <c r="BK398" s="3"/>
      <c r="BL398" s="3"/>
      <c r="BM398" s="3"/>
      <c r="BN398" s="3"/>
      <c r="BO398" s="3"/>
      <c r="BV398" s="3"/>
      <c r="BW398" s="3"/>
      <c r="BX398" s="3"/>
    </row>
    <row r="399" spans="61:76" ht="13" hidden="1" x14ac:dyDescent="0.15">
      <c r="BI399" s="3"/>
      <c r="BJ399" s="3"/>
      <c r="BK399" s="3"/>
      <c r="BL399" s="3"/>
      <c r="BM399" s="3"/>
      <c r="BN399" s="3"/>
      <c r="BO399" s="3"/>
      <c r="BV399" s="3"/>
      <c r="BW399" s="3"/>
      <c r="BX399" s="3"/>
    </row>
    <row r="400" spans="61:76" ht="13" hidden="1" x14ac:dyDescent="0.15">
      <c r="BI400" s="3"/>
      <c r="BJ400" s="3"/>
      <c r="BK400" s="3"/>
      <c r="BL400" s="3"/>
      <c r="BM400" s="3"/>
      <c r="BN400" s="3"/>
      <c r="BO400" s="3"/>
      <c r="BV400" s="3"/>
      <c r="BW400" s="3"/>
      <c r="BX400" s="3"/>
    </row>
    <row r="401" spans="61:76" ht="13" hidden="1" x14ac:dyDescent="0.15">
      <c r="BI401" s="3"/>
      <c r="BJ401" s="3"/>
      <c r="BK401" s="3"/>
      <c r="BL401" s="3"/>
      <c r="BM401" s="3"/>
      <c r="BN401" s="3"/>
      <c r="BO401" s="3"/>
      <c r="BV401" s="3"/>
      <c r="BW401" s="3"/>
      <c r="BX401" s="3"/>
    </row>
    <row r="402" spans="61:76" ht="13" hidden="1" x14ac:dyDescent="0.15">
      <c r="BI402" s="3"/>
      <c r="BJ402" s="3"/>
      <c r="BK402" s="3"/>
      <c r="BL402" s="3"/>
      <c r="BM402" s="3"/>
      <c r="BN402" s="3"/>
      <c r="BO402" s="3"/>
      <c r="BV402" s="3"/>
      <c r="BW402" s="3"/>
      <c r="BX402" s="3"/>
    </row>
    <row r="403" spans="61:76" ht="13" hidden="1" x14ac:dyDescent="0.15">
      <c r="BI403" s="3"/>
      <c r="BJ403" s="3"/>
      <c r="BK403" s="3"/>
      <c r="BL403" s="3"/>
      <c r="BM403" s="3"/>
      <c r="BN403" s="3"/>
      <c r="BO403" s="3"/>
      <c r="BV403" s="3"/>
      <c r="BW403" s="3"/>
      <c r="BX403" s="3"/>
    </row>
    <row r="404" spans="61:76" ht="13" hidden="1" x14ac:dyDescent="0.15">
      <c r="BI404" s="3"/>
      <c r="BJ404" s="3"/>
      <c r="BK404" s="3"/>
      <c r="BL404" s="3"/>
      <c r="BM404" s="3"/>
      <c r="BN404" s="3"/>
      <c r="BO404" s="3"/>
      <c r="BV404" s="3"/>
      <c r="BW404" s="3"/>
      <c r="BX404" s="3"/>
    </row>
    <row r="405" spans="61:76" ht="13" hidden="1" x14ac:dyDescent="0.15">
      <c r="BI405" s="3"/>
      <c r="BJ405" s="3"/>
      <c r="BK405" s="3"/>
      <c r="BL405" s="3"/>
      <c r="BM405" s="3"/>
      <c r="BN405" s="3"/>
      <c r="BO405" s="3"/>
      <c r="BV405" s="3"/>
      <c r="BW405" s="3"/>
      <c r="BX405" s="3"/>
    </row>
    <row r="406" spans="61:76" ht="13" hidden="1" x14ac:dyDescent="0.15">
      <c r="BI406" s="3"/>
      <c r="BJ406" s="3"/>
      <c r="BK406" s="3"/>
      <c r="BL406" s="3"/>
      <c r="BM406" s="3"/>
      <c r="BN406" s="3"/>
      <c r="BO406" s="3"/>
      <c r="BV406" s="3"/>
      <c r="BW406" s="3"/>
      <c r="BX406" s="3"/>
    </row>
    <row r="407" spans="61:76" ht="13" hidden="1" x14ac:dyDescent="0.15">
      <c r="BI407" s="3"/>
      <c r="BJ407" s="3"/>
      <c r="BK407" s="3"/>
      <c r="BL407" s="3"/>
      <c r="BM407" s="3"/>
      <c r="BN407" s="3"/>
      <c r="BO407" s="3"/>
      <c r="BV407" s="3"/>
      <c r="BW407" s="3"/>
      <c r="BX407" s="3"/>
    </row>
    <row r="408" spans="61:76" ht="13" hidden="1" x14ac:dyDescent="0.15">
      <c r="BI408" s="3"/>
      <c r="BJ408" s="3"/>
      <c r="BK408" s="3"/>
      <c r="BL408" s="3"/>
      <c r="BM408" s="3"/>
      <c r="BN408" s="3"/>
      <c r="BO408" s="3"/>
      <c r="BV408" s="3"/>
      <c r="BW408" s="3"/>
      <c r="BX408" s="3"/>
    </row>
    <row r="409" spans="61:76" ht="13" hidden="1" x14ac:dyDescent="0.15">
      <c r="BI409" s="3"/>
      <c r="BJ409" s="3"/>
      <c r="BK409" s="3"/>
      <c r="BL409" s="3"/>
      <c r="BM409" s="3"/>
      <c r="BN409" s="3"/>
      <c r="BO409" s="3"/>
      <c r="BV409" s="3"/>
      <c r="BW409" s="3"/>
      <c r="BX409" s="3"/>
    </row>
    <row r="410" spans="61:76" ht="13" hidden="1" x14ac:dyDescent="0.15">
      <c r="BI410" s="3"/>
      <c r="BJ410" s="3"/>
      <c r="BK410" s="3"/>
      <c r="BL410" s="3"/>
      <c r="BM410" s="3"/>
      <c r="BN410" s="3"/>
      <c r="BO410" s="3"/>
      <c r="BV410" s="3"/>
      <c r="BW410" s="3"/>
      <c r="BX410" s="3"/>
    </row>
    <row r="411" spans="61:76" ht="13" hidden="1" x14ac:dyDescent="0.15">
      <c r="BI411" s="3"/>
      <c r="BJ411" s="3"/>
      <c r="BK411" s="3"/>
      <c r="BL411" s="3"/>
      <c r="BM411" s="3"/>
      <c r="BN411" s="3"/>
      <c r="BO411" s="3"/>
      <c r="BV411" s="3"/>
      <c r="BW411" s="3"/>
      <c r="BX411" s="3"/>
    </row>
    <row r="412" spans="61:76" ht="13" hidden="1" x14ac:dyDescent="0.15">
      <c r="BI412" s="3"/>
      <c r="BJ412" s="3"/>
      <c r="BK412" s="3"/>
      <c r="BL412" s="3"/>
      <c r="BM412" s="3"/>
      <c r="BN412" s="3"/>
      <c r="BO412" s="3"/>
      <c r="BV412" s="3"/>
      <c r="BW412" s="3"/>
      <c r="BX412" s="3"/>
    </row>
    <row r="413" spans="61:76" ht="13" hidden="1" x14ac:dyDescent="0.15">
      <c r="BI413" s="3"/>
      <c r="BJ413" s="3"/>
      <c r="BK413" s="3"/>
      <c r="BL413" s="3"/>
      <c r="BM413" s="3"/>
      <c r="BN413" s="3"/>
      <c r="BO413" s="3"/>
      <c r="BV413" s="3"/>
      <c r="BW413" s="3"/>
      <c r="BX413" s="3"/>
    </row>
    <row r="414" spans="61:76" ht="13" hidden="1" x14ac:dyDescent="0.15">
      <c r="BI414" s="3"/>
      <c r="BJ414" s="3"/>
      <c r="BK414" s="3"/>
      <c r="BL414" s="3"/>
      <c r="BM414" s="3"/>
      <c r="BN414" s="3"/>
      <c r="BO414" s="3"/>
      <c r="BV414" s="3"/>
      <c r="BW414" s="3"/>
      <c r="BX414" s="3"/>
    </row>
    <row r="415" spans="61:76" ht="13" hidden="1" x14ac:dyDescent="0.15">
      <c r="BI415" s="3"/>
      <c r="BJ415" s="3"/>
      <c r="BK415" s="3"/>
      <c r="BL415" s="3"/>
      <c r="BM415" s="3"/>
      <c r="BN415" s="3"/>
      <c r="BO415" s="3"/>
      <c r="BV415" s="3"/>
      <c r="BW415" s="3"/>
      <c r="BX415" s="3"/>
    </row>
    <row r="416" spans="61:76" ht="13" hidden="1" x14ac:dyDescent="0.15">
      <c r="BI416" s="3"/>
      <c r="BJ416" s="3"/>
      <c r="BK416" s="3"/>
      <c r="BL416" s="3"/>
      <c r="BM416" s="3"/>
      <c r="BN416" s="3"/>
      <c r="BO416" s="3"/>
      <c r="BV416" s="3"/>
      <c r="BW416" s="3"/>
      <c r="BX416" s="3"/>
    </row>
    <row r="417" spans="61:76" ht="13" hidden="1" x14ac:dyDescent="0.15">
      <c r="BI417" s="3"/>
      <c r="BJ417" s="3"/>
      <c r="BK417" s="3"/>
      <c r="BL417" s="3"/>
      <c r="BM417" s="3"/>
      <c r="BN417" s="3"/>
      <c r="BO417" s="3"/>
      <c r="BV417" s="3"/>
      <c r="BW417" s="3"/>
      <c r="BX417" s="3"/>
    </row>
    <row r="418" spans="61:76" ht="13" hidden="1" x14ac:dyDescent="0.15">
      <c r="BI418" s="3"/>
      <c r="BJ418" s="3"/>
      <c r="BK418" s="3"/>
      <c r="BL418" s="3"/>
      <c r="BM418" s="3"/>
      <c r="BN418" s="3"/>
      <c r="BO418" s="3"/>
      <c r="BV418" s="3"/>
      <c r="BW418" s="3"/>
      <c r="BX418" s="3"/>
    </row>
    <row r="419" spans="61:76" ht="13" hidden="1" x14ac:dyDescent="0.15">
      <c r="BI419" s="3"/>
      <c r="BJ419" s="3"/>
      <c r="BK419" s="3"/>
      <c r="BL419" s="3"/>
      <c r="BM419" s="3"/>
      <c r="BN419" s="3"/>
      <c r="BO419" s="3"/>
      <c r="BV419" s="3"/>
      <c r="BW419" s="3"/>
      <c r="BX419" s="3"/>
    </row>
    <row r="420" spans="61:76" ht="13" hidden="1" x14ac:dyDescent="0.15">
      <c r="BI420" s="3"/>
      <c r="BJ420" s="3"/>
      <c r="BK420" s="3"/>
      <c r="BL420" s="3"/>
      <c r="BM420" s="3"/>
      <c r="BN420" s="3"/>
      <c r="BO420" s="3"/>
      <c r="BV420" s="3"/>
      <c r="BW420" s="3"/>
      <c r="BX420" s="3"/>
    </row>
    <row r="421" spans="61:76" ht="13" hidden="1" x14ac:dyDescent="0.15">
      <c r="BI421" s="3"/>
      <c r="BJ421" s="3"/>
      <c r="BK421" s="3"/>
      <c r="BL421" s="3"/>
      <c r="BM421" s="3"/>
      <c r="BN421" s="3"/>
      <c r="BO421" s="3"/>
      <c r="BV421" s="3"/>
      <c r="BW421" s="3"/>
      <c r="BX421" s="3"/>
    </row>
    <row r="422" spans="61:76" ht="13" hidden="1" x14ac:dyDescent="0.15">
      <c r="BI422" s="3"/>
      <c r="BJ422" s="3"/>
      <c r="BK422" s="3"/>
      <c r="BL422" s="3"/>
      <c r="BM422" s="3"/>
      <c r="BN422" s="3"/>
      <c r="BO422" s="3"/>
      <c r="BV422" s="3"/>
      <c r="BW422" s="3"/>
      <c r="BX422" s="3"/>
    </row>
    <row r="423" spans="61:76" ht="13" hidden="1" x14ac:dyDescent="0.15">
      <c r="BI423" s="3"/>
      <c r="BJ423" s="3"/>
      <c r="BK423" s="3"/>
      <c r="BL423" s="3"/>
      <c r="BM423" s="3"/>
      <c r="BN423" s="3"/>
      <c r="BO423" s="3"/>
      <c r="BV423" s="3"/>
      <c r="BW423" s="3"/>
      <c r="BX423" s="3"/>
    </row>
    <row r="424" spans="61:76" ht="13" hidden="1" x14ac:dyDescent="0.15">
      <c r="BI424" s="3"/>
      <c r="BJ424" s="3"/>
      <c r="BK424" s="3"/>
      <c r="BL424" s="3"/>
      <c r="BM424" s="3"/>
      <c r="BN424" s="3"/>
      <c r="BO424" s="3"/>
      <c r="BV424" s="3"/>
      <c r="BW424" s="3"/>
      <c r="BX424" s="3"/>
    </row>
    <row r="425" spans="61:76" ht="13" hidden="1" x14ac:dyDescent="0.15">
      <c r="BI425" s="3"/>
      <c r="BJ425" s="3"/>
      <c r="BK425" s="3"/>
      <c r="BL425" s="3"/>
      <c r="BM425" s="3"/>
      <c r="BN425" s="3"/>
      <c r="BO425" s="3"/>
      <c r="BV425" s="3"/>
      <c r="BW425" s="3"/>
      <c r="BX425" s="3"/>
    </row>
    <row r="426" spans="61:76" ht="13" hidden="1" x14ac:dyDescent="0.15">
      <c r="BI426" s="3"/>
      <c r="BJ426" s="3"/>
      <c r="BK426" s="3"/>
      <c r="BL426" s="3"/>
      <c r="BM426" s="3"/>
      <c r="BN426" s="3"/>
      <c r="BO426" s="3"/>
      <c r="BV426" s="3"/>
      <c r="BW426" s="3"/>
      <c r="BX426" s="3"/>
    </row>
    <row r="427" spans="61:76" ht="13" hidden="1" x14ac:dyDescent="0.15">
      <c r="BI427" s="3"/>
      <c r="BJ427" s="3"/>
      <c r="BK427" s="3"/>
      <c r="BL427" s="3"/>
      <c r="BM427" s="3"/>
      <c r="BN427" s="3"/>
      <c r="BO427" s="3"/>
      <c r="BV427" s="3"/>
      <c r="BW427" s="3"/>
      <c r="BX427" s="3"/>
    </row>
    <row r="428" spans="61:76" ht="13" hidden="1" x14ac:dyDescent="0.15">
      <c r="BI428" s="3"/>
      <c r="BJ428" s="3"/>
      <c r="BK428" s="3"/>
      <c r="BL428" s="3"/>
      <c r="BM428" s="3"/>
      <c r="BN428" s="3"/>
      <c r="BO428" s="3"/>
      <c r="BV428" s="3"/>
      <c r="BW428" s="3"/>
      <c r="BX428" s="3"/>
    </row>
    <row r="429" spans="61:76" ht="13" hidden="1" x14ac:dyDescent="0.15">
      <c r="BI429" s="3"/>
      <c r="BJ429" s="3"/>
      <c r="BK429" s="3"/>
      <c r="BL429" s="3"/>
      <c r="BM429" s="3"/>
      <c r="BN429" s="3"/>
      <c r="BO429" s="3"/>
      <c r="BV429" s="3"/>
      <c r="BW429" s="3"/>
      <c r="BX429" s="3"/>
    </row>
    <row r="430" spans="61:76" ht="13" hidden="1" x14ac:dyDescent="0.15">
      <c r="BI430" s="3"/>
      <c r="BJ430" s="3"/>
      <c r="BK430" s="3"/>
      <c r="BL430" s="3"/>
      <c r="BM430" s="3"/>
      <c r="BN430" s="3"/>
      <c r="BO430" s="3"/>
      <c r="BV430" s="3"/>
      <c r="BW430" s="3"/>
      <c r="BX430" s="3"/>
    </row>
    <row r="431" spans="61:76" ht="13" hidden="1" x14ac:dyDescent="0.15">
      <c r="BI431" s="3"/>
      <c r="BJ431" s="3"/>
      <c r="BK431" s="3"/>
      <c r="BL431" s="3"/>
      <c r="BM431" s="3"/>
      <c r="BN431" s="3"/>
      <c r="BO431" s="3"/>
      <c r="BV431" s="3"/>
      <c r="BW431" s="3"/>
      <c r="BX431" s="3"/>
    </row>
    <row r="432" spans="61:76" ht="13" hidden="1" x14ac:dyDescent="0.15">
      <c r="BI432" s="3"/>
      <c r="BJ432" s="3"/>
      <c r="BK432" s="3"/>
      <c r="BL432" s="3"/>
      <c r="BM432" s="3"/>
      <c r="BN432" s="3"/>
      <c r="BO432" s="3"/>
      <c r="BV432" s="3"/>
      <c r="BW432" s="3"/>
      <c r="BX432" s="3"/>
    </row>
    <row r="433" spans="61:76" ht="13" hidden="1" x14ac:dyDescent="0.15">
      <c r="BI433" s="3"/>
      <c r="BJ433" s="3"/>
      <c r="BK433" s="3"/>
      <c r="BL433" s="3"/>
      <c r="BM433" s="3"/>
      <c r="BN433" s="3"/>
      <c r="BO433" s="3"/>
      <c r="BV433" s="3"/>
      <c r="BW433" s="3"/>
      <c r="BX433" s="3"/>
    </row>
    <row r="434" spans="61:76" ht="13" hidden="1" x14ac:dyDescent="0.15">
      <c r="BI434" s="3"/>
      <c r="BJ434" s="3"/>
      <c r="BK434" s="3"/>
      <c r="BL434" s="3"/>
      <c r="BM434" s="3"/>
      <c r="BN434" s="3"/>
      <c r="BO434" s="3"/>
      <c r="BV434" s="3"/>
      <c r="BW434" s="3"/>
      <c r="BX434" s="3"/>
    </row>
    <row r="435" spans="61:76" ht="13" hidden="1" x14ac:dyDescent="0.15">
      <c r="BI435" s="3"/>
      <c r="BJ435" s="3"/>
      <c r="BK435" s="3"/>
      <c r="BL435" s="3"/>
      <c r="BM435" s="3"/>
      <c r="BN435" s="3"/>
      <c r="BO435" s="3"/>
      <c r="BV435" s="3"/>
      <c r="BW435" s="3"/>
      <c r="BX435" s="3"/>
    </row>
    <row r="436" spans="61:76" ht="13" hidden="1" x14ac:dyDescent="0.15">
      <c r="BI436" s="3"/>
      <c r="BJ436" s="3"/>
      <c r="BK436" s="3"/>
      <c r="BL436" s="3"/>
      <c r="BM436" s="3"/>
      <c r="BN436" s="3"/>
      <c r="BO436" s="3"/>
      <c r="BV436" s="3"/>
      <c r="BW436" s="3"/>
      <c r="BX436" s="3"/>
    </row>
    <row r="437" spans="61:76" ht="13" hidden="1" x14ac:dyDescent="0.15">
      <c r="BI437" s="3"/>
      <c r="BJ437" s="3"/>
      <c r="BK437" s="3"/>
      <c r="BL437" s="3"/>
      <c r="BM437" s="3"/>
      <c r="BN437" s="3"/>
      <c r="BO437" s="3"/>
      <c r="BV437" s="3"/>
      <c r="BW437" s="3"/>
      <c r="BX437" s="3"/>
    </row>
    <row r="438" spans="61:76" ht="13" hidden="1" x14ac:dyDescent="0.15">
      <c r="BI438" s="3"/>
      <c r="BJ438" s="3"/>
      <c r="BK438" s="3"/>
      <c r="BL438" s="3"/>
      <c r="BM438" s="3"/>
      <c r="BN438" s="3"/>
      <c r="BO438" s="3"/>
      <c r="BV438" s="3"/>
      <c r="BW438" s="3"/>
      <c r="BX438" s="3"/>
    </row>
    <row r="439" spans="61:76" ht="13" hidden="1" x14ac:dyDescent="0.15">
      <c r="BI439" s="3"/>
      <c r="BJ439" s="3"/>
      <c r="BK439" s="3"/>
      <c r="BL439" s="3"/>
      <c r="BM439" s="3"/>
      <c r="BN439" s="3"/>
      <c r="BO439" s="3"/>
      <c r="BV439" s="3"/>
      <c r="BW439" s="3"/>
      <c r="BX439" s="3"/>
    </row>
    <row r="440" spans="61:76" ht="13" hidden="1" x14ac:dyDescent="0.15">
      <c r="BI440" s="3"/>
      <c r="BJ440" s="3"/>
      <c r="BK440" s="3"/>
      <c r="BL440" s="3"/>
      <c r="BM440" s="3"/>
      <c r="BN440" s="3"/>
      <c r="BO440" s="3"/>
      <c r="BV440" s="3"/>
      <c r="BW440" s="3"/>
      <c r="BX440" s="3"/>
    </row>
    <row r="441" spans="61:76" ht="13" hidden="1" x14ac:dyDescent="0.15">
      <c r="BI441" s="3"/>
      <c r="BJ441" s="3"/>
      <c r="BK441" s="3"/>
      <c r="BL441" s="3"/>
      <c r="BM441" s="3"/>
      <c r="BN441" s="3"/>
      <c r="BO441" s="3"/>
      <c r="BV441" s="3"/>
      <c r="BW441" s="3"/>
      <c r="BX441" s="3"/>
    </row>
    <row r="442" spans="61:76" ht="13" hidden="1" x14ac:dyDescent="0.15">
      <c r="BI442" s="3"/>
      <c r="BJ442" s="3"/>
      <c r="BK442" s="3"/>
      <c r="BL442" s="3"/>
      <c r="BM442" s="3"/>
      <c r="BN442" s="3"/>
      <c r="BO442" s="3"/>
      <c r="BV442" s="3"/>
      <c r="BW442" s="3"/>
      <c r="BX442" s="3"/>
    </row>
    <row r="443" spans="61:76" ht="13" hidden="1" x14ac:dyDescent="0.15">
      <c r="BI443" s="3"/>
      <c r="BJ443" s="3"/>
      <c r="BK443" s="3"/>
      <c r="BL443" s="3"/>
      <c r="BM443" s="3"/>
      <c r="BN443" s="3"/>
      <c r="BO443" s="3"/>
      <c r="BV443" s="3"/>
      <c r="BW443" s="3"/>
      <c r="BX443" s="3"/>
    </row>
    <row r="444" spans="61:76" ht="13" hidden="1" x14ac:dyDescent="0.15">
      <c r="BI444" s="3"/>
      <c r="BJ444" s="3"/>
      <c r="BK444" s="3"/>
      <c r="BL444" s="3"/>
      <c r="BM444" s="3"/>
      <c r="BN444" s="3"/>
      <c r="BO444" s="3"/>
      <c r="BV444" s="3"/>
      <c r="BW444" s="3"/>
      <c r="BX444" s="3"/>
    </row>
    <row r="445" spans="61:76" ht="13" hidden="1" x14ac:dyDescent="0.15">
      <c r="BI445" s="3"/>
      <c r="BJ445" s="3"/>
      <c r="BK445" s="3"/>
      <c r="BL445" s="3"/>
      <c r="BM445" s="3"/>
      <c r="BN445" s="3"/>
      <c r="BO445" s="3"/>
      <c r="BV445" s="3"/>
      <c r="BW445" s="3"/>
      <c r="BX445" s="3"/>
    </row>
    <row r="446" spans="61:76" ht="13" hidden="1" x14ac:dyDescent="0.15">
      <c r="BI446" s="3"/>
      <c r="BJ446" s="3"/>
      <c r="BK446" s="3"/>
      <c r="BL446" s="3"/>
      <c r="BM446" s="3"/>
      <c r="BN446" s="3"/>
      <c r="BO446" s="3"/>
      <c r="BV446" s="3"/>
      <c r="BW446" s="3"/>
      <c r="BX446" s="3"/>
    </row>
    <row r="447" spans="61:76" ht="13" hidden="1" x14ac:dyDescent="0.15">
      <c r="BI447" s="3"/>
      <c r="BJ447" s="3"/>
      <c r="BK447" s="3"/>
      <c r="BL447" s="3"/>
      <c r="BM447" s="3"/>
      <c r="BN447" s="3"/>
      <c r="BO447" s="3"/>
      <c r="BV447" s="3"/>
      <c r="BW447" s="3"/>
      <c r="BX447" s="3"/>
    </row>
    <row r="448" spans="61:76" ht="13" hidden="1" x14ac:dyDescent="0.15">
      <c r="BI448" s="3"/>
      <c r="BJ448" s="3"/>
      <c r="BK448" s="3"/>
      <c r="BL448" s="3"/>
      <c r="BM448" s="3"/>
      <c r="BN448" s="3"/>
      <c r="BO448" s="3"/>
      <c r="BV448" s="3"/>
      <c r="BW448" s="3"/>
      <c r="BX448" s="3"/>
    </row>
    <row r="449" spans="61:76" ht="13" hidden="1" x14ac:dyDescent="0.15">
      <c r="BI449" s="3"/>
      <c r="BJ449" s="3"/>
      <c r="BK449" s="3"/>
      <c r="BL449" s="3"/>
      <c r="BM449" s="3"/>
      <c r="BN449" s="3"/>
      <c r="BO449" s="3"/>
      <c r="BV449" s="3"/>
      <c r="BW449" s="3"/>
      <c r="BX449" s="3"/>
    </row>
    <row r="450" spans="61:76" ht="13" hidden="1" x14ac:dyDescent="0.15">
      <c r="BI450" s="3"/>
      <c r="BJ450" s="3"/>
      <c r="BK450" s="3"/>
      <c r="BL450" s="3"/>
      <c r="BM450" s="3"/>
      <c r="BN450" s="3"/>
      <c r="BO450" s="3"/>
      <c r="BV450" s="3"/>
      <c r="BW450" s="3"/>
      <c r="BX450" s="3"/>
    </row>
    <row r="451" spans="61:76" ht="13" hidden="1" x14ac:dyDescent="0.15">
      <c r="BI451" s="3"/>
      <c r="BJ451" s="3"/>
      <c r="BK451" s="3"/>
      <c r="BL451" s="3"/>
      <c r="BM451" s="3"/>
      <c r="BN451" s="3"/>
      <c r="BO451" s="3"/>
      <c r="BV451" s="3"/>
      <c r="BW451" s="3"/>
      <c r="BX451" s="3"/>
    </row>
    <row r="452" spans="61:76" ht="13" hidden="1" x14ac:dyDescent="0.15">
      <c r="BI452" s="3"/>
      <c r="BJ452" s="3"/>
      <c r="BK452" s="3"/>
      <c r="BL452" s="3"/>
      <c r="BM452" s="3"/>
      <c r="BN452" s="3"/>
      <c r="BO452" s="3"/>
      <c r="BV452" s="3"/>
      <c r="BW452" s="3"/>
      <c r="BX452" s="3"/>
    </row>
    <row r="453" spans="61:76" ht="13" hidden="1" x14ac:dyDescent="0.15">
      <c r="BI453" s="3"/>
      <c r="BJ453" s="3"/>
      <c r="BK453" s="3"/>
      <c r="BL453" s="3"/>
      <c r="BM453" s="3"/>
      <c r="BN453" s="3"/>
      <c r="BO453" s="3"/>
      <c r="BV453" s="3"/>
      <c r="BW453" s="3"/>
      <c r="BX453" s="3"/>
    </row>
    <row r="454" spans="61:76" ht="13" hidden="1" x14ac:dyDescent="0.15">
      <c r="BI454" s="3"/>
      <c r="BJ454" s="3"/>
      <c r="BK454" s="3"/>
      <c r="BL454" s="3"/>
      <c r="BM454" s="3"/>
      <c r="BN454" s="3"/>
      <c r="BO454" s="3"/>
      <c r="BV454" s="3"/>
      <c r="BW454" s="3"/>
      <c r="BX454" s="3"/>
    </row>
    <row r="455" spans="61:76" ht="13" hidden="1" x14ac:dyDescent="0.15">
      <c r="BI455" s="3"/>
      <c r="BJ455" s="3"/>
      <c r="BK455" s="3"/>
      <c r="BL455" s="3"/>
      <c r="BM455" s="3"/>
      <c r="BN455" s="3"/>
      <c r="BO455" s="3"/>
      <c r="BV455" s="3"/>
      <c r="BW455" s="3"/>
      <c r="BX455" s="3"/>
    </row>
    <row r="456" spans="61:76" ht="13" hidden="1" x14ac:dyDescent="0.15">
      <c r="BI456" s="3"/>
      <c r="BJ456" s="3"/>
      <c r="BK456" s="3"/>
      <c r="BL456" s="3"/>
      <c r="BM456" s="3"/>
      <c r="BN456" s="3"/>
      <c r="BO456" s="3"/>
      <c r="BV456" s="3"/>
      <c r="BW456" s="3"/>
      <c r="BX456" s="3"/>
    </row>
    <row r="457" spans="61:76" ht="13" hidden="1" x14ac:dyDescent="0.15">
      <c r="BI457" s="3"/>
      <c r="BJ457" s="3"/>
      <c r="BK457" s="3"/>
      <c r="BL457" s="3"/>
      <c r="BM457" s="3"/>
      <c r="BN457" s="3"/>
      <c r="BO457" s="3"/>
      <c r="BV457" s="3"/>
      <c r="BW457" s="3"/>
      <c r="BX457" s="3"/>
    </row>
    <row r="458" spans="61:76" ht="13" hidden="1" x14ac:dyDescent="0.15">
      <c r="BI458" s="3"/>
      <c r="BJ458" s="3"/>
      <c r="BK458" s="3"/>
      <c r="BL458" s="3"/>
      <c r="BM458" s="3"/>
      <c r="BN458" s="3"/>
      <c r="BO458" s="3"/>
      <c r="BV458" s="3"/>
      <c r="BW458" s="3"/>
      <c r="BX458" s="3"/>
    </row>
    <row r="459" spans="61:76" ht="13" hidden="1" x14ac:dyDescent="0.15">
      <c r="BI459" s="3"/>
      <c r="BJ459" s="3"/>
      <c r="BK459" s="3"/>
      <c r="BL459" s="3"/>
      <c r="BM459" s="3"/>
      <c r="BN459" s="3"/>
      <c r="BO459" s="3"/>
      <c r="BV459" s="3"/>
      <c r="BW459" s="3"/>
      <c r="BX459" s="3"/>
    </row>
    <row r="460" spans="61:76" ht="13" hidden="1" x14ac:dyDescent="0.15">
      <c r="BI460" s="3"/>
      <c r="BJ460" s="3"/>
      <c r="BK460" s="3"/>
      <c r="BL460" s="3"/>
      <c r="BM460" s="3"/>
      <c r="BN460" s="3"/>
      <c r="BO460" s="3"/>
      <c r="BV460" s="3"/>
      <c r="BW460" s="3"/>
      <c r="BX460" s="3"/>
    </row>
    <row r="461" spans="61:76" ht="13" hidden="1" x14ac:dyDescent="0.15">
      <c r="BI461" s="3"/>
      <c r="BJ461" s="3"/>
      <c r="BK461" s="3"/>
      <c r="BL461" s="3"/>
      <c r="BM461" s="3"/>
      <c r="BN461" s="3"/>
      <c r="BO461" s="3"/>
      <c r="BV461" s="3"/>
      <c r="BW461" s="3"/>
      <c r="BX461" s="3"/>
    </row>
    <row r="462" spans="61:76" ht="13" hidden="1" x14ac:dyDescent="0.15">
      <c r="BI462" s="3"/>
      <c r="BJ462" s="3"/>
      <c r="BK462" s="3"/>
      <c r="BL462" s="3"/>
      <c r="BM462" s="3"/>
      <c r="BN462" s="3"/>
      <c r="BO462" s="3"/>
      <c r="BV462" s="3"/>
      <c r="BW462" s="3"/>
      <c r="BX462" s="3"/>
    </row>
    <row r="463" spans="61:76" ht="13" hidden="1" x14ac:dyDescent="0.15">
      <c r="BI463" s="3"/>
      <c r="BJ463" s="3"/>
      <c r="BK463" s="3"/>
      <c r="BL463" s="3"/>
      <c r="BM463" s="3"/>
      <c r="BN463" s="3"/>
      <c r="BO463" s="3"/>
      <c r="BV463" s="3"/>
      <c r="BW463" s="3"/>
      <c r="BX463" s="3"/>
    </row>
    <row r="464" spans="61:76" ht="13" hidden="1" x14ac:dyDescent="0.15">
      <c r="BI464" s="3"/>
      <c r="BJ464" s="3"/>
      <c r="BK464" s="3"/>
      <c r="BL464" s="3"/>
      <c r="BM464" s="3"/>
      <c r="BN464" s="3"/>
      <c r="BO464" s="3"/>
      <c r="BV464" s="3"/>
      <c r="BW464" s="3"/>
      <c r="BX464" s="3"/>
    </row>
    <row r="465" spans="61:76" ht="13" hidden="1" x14ac:dyDescent="0.15">
      <c r="BI465" s="3"/>
      <c r="BJ465" s="3"/>
      <c r="BK465" s="3"/>
      <c r="BL465" s="3"/>
      <c r="BM465" s="3"/>
      <c r="BN465" s="3"/>
      <c r="BO465" s="3"/>
      <c r="BV465" s="3"/>
      <c r="BW465" s="3"/>
      <c r="BX465" s="3"/>
    </row>
    <row r="466" spans="61:76" ht="13" hidden="1" x14ac:dyDescent="0.15">
      <c r="BI466" s="3"/>
      <c r="BJ466" s="3"/>
      <c r="BK466" s="3"/>
      <c r="BL466" s="3"/>
      <c r="BM466" s="3"/>
      <c r="BN466" s="3"/>
      <c r="BO466" s="3"/>
      <c r="BV466" s="3"/>
      <c r="BW466" s="3"/>
      <c r="BX466" s="3"/>
    </row>
    <row r="467" spans="61:76" ht="13" hidden="1" x14ac:dyDescent="0.15">
      <c r="BI467" s="3"/>
      <c r="BJ467" s="3"/>
      <c r="BK467" s="3"/>
      <c r="BL467" s="3"/>
      <c r="BM467" s="3"/>
      <c r="BN467" s="3"/>
      <c r="BO467" s="3"/>
      <c r="BV467" s="3"/>
      <c r="BW467" s="3"/>
      <c r="BX467" s="3"/>
    </row>
    <row r="468" spans="61:76" ht="13" hidden="1" x14ac:dyDescent="0.15">
      <c r="BI468" s="3"/>
      <c r="BJ468" s="3"/>
      <c r="BK468" s="3"/>
      <c r="BL468" s="3"/>
      <c r="BM468" s="3"/>
      <c r="BN468" s="3"/>
      <c r="BO468" s="3"/>
      <c r="BV468" s="3"/>
      <c r="BW468" s="3"/>
      <c r="BX468" s="3"/>
    </row>
    <row r="469" spans="61:76" ht="13" hidden="1" x14ac:dyDescent="0.15">
      <c r="BI469" s="3"/>
      <c r="BJ469" s="3"/>
      <c r="BK469" s="3"/>
      <c r="BL469" s="3"/>
      <c r="BM469" s="3"/>
      <c r="BN469" s="3"/>
      <c r="BO469" s="3"/>
      <c r="BV469" s="3"/>
      <c r="BW469" s="3"/>
      <c r="BX469" s="3"/>
    </row>
    <row r="470" spans="61:76" ht="13" hidden="1" x14ac:dyDescent="0.15">
      <c r="BI470" s="3"/>
      <c r="BJ470" s="3"/>
      <c r="BK470" s="3"/>
      <c r="BL470" s="3"/>
      <c r="BM470" s="3"/>
      <c r="BN470" s="3"/>
      <c r="BO470" s="3"/>
      <c r="BV470" s="3"/>
      <c r="BW470" s="3"/>
      <c r="BX470" s="3"/>
    </row>
    <row r="471" spans="61:76" ht="13" hidden="1" x14ac:dyDescent="0.15">
      <c r="BI471" s="3"/>
      <c r="BJ471" s="3"/>
      <c r="BK471" s="3"/>
      <c r="BL471" s="3"/>
      <c r="BM471" s="3"/>
      <c r="BN471" s="3"/>
      <c r="BO471" s="3"/>
      <c r="BV471" s="3"/>
      <c r="BW471" s="3"/>
      <c r="BX471" s="3"/>
    </row>
    <row r="472" spans="61:76" ht="13" hidden="1" x14ac:dyDescent="0.15">
      <c r="BI472" s="3"/>
      <c r="BJ472" s="3"/>
      <c r="BK472" s="3"/>
      <c r="BL472" s="3"/>
      <c r="BM472" s="3"/>
      <c r="BN472" s="3"/>
      <c r="BO472" s="3"/>
      <c r="BV472" s="3"/>
      <c r="BW472" s="3"/>
      <c r="BX472" s="3"/>
    </row>
    <row r="473" spans="61:76" ht="13" hidden="1" x14ac:dyDescent="0.15">
      <c r="BI473" s="3"/>
      <c r="BJ473" s="3"/>
      <c r="BK473" s="3"/>
      <c r="BL473" s="3"/>
      <c r="BM473" s="3"/>
      <c r="BN473" s="3"/>
      <c r="BO473" s="3"/>
      <c r="BV473" s="3"/>
      <c r="BW473" s="3"/>
      <c r="BX473" s="3"/>
    </row>
    <row r="474" spans="61:76" ht="13" hidden="1" x14ac:dyDescent="0.15">
      <c r="BI474" s="3"/>
      <c r="BJ474" s="3"/>
      <c r="BK474" s="3"/>
      <c r="BL474" s="3"/>
      <c r="BM474" s="3"/>
      <c r="BN474" s="3"/>
      <c r="BO474" s="3"/>
      <c r="BV474" s="3"/>
      <c r="BW474" s="3"/>
      <c r="BX474" s="3"/>
    </row>
    <row r="475" spans="61:76" ht="13" hidden="1" x14ac:dyDescent="0.15">
      <c r="BI475" s="3"/>
      <c r="BJ475" s="3"/>
      <c r="BK475" s="3"/>
      <c r="BL475" s="3"/>
      <c r="BM475" s="3"/>
      <c r="BN475" s="3"/>
      <c r="BO475" s="3"/>
      <c r="BV475" s="3"/>
      <c r="BW475" s="3"/>
      <c r="BX475" s="3"/>
    </row>
    <row r="476" spans="61:76" ht="13" hidden="1" x14ac:dyDescent="0.15">
      <c r="BI476" s="3"/>
      <c r="BJ476" s="3"/>
      <c r="BK476" s="3"/>
      <c r="BL476" s="3"/>
      <c r="BM476" s="3"/>
      <c r="BN476" s="3"/>
      <c r="BO476" s="3"/>
      <c r="BV476" s="3"/>
      <c r="BW476" s="3"/>
      <c r="BX476" s="3"/>
    </row>
    <row r="477" spans="61:76" ht="13" hidden="1" x14ac:dyDescent="0.15">
      <c r="BI477" s="3"/>
      <c r="BJ477" s="3"/>
      <c r="BK477" s="3"/>
      <c r="BL477" s="3"/>
      <c r="BM477" s="3"/>
      <c r="BN477" s="3"/>
      <c r="BO477" s="3"/>
      <c r="BV477" s="3"/>
      <c r="BW477" s="3"/>
      <c r="BX477" s="3"/>
    </row>
    <row r="478" spans="61:76" ht="13" hidden="1" x14ac:dyDescent="0.15">
      <c r="BI478" s="3"/>
      <c r="BJ478" s="3"/>
      <c r="BK478" s="3"/>
      <c r="BL478" s="3"/>
      <c r="BM478" s="3"/>
      <c r="BN478" s="3"/>
      <c r="BO478" s="3"/>
      <c r="BV478" s="3"/>
      <c r="BW478" s="3"/>
      <c r="BX478" s="3"/>
    </row>
    <row r="479" spans="61:76" ht="13" hidden="1" x14ac:dyDescent="0.15">
      <c r="BI479" s="3"/>
      <c r="BJ479" s="3"/>
      <c r="BK479" s="3"/>
      <c r="BL479" s="3"/>
      <c r="BM479" s="3"/>
      <c r="BN479" s="3"/>
      <c r="BO479" s="3"/>
      <c r="BV479" s="3"/>
      <c r="BW479" s="3"/>
      <c r="BX479" s="3"/>
    </row>
    <row r="480" spans="61:76" ht="13" hidden="1" x14ac:dyDescent="0.15">
      <c r="BI480" s="3"/>
      <c r="BJ480" s="3"/>
      <c r="BK480" s="3"/>
      <c r="BL480" s="3"/>
      <c r="BM480" s="3"/>
      <c r="BN480" s="3"/>
      <c r="BO480" s="3"/>
      <c r="BV480" s="3"/>
      <c r="BW480" s="3"/>
      <c r="BX480" s="3"/>
    </row>
    <row r="481" spans="61:76" ht="13" hidden="1" x14ac:dyDescent="0.15">
      <c r="BI481" s="3"/>
      <c r="BJ481" s="3"/>
      <c r="BK481" s="3"/>
      <c r="BL481" s="3"/>
      <c r="BM481" s="3"/>
      <c r="BN481" s="3"/>
      <c r="BO481" s="3"/>
      <c r="BV481" s="3"/>
      <c r="BW481" s="3"/>
      <c r="BX481" s="3"/>
    </row>
    <row r="482" spans="61:76" ht="13" hidden="1" x14ac:dyDescent="0.15">
      <c r="BI482" s="3"/>
      <c r="BJ482" s="3"/>
      <c r="BK482" s="3"/>
      <c r="BL482" s="3"/>
      <c r="BM482" s="3"/>
      <c r="BN482" s="3"/>
      <c r="BO482" s="3"/>
      <c r="BV482" s="3"/>
      <c r="BW482" s="3"/>
      <c r="BX482" s="3"/>
    </row>
    <row r="483" spans="61:76" ht="13" hidden="1" x14ac:dyDescent="0.15">
      <c r="BI483" s="3"/>
      <c r="BJ483" s="3"/>
      <c r="BK483" s="3"/>
      <c r="BL483" s="3"/>
      <c r="BM483" s="3"/>
      <c r="BN483" s="3"/>
      <c r="BO483" s="3"/>
      <c r="BV483" s="3"/>
      <c r="BW483" s="3"/>
      <c r="BX483" s="3"/>
    </row>
    <row r="484" spans="61:76" ht="13" hidden="1" x14ac:dyDescent="0.15">
      <c r="BI484" s="3"/>
      <c r="BJ484" s="3"/>
      <c r="BK484" s="3"/>
      <c r="BL484" s="3"/>
      <c r="BM484" s="3"/>
      <c r="BN484" s="3"/>
      <c r="BO484" s="3"/>
      <c r="BV484" s="3"/>
      <c r="BW484" s="3"/>
      <c r="BX484" s="3"/>
    </row>
    <row r="485" spans="61:76" ht="13" hidden="1" x14ac:dyDescent="0.15">
      <c r="BI485" s="3"/>
      <c r="BJ485" s="3"/>
      <c r="BK485" s="3"/>
      <c r="BL485" s="3"/>
      <c r="BM485" s="3"/>
      <c r="BN485" s="3"/>
      <c r="BO485" s="3"/>
      <c r="BV485" s="3"/>
      <c r="BW485" s="3"/>
      <c r="BX485" s="3"/>
    </row>
    <row r="486" spans="61:76" ht="13" hidden="1" x14ac:dyDescent="0.15">
      <c r="BI486" s="3"/>
      <c r="BJ486" s="3"/>
      <c r="BK486" s="3"/>
      <c r="BL486" s="3"/>
      <c r="BM486" s="3"/>
      <c r="BN486" s="3"/>
      <c r="BO486" s="3"/>
      <c r="BV486" s="3"/>
      <c r="BW486" s="3"/>
      <c r="BX486" s="3"/>
    </row>
    <row r="487" spans="61:76" ht="13" hidden="1" x14ac:dyDescent="0.15">
      <c r="BI487" s="3"/>
      <c r="BJ487" s="3"/>
      <c r="BK487" s="3"/>
      <c r="BL487" s="3"/>
      <c r="BM487" s="3"/>
      <c r="BN487" s="3"/>
      <c r="BO487" s="3"/>
      <c r="BV487" s="3"/>
      <c r="BW487" s="3"/>
      <c r="BX487" s="3"/>
    </row>
    <row r="488" spans="61:76" ht="13" hidden="1" x14ac:dyDescent="0.15">
      <c r="BI488" s="3"/>
      <c r="BJ488" s="3"/>
      <c r="BK488" s="3"/>
      <c r="BL488" s="3"/>
      <c r="BM488" s="3"/>
      <c r="BN488" s="3"/>
      <c r="BO488" s="3"/>
      <c r="BV488" s="3"/>
      <c r="BW488" s="3"/>
      <c r="BX488" s="3"/>
    </row>
    <row r="489" spans="61:76" ht="13" hidden="1" x14ac:dyDescent="0.15">
      <c r="BI489" s="3"/>
      <c r="BJ489" s="3"/>
      <c r="BK489" s="3"/>
      <c r="BL489" s="3"/>
      <c r="BM489" s="3"/>
      <c r="BN489" s="3"/>
      <c r="BO489" s="3"/>
      <c r="BV489" s="3"/>
      <c r="BW489" s="3"/>
      <c r="BX489" s="3"/>
    </row>
    <row r="490" spans="61:76" ht="13" hidden="1" x14ac:dyDescent="0.15">
      <c r="BI490" s="3"/>
      <c r="BJ490" s="3"/>
      <c r="BK490" s="3"/>
      <c r="BL490" s="3"/>
      <c r="BM490" s="3"/>
      <c r="BN490" s="3"/>
      <c r="BO490" s="3"/>
      <c r="BV490" s="3"/>
      <c r="BW490" s="3"/>
      <c r="BX490" s="3"/>
    </row>
    <row r="491" spans="61:76" ht="13" hidden="1" x14ac:dyDescent="0.15">
      <c r="BI491" s="3"/>
      <c r="BJ491" s="3"/>
      <c r="BK491" s="3"/>
      <c r="BL491" s="3"/>
      <c r="BM491" s="3"/>
      <c r="BN491" s="3"/>
      <c r="BO491" s="3"/>
      <c r="BV491" s="3"/>
      <c r="BW491" s="3"/>
      <c r="BX491" s="3"/>
    </row>
    <row r="492" spans="61:76" ht="13" hidden="1" x14ac:dyDescent="0.15">
      <c r="BI492" s="3"/>
      <c r="BJ492" s="3"/>
      <c r="BK492" s="3"/>
      <c r="BL492" s="3"/>
      <c r="BM492" s="3"/>
      <c r="BN492" s="3"/>
      <c r="BO492" s="3"/>
      <c r="BV492" s="3"/>
      <c r="BW492" s="3"/>
      <c r="BX492" s="3"/>
    </row>
    <row r="493" spans="61:76" ht="13" hidden="1" x14ac:dyDescent="0.15">
      <c r="BI493" s="3"/>
      <c r="BJ493" s="3"/>
      <c r="BK493" s="3"/>
      <c r="BL493" s="3"/>
      <c r="BM493" s="3"/>
      <c r="BN493" s="3"/>
      <c r="BO493" s="3"/>
      <c r="BV493" s="3"/>
      <c r="BW493" s="3"/>
      <c r="BX493" s="3"/>
    </row>
    <row r="494" spans="61:76" ht="13" hidden="1" x14ac:dyDescent="0.15">
      <c r="BI494" s="3"/>
      <c r="BJ494" s="3"/>
      <c r="BK494" s="3"/>
      <c r="BL494" s="3"/>
      <c r="BM494" s="3"/>
      <c r="BN494" s="3"/>
      <c r="BO494" s="3"/>
      <c r="BV494" s="3"/>
      <c r="BW494" s="3"/>
      <c r="BX494" s="3"/>
    </row>
    <row r="495" spans="61:76" ht="13" hidden="1" x14ac:dyDescent="0.15">
      <c r="BI495" s="3"/>
      <c r="BJ495" s="3"/>
      <c r="BK495" s="3"/>
      <c r="BL495" s="3"/>
      <c r="BM495" s="3"/>
      <c r="BN495" s="3"/>
      <c r="BO495" s="3"/>
      <c r="BV495" s="3"/>
      <c r="BW495" s="3"/>
      <c r="BX495" s="3"/>
    </row>
    <row r="496" spans="61:76" ht="13" hidden="1" x14ac:dyDescent="0.15">
      <c r="BI496" s="3"/>
      <c r="BJ496" s="3"/>
      <c r="BK496" s="3"/>
      <c r="BL496" s="3"/>
      <c r="BM496" s="3"/>
      <c r="BN496" s="3"/>
      <c r="BO496" s="3"/>
      <c r="BV496" s="3"/>
      <c r="BW496" s="3"/>
      <c r="BX496" s="3"/>
    </row>
    <row r="497" spans="61:76" ht="13" hidden="1" x14ac:dyDescent="0.15">
      <c r="BI497" s="3"/>
      <c r="BJ497" s="3"/>
      <c r="BK497" s="3"/>
      <c r="BL497" s="3"/>
      <c r="BM497" s="3"/>
      <c r="BN497" s="3"/>
      <c r="BO497" s="3"/>
      <c r="BV497" s="3"/>
      <c r="BW497" s="3"/>
      <c r="BX497" s="3"/>
    </row>
    <row r="498" spans="61:76" ht="13" hidden="1" x14ac:dyDescent="0.15">
      <c r="BI498" s="3"/>
      <c r="BJ498" s="3"/>
      <c r="BK498" s="3"/>
      <c r="BL498" s="3"/>
      <c r="BM498" s="3"/>
      <c r="BN498" s="3"/>
      <c r="BO498" s="3"/>
      <c r="BV498" s="3"/>
      <c r="BW498" s="3"/>
      <c r="BX498" s="3"/>
    </row>
    <row r="499" spans="61:76" ht="13" hidden="1" x14ac:dyDescent="0.15">
      <c r="BI499" s="3"/>
      <c r="BJ499" s="3"/>
      <c r="BK499" s="3"/>
      <c r="BL499" s="3"/>
      <c r="BM499" s="3"/>
      <c r="BN499" s="3"/>
      <c r="BO499" s="3"/>
      <c r="BV499" s="3"/>
      <c r="BW499" s="3"/>
      <c r="BX499" s="3"/>
    </row>
    <row r="500" spans="61:76" ht="13" hidden="1" x14ac:dyDescent="0.15">
      <c r="BI500" s="3"/>
      <c r="BJ500" s="3"/>
      <c r="BK500" s="3"/>
      <c r="BL500" s="3"/>
      <c r="BM500" s="3"/>
      <c r="BN500" s="3"/>
      <c r="BO500" s="3"/>
      <c r="BV500" s="3"/>
      <c r="BW500" s="3"/>
      <c r="BX500" s="3"/>
    </row>
    <row r="501" spans="61:76" ht="13" hidden="1" x14ac:dyDescent="0.15">
      <c r="BI501" s="3"/>
      <c r="BJ501" s="3"/>
      <c r="BK501" s="3"/>
      <c r="BL501" s="3"/>
      <c r="BM501" s="3"/>
      <c r="BN501" s="3"/>
      <c r="BO501" s="3"/>
      <c r="BV501" s="3"/>
      <c r="BW501" s="3"/>
      <c r="BX501" s="3"/>
    </row>
    <row r="502" spans="61:76" ht="13" hidden="1" x14ac:dyDescent="0.15">
      <c r="BI502" s="3"/>
      <c r="BJ502" s="3"/>
      <c r="BK502" s="3"/>
      <c r="BL502" s="3"/>
      <c r="BM502" s="3"/>
      <c r="BN502" s="3"/>
      <c r="BO502" s="3"/>
      <c r="BV502" s="3"/>
      <c r="BW502" s="3"/>
      <c r="BX502" s="3"/>
    </row>
    <row r="503" spans="61:76" ht="13" hidden="1" x14ac:dyDescent="0.15">
      <c r="BI503" s="3"/>
      <c r="BJ503" s="3"/>
      <c r="BK503" s="3"/>
      <c r="BL503" s="3"/>
      <c r="BM503" s="3"/>
      <c r="BN503" s="3"/>
      <c r="BO503" s="3"/>
      <c r="BV503" s="3"/>
      <c r="BW503" s="3"/>
      <c r="BX503" s="3"/>
    </row>
    <row r="504" spans="61:76" ht="13" hidden="1" x14ac:dyDescent="0.15">
      <c r="BI504" s="3"/>
      <c r="BJ504" s="3"/>
      <c r="BK504" s="3"/>
      <c r="BL504" s="3"/>
      <c r="BM504" s="3"/>
      <c r="BN504" s="3"/>
      <c r="BO504" s="3"/>
      <c r="BV504" s="3"/>
      <c r="BW504" s="3"/>
      <c r="BX504" s="3"/>
    </row>
    <row r="505" spans="61:76" ht="13" hidden="1" x14ac:dyDescent="0.15">
      <c r="BI505" s="3"/>
      <c r="BJ505" s="3"/>
      <c r="BK505" s="3"/>
      <c r="BL505" s="3"/>
      <c r="BM505" s="3"/>
      <c r="BN505" s="3"/>
      <c r="BO505" s="3"/>
      <c r="BV505" s="3"/>
      <c r="BW505" s="3"/>
      <c r="BX505" s="3"/>
    </row>
    <row r="506" spans="61:76" ht="13" hidden="1" x14ac:dyDescent="0.15">
      <c r="BI506" s="3"/>
      <c r="BJ506" s="3"/>
      <c r="BK506" s="3"/>
      <c r="BL506" s="3"/>
      <c r="BM506" s="3"/>
      <c r="BN506" s="3"/>
      <c r="BO506" s="3"/>
      <c r="BV506" s="3"/>
      <c r="BW506" s="3"/>
      <c r="BX506" s="3"/>
    </row>
    <row r="507" spans="61:76" ht="13" hidden="1" x14ac:dyDescent="0.15">
      <c r="BI507" s="3"/>
      <c r="BJ507" s="3"/>
      <c r="BK507" s="3"/>
      <c r="BL507" s="3"/>
      <c r="BM507" s="3"/>
      <c r="BN507" s="3"/>
      <c r="BO507" s="3"/>
      <c r="BV507" s="3"/>
      <c r="BW507" s="3"/>
      <c r="BX507" s="3"/>
    </row>
    <row r="508" spans="61:76" ht="13" hidden="1" x14ac:dyDescent="0.15">
      <c r="BI508" s="3"/>
      <c r="BJ508" s="3"/>
      <c r="BK508" s="3"/>
      <c r="BL508" s="3"/>
      <c r="BM508" s="3"/>
      <c r="BN508" s="3"/>
      <c r="BO508" s="3"/>
      <c r="BV508" s="3"/>
      <c r="BW508" s="3"/>
      <c r="BX508" s="3"/>
    </row>
    <row r="509" spans="61:76" ht="13" hidden="1" x14ac:dyDescent="0.15">
      <c r="BI509" s="3"/>
      <c r="BJ509" s="3"/>
      <c r="BK509" s="3"/>
      <c r="BL509" s="3"/>
      <c r="BM509" s="3"/>
      <c r="BN509" s="3"/>
      <c r="BO509" s="3"/>
      <c r="BV509" s="3"/>
      <c r="BW509" s="3"/>
      <c r="BX509" s="3"/>
    </row>
    <row r="510" spans="61:76" ht="13" hidden="1" x14ac:dyDescent="0.15">
      <c r="BI510" s="3"/>
      <c r="BJ510" s="3"/>
      <c r="BK510" s="3"/>
      <c r="BL510" s="3"/>
      <c r="BM510" s="3"/>
      <c r="BN510" s="3"/>
      <c r="BO510" s="3"/>
      <c r="BV510" s="3"/>
      <c r="BW510" s="3"/>
      <c r="BX510" s="3"/>
    </row>
    <row r="511" spans="61:76" ht="13" hidden="1" x14ac:dyDescent="0.15">
      <c r="BI511" s="3"/>
      <c r="BJ511" s="3"/>
      <c r="BK511" s="3"/>
      <c r="BL511" s="3"/>
      <c r="BM511" s="3"/>
      <c r="BN511" s="3"/>
      <c r="BO511" s="3"/>
      <c r="BV511" s="3"/>
      <c r="BW511" s="3"/>
      <c r="BX511" s="3"/>
    </row>
    <row r="512" spans="61:76" ht="13" hidden="1" x14ac:dyDescent="0.15">
      <c r="BI512" s="3"/>
      <c r="BJ512" s="3"/>
      <c r="BK512" s="3"/>
      <c r="BL512" s="3"/>
      <c r="BM512" s="3"/>
      <c r="BN512" s="3"/>
      <c r="BO512" s="3"/>
      <c r="BV512" s="3"/>
      <c r="BW512" s="3"/>
      <c r="BX512" s="3"/>
    </row>
    <row r="513" spans="61:76" ht="13" hidden="1" x14ac:dyDescent="0.15">
      <c r="BI513" s="3"/>
      <c r="BJ513" s="3"/>
      <c r="BK513" s="3"/>
      <c r="BL513" s="3"/>
      <c r="BM513" s="3"/>
      <c r="BN513" s="3"/>
      <c r="BO513" s="3"/>
      <c r="BV513" s="3"/>
      <c r="BW513" s="3"/>
      <c r="BX513" s="3"/>
    </row>
    <row r="514" spans="61:76" ht="13" hidden="1" x14ac:dyDescent="0.15">
      <c r="BI514" s="3"/>
      <c r="BJ514" s="3"/>
      <c r="BK514" s="3"/>
      <c r="BL514" s="3"/>
      <c r="BM514" s="3"/>
      <c r="BN514" s="3"/>
      <c r="BO514" s="3"/>
      <c r="BV514" s="3"/>
      <c r="BW514" s="3"/>
      <c r="BX514" s="3"/>
    </row>
    <row r="515" spans="61:76" ht="13" hidden="1" x14ac:dyDescent="0.15">
      <c r="BI515" s="3"/>
      <c r="BJ515" s="3"/>
      <c r="BK515" s="3"/>
      <c r="BL515" s="3"/>
      <c r="BM515" s="3"/>
      <c r="BN515" s="3"/>
      <c r="BO515" s="3"/>
      <c r="BV515" s="3"/>
      <c r="BW515" s="3"/>
      <c r="BX515" s="3"/>
    </row>
    <row r="516" spans="61:76" ht="13" hidden="1" x14ac:dyDescent="0.15">
      <c r="BI516" s="3"/>
      <c r="BJ516" s="3"/>
      <c r="BK516" s="3"/>
      <c r="BL516" s="3"/>
      <c r="BM516" s="3"/>
      <c r="BN516" s="3"/>
      <c r="BO516" s="3"/>
      <c r="BV516" s="3"/>
      <c r="BW516" s="3"/>
      <c r="BX516" s="3"/>
    </row>
    <row r="517" spans="61:76" ht="13" hidden="1" x14ac:dyDescent="0.15">
      <c r="BI517" s="3"/>
      <c r="BJ517" s="3"/>
      <c r="BK517" s="3"/>
      <c r="BL517" s="3"/>
      <c r="BM517" s="3"/>
      <c r="BN517" s="3"/>
      <c r="BO517" s="3"/>
      <c r="BV517" s="3"/>
      <c r="BW517" s="3"/>
      <c r="BX517" s="3"/>
    </row>
    <row r="518" spans="61:76" ht="13" hidden="1" x14ac:dyDescent="0.15">
      <c r="BI518" s="3"/>
      <c r="BJ518" s="3"/>
      <c r="BK518" s="3"/>
      <c r="BL518" s="3"/>
      <c r="BM518" s="3"/>
      <c r="BN518" s="3"/>
      <c r="BO518" s="3"/>
      <c r="BV518" s="3"/>
      <c r="BW518" s="3"/>
      <c r="BX518" s="3"/>
    </row>
    <row r="519" spans="61:76" ht="13" hidden="1" x14ac:dyDescent="0.15">
      <c r="BI519" s="3"/>
      <c r="BJ519" s="3"/>
      <c r="BK519" s="3"/>
      <c r="BL519" s="3"/>
      <c r="BM519" s="3"/>
      <c r="BN519" s="3"/>
      <c r="BO519" s="3"/>
      <c r="BV519" s="3"/>
      <c r="BW519" s="3"/>
      <c r="BX519" s="3"/>
    </row>
    <row r="520" spans="61:76" ht="13" hidden="1" x14ac:dyDescent="0.15">
      <c r="BI520" s="3"/>
      <c r="BJ520" s="3"/>
      <c r="BK520" s="3"/>
      <c r="BL520" s="3"/>
      <c r="BM520" s="3"/>
      <c r="BN520" s="3"/>
      <c r="BO520" s="3"/>
      <c r="BV520" s="3"/>
      <c r="BW520" s="3"/>
      <c r="BX520" s="3"/>
    </row>
    <row r="521" spans="61:76" ht="13" hidden="1" x14ac:dyDescent="0.15">
      <c r="BI521" s="3"/>
      <c r="BJ521" s="3"/>
      <c r="BK521" s="3"/>
      <c r="BL521" s="3"/>
      <c r="BM521" s="3"/>
      <c r="BN521" s="3"/>
      <c r="BO521" s="3"/>
      <c r="BV521" s="3"/>
      <c r="BW521" s="3"/>
      <c r="BX521" s="3"/>
    </row>
    <row r="522" spans="61:76" ht="13" hidden="1" x14ac:dyDescent="0.15">
      <c r="BI522" s="3"/>
      <c r="BJ522" s="3"/>
      <c r="BK522" s="3"/>
      <c r="BL522" s="3"/>
      <c r="BM522" s="3"/>
      <c r="BN522" s="3"/>
      <c r="BO522" s="3"/>
      <c r="BV522" s="3"/>
      <c r="BW522" s="3"/>
      <c r="BX522" s="3"/>
    </row>
    <row r="523" spans="61:76" ht="13" hidden="1" x14ac:dyDescent="0.15">
      <c r="BI523" s="3"/>
      <c r="BJ523" s="3"/>
      <c r="BK523" s="3"/>
      <c r="BL523" s="3"/>
      <c r="BM523" s="3"/>
      <c r="BN523" s="3"/>
      <c r="BO523" s="3"/>
      <c r="BV523" s="3"/>
      <c r="BW523" s="3"/>
      <c r="BX523" s="3"/>
    </row>
    <row r="524" spans="61:76" ht="13" hidden="1" x14ac:dyDescent="0.15">
      <c r="BI524" s="3"/>
      <c r="BJ524" s="3"/>
      <c r="BK524" s="3"/>
      <c r="BL524" s="3"/>
      <c r="BM524" s="3"/>
      <c r="BN524" s="3"/>
      <c r="BO524" s="3"/>
      <c r="BV524" s="3"/>
      <c r="BW524" s="3"/>
      <c r="BX524" s="3"/>
    </row>
    <row r="525" spans="61:76" ht="13" hidden="1" x14ac:dyDescent="0.15">
      <c r="BI525" s="3"/>
      <c r="BJ525" s="3"/>
      <c r="BK525" s="3"/>
      <c r="BL525" s="3"/>
      <c r="BM525" s="3"/>
      <c r="BN525" s="3"/>
      <c r="BO525" s="3"/>
      <c r="BV525" s="3"/>
      <c r="BW525" s="3"/>
      <c r="BX525" s="3"/>
    </row>
    <row r="526" spans="61:76" ht="13" hidden="1" x14ac:dyDescent="0.15">
      <c r="BI526" s="3"/>
      <c r="BJ526" s="3"/>
      <c r="BK526" s="3"/>
      <c r="BL526" s="3"/>
      <c r="BM526" s="3"/>
      <c r="BN526" s="3"/>
      <c r="BO526" s="3"/>
      <c r="BV526" s="3"/>
      <c r="BW526" s="3"/>
      <c r="BX526" s="3"/>
    </row>
    <row r="527" spans="61:76" ht="13" hidden="1" x14ac:dyDescent="0.15">
      <c r="BI527" s="3"/>
      <c r="BJ527" s="3"/>
      <c r="BK527" s="3"/>
      <c r="BL527" s="3"/>
      <c r="BM527" s="3"/>
      <c r="BN527" s="3"/>
      <c r="BO527" s="3"/>
      <c r="BV527" s="3"/>
      <c r="BW527" s="3"/>
      <c r="BX527" s="3"/>
    </row>
    <row r="528" spans="61:76" ht="13" hidden="1" x14ac:dyDescent="0.15">
      <c r="BI528" s="3"/>
      <c r="BJ528" s="3"/>
      <c r="BK528" s="3"/>
      <c r="BL528" s="3"/>
      <c r="BM528" s="3"/>
      <c r="BN528" s="3"/>
      <c r="BO528" s="3"/>
      <c r="BV528" s="3"/>
      <c r="BW528" s="3"/>
      <c r="BX528" s="3"/>
    </row>
    <row r="529" spans="61:76" ht="13" hidden="1" x14ac:dyDescent="0.15">
      <c r="BI529" s="3"/>
      <c r="BJ529" s="3"/>
      <c r="BK529" s="3"/>
      <c r="BL529" s="3"/>
      <c r="BM529" s="3"/>
      <c r="BN529" s="3"/>
      <c r="BO529" s="3"/>
      <c r="BV529" s="3"/>
      <c r="BW529" s="3"/>
      <c r="BX529" s="3"/>
    </row>
    <row r="530" spans="61:76" ht="13" hidden="1" x14ac:dyDescent="0.15">
      <c r="BI530" s="3"/>
      <c r="BJ530" s="3"/>
      <c r="BK530" s="3"/>
      <c r="BL530" s="3"/>
      <c r="BM530" s="3"/>
      <c r="BN530" s="3"/>
      <c r="BO530" s="3"/>
      <c r="BV530" s="3"/>
      <c r="BW530" s="3"/>
      <c r="BX530" s="3"/>
    </row>
    <row r="531" spans="61:76" ht="13" hidden="1" x14ac:dyDescent="0.15">
      <c r="BI531" s="3"/>
      <c r="BJ531" s="3"/>
      <c r="BK531" s="3"/>
      <c r="BL531" s="3"/>
      <c r="BM531" s="3"/>
      <c r="BN531" s="3"/>
      <c r="BO531" s="3"/>
      <c r="BV531" s="3"/>
      <c r="BW531" s="3"/>
      <c r="BX531" s="3"/>
    </row>
    <row r="532" spans="61:76" ht="13" hidden="1" x14ac:dyDescent="0.15">
      <c r="BI532" s="3"/>
      <c r="BJ532" s="3"/>
      <c r="BK532" s="3"/>
      <c r="BL532" s="3"/>
      <c r="BM532" s="3"/>
      <c r="BN532" s="3"/>
      <c r="BO532" s="3"/>
      <c r="BV532" s="3"/>
      <c r="BW532" s="3"/>
      <c r="BX532" s="3"/>
    </row>
    <row r="533" spans="61:76" ht="13" hidden="1" x14ac:dyDescent="0.15">
      <c r="BI533" s="3"/>
      <c r="BJ533" s="3"/>
      <c r="BK533" s="3"/>
      <c r="BL533" s="3"/>
      <c r="BM533" s="3"/>
      <c r="BN533" s="3"/>
      <c r="BO533" s="3"/>
      <c r="BV533" s="3"/>
      <c r="BW533" s="3"/>
      <c r="BX533" s="3"/>
    </row>
    <row r="534" spans="61:76" ht="13" hidden="1" x14ac:dyDescent="0.15">
      <c r="BI534" s="3"/>
      <c r="BJ534" s="3"/>
      <c r="BK534" s="3"/>
      <c r="BL534" s="3"/>
      <c r="BM534" s="3"/>
      <c r="BN534" s="3"/>
      <c r="BO534" s="3"/>
      <c r="BV534" s="3"/>
      <c r="BW534" s="3"/>
      <c r="BX534" s="3"/>
    </row>
    <row r="535" spans="61:76" ht="13" hidden="1" x14ac:dyDescent="0.15">
      <c r="BI535" s="3"/>
      <c r="BJ535" s="3"/>
      <c r="BK535" s="3"/>
      <c r="BL535" s="3"/>
      <c r="BM535" s="3"/>
      <c r="BN535" s="3"/>
      <c r="BO535" s="3"/>
      <c r="BV535" s="3"/>
      <c r="BW535" s="3"/>
      <c r="BX535" s="3"/>
    </row>
    <row r="536" spans="61:76" ht="13" hidden="1" x14ac:dyDescent="0.15">
      <c r="BI536" s="3"/>
      <c r="BJ536" s="3"/>
      <c r="BK536" s="3"/>
      <c r="BL536" s="3"/>
      <c r="BM536" s="3"/>
      <c r="BN536" s="3"/>
      <c r="BO536" s="3"/>
      <c r="BV536" s="3"/>
      <c r="BW536" s="3"/>
      <c r="BX536" s="3"/>
    </row>
    <row r="537" spans="61:76" ht="13" hidden="1" x14ac:dyDescent="0.15">
      <c r="BI537" s="3"/>
      <c r="BJ537" s="3"/>
      <c r="BK537" s="3"/>
      <c r="BL537" s="3"/>
      <c r="BM537" s="3"/>
      <c r="BN537" s="3"/>
      <c r="BO537" s="3"/>
      <c r="BV537" s="3"/>
      <c r="BW537" s="3"/>
      <c r="BX537" s="3"/>
    </row>
    <row r="538" spans="61:76" ht="13" hidden="1" x14ac:dyDescent="0.15">
      <c r="BI538" s="3"/>
      <c r="BJ538" s="3"/>
      <c r="BK538" s="3"/>
      <c r="BL538" s="3"/>
      <c r="BM538" s="3"/>
      <c r="BN538" s="3"/>
      <c r="BO538" s="3"/>
      <c r="BV538" s="3"/>
      <c r="BW538" s="3"/>
      <c r="BX538" s="3"/>
    </row>
    <row r="539" spans="61:76" ht="13" hidden="1" x14ac:dyDescent="0.15">
      <c r="BI539" s="3"/>
      <c r="BJ539" s="3"/>
      <c r="BK539" s="3"/>
      <c r="BL539" s="3"/>
      <c r="BM539" s="3"/>
      <c r="BN539" s="3"/>
      <c r="BO539" s="3"/>
      <c r="BV539" s="3"/>
      <c r="BW539" s="3"/>
      <c r="BX539" s="3"/>
    </row>
    <row r="540" spans="61:76" ht="13" hidden="1" x14ac:dyDescent="0.15">
      <c r="BI540" s="3"/>
      <c r="BJ540" s="3"/>
      <c r="BK540" s="3"/>
      <c r="BL540" s="3"/>
      <c r="BM540" s="3"/>
      <c r="BN540" s="3"/>
      <c r="BO540" s="3"/>
      <c r="BV540" s="3"/>
      <c r="BW540" s="3"/>
      <c r="BX540" s="3"/>
    </row>
    <row r="541" spans="61:76" ht="13" hidden="1" x14ac:dyDescent="0.15">
      <c r="BI541" s="3"/>
      <c r="BJ541" s="3"/>
      <c r="BK541" s="3"/>
      <c r="BL541" s="3"/>
      <c r="BM541" s="3"/>
      <c r="BN541" s="3"/>
      <c r="BO541" s="3"/>
      <c r="BV541" s="3"/>
      <c r="BW541" s="3"/>
      <c r="BX541" s="3"/>
    </row>
    <row r="542" spans="61:76" ht="13" hidden="1" x14ac:dyDescent="0.15">
      <c r="BI542" s="3"/>
      <c r="BJ542" s="3"/>
      <c r="BK542" s="3"/>
      <c r="BL542" s="3"/>
      <c r="BM542" s="3"/>
      <c r="BN542" s="3"/>
      <c r="BO542" s="3"/>
      <c r="BV542" s="3"/>
      <c r="BW542" s="3"/>
      <c r="BX542" s="3"/>
    </row>
    <row r="543" spans="61:76" ht="13" hidden="1" x14ac:dyDescent="0.15">
      <c r="BI543" s="3"/>
      <c r="BJ543" s="3"/>
      <c r="BK543" s="3"/>
      <c r="BL543" s="3"/>
      <c r="BM543" s="3"/>
      <c r="BN543" s="3"/>
      <c r="BO543" s="3"/>
      <c r="BV543" s="3"/>
      <c r="BW543" s="3"/>
      <c r="BX543" s="3"/>
    </row>
    <row r="544" spans="61:76" ht="13" hidden="1" x14ac:dyDescent="0.15">
      <c r="BI544" s="3"/>
      <c r="BJ544" s="3"/>
      <c r="BK544" s="3"/>
      <c r="BL544" s="3"/>
      <c r="BM544" s="3"/>
      <c r="BN544" s="3"/>
      <c r="BO544" s="3"/>
      <c r="BV544" s="3"/>
      <c r="BW544" s="3"/>
      <c r="BX544" s="3"/>
    </row>
    <row r="545" spans="61:76" ht="13" hidden="1" x14ac:dyDescent="0.15">
      <c r="BI545" s="3"/>
      <c r="BJ545" s="3"/>
      <c r="BK545" s="3"/>
      <c r="BL545" s="3"/>
      <c r="BM545" s="3"/>
      <c r="BN545" s="3"/>
      <c r="BO545" s="3"/>
      <c r="BV545" s="3"/>
      <c r="BW545" s="3"/>
      <c r="BX545" s="3"/>
    </row>
    <row r="546" spans="61:76" ht="13" hidden="1" x14ac:dyDescent="0.15">
      <c r="BI546" s="3"/>
      <c r="BJ546" s="3"/>
      <c r="BK546" s="3"/>
      <c r="BL546" s="3"/>
      <c r="BM546" s="3"/>
      <c r="BN546" s="3"/>
      <c r="BO546" s="3"/>
      <c r="BV546" s="3"/>
      <c r="BW546" s="3"/>
      <c r="BX546" s="3"/>
    </row>
    <row r="547" spans="61:76" ht="13" hidden="1" x14ac:dyDescent="0.15">
      <c r="BI547" s="3"/>
      <c r="BJ547" s="3"/>
      <c r="BK547" s="3"/>
      <c r="BL547" s="3"/>
      <c r="BM547" s="3"/>
      <c r="BN547" s="3"/>
      <c r="BO547" s="3"/>
      <c r="BV547" s="3"/>
      <c r="BW547" s="3"/>
      <c r="BX547" s="3"/>
    </row>
    <row r="548" spans="61:76" ht="13" hidden="1" x14ac:dyDescent="0.15">
      <c r="BI548" s="3"/>
      <c r="BJ548" s="3"/>
      <c r="BK548" s="3"/>
      <c r="BL548" s="3"/>
      <c r="BM548" s="3"/>
      <c r="BN548" s="3"/>
      <c r="BO548" s="3"/>
      <c r="BV548" s="3"/>
      <c r="BW548" s="3"/>
      <c r="BX548" s="3"/>
    </row>
    <row r="549" spans="61:76" ht="13" hidden="1" x14ac:dyDescent="0.15">
      <c r="BI549" s="3"/>
      <c r="BJ549" s="3"/>
      <c r="BK549" s="3"/>
      <c r="BL549" s="3"/>
      <c r="BM549" s="3"/>
      <c r="BN549" s="3"/>
      <c r="BO549" s="3"/>
      <c r="BV549" s="3"/>
      <c r="BW549" s="3"/>
      <c r="BX549" s="3"/>
    </row>
    <row r="550" spans="61:76" ht="13" hidden="1" x14ac:dyDescent="0.15">
      <c r="BI550" s="3"/>
      <c r="BJ550" s="3"/>
      <c r="BK550" s="3"/>
      <c r="BL550" s="3"/>
      <c r="BM550" s="3"/>
      <c r="BN550" s="3"/>
      <c r="BO550" s="3"/>
      <c r="BV550" s="3"/>
      <c r="BW550" s="3"/>
      <c r="BX550" s="3"/>
    </row>
    <row r="551" spans="61:76" ht="13" hidden="1" x14ac:dyDescent="0.15">
      <c r="BI551" s="3"/>
      <c r="BJ551" s="3"/>
      <c r="BK551" s="3"/>
      <c r="BL551" s="3"/>
      <c r="BM551" s="3"/>
      <c r="BN551" s="3"/>
      <c r="BO551" s="3"/>
      <c r="BV551" s="3"/>
      <c r="BW551" s="3"/>
      <c r="BX551" s="3"/>
    </row>
    <row r="552" spans="61:76" ht="13" hidden="1" x14ac:dyDescent="0.15">
      <c r="BI552" s="3"/>
      <c r="BJ552" s="3"/>
      <c r="BK552" s="3"/>
      <c r="BL552" s="3"/>
      <c r="BM552" s="3"/>
      <c r="BN552" s="3"/>
      <c r="BO552" s="3"/>
      <c r="BV552" s="3"/>
      <c r="BW552" s="3"/>
      <c r="BX552" s="3"/>
    </row>
    <row r="553" spans="61:76" ht="13" hidden="1" x14ac:dyDescent="0.15">
      <c r="BI553" s="3"/>
      <c r="BJ553" s="3"/>
      <c r="BK553" s="3"/>
      <c r="BL553" s="3"/>
      <c r="BM553" s="3"/>
      <c r="BN553" s="3"/>
      <c r="BO553" s="3"/>
      <c r="BV553" s="3"/>
      <c r="BW553" s="3"/>
      <c r="BX553" s="3"/>
    </row>
    <row r="554" spans="61:76" ht="13" hidden="1" x14ac:dyDescent="0.15">
      <c r="BI554" s="3"/>
      <c r="BJ554" s="3"/>
      <c r="BK554" s="3"/>
      <c r="BL554" s="3"/>
      <c r="BM554" s="3"/>
      <c r="BN554" s="3"/>
      <c r="BO554" s="3"/>
      <c r="BV554" s="3"/>
      <c r="BW554" s="3"/>
      <c r="BX554" s="3"/>
    </row>
    <row r="555" spans="61:76" ht="13" hidden="1" x14ac:dyDescent="0.15">
      <c r="BI555" s="3"/>
      <c r="BJ555" s="3"/>
      <c r="BK555" s="3"/>
      <c r="BL555" s="3"/>
      <c r="BM555" s="3"/>
      <c r="BN555" s="3"/>
      <c r="BO555" s="3"/>
      <c r="BV555" s="3"/>
      <c r="BW555" s="3"/>
      <c r="BX555" s="3"/>
    </row>
    <row r="556" spans="61:76" ht="13" hidden="1" x14ac:dyDescent="0.15">
      <c r="BI556" s="3"/>
      <c r="BJ556" s="3"/>
      <c r="BK556" s="3"/>
      <c r="BL556" s="3"/>
      <c r="BM556" s="3"/>
      <c r="BN556" s="3"/>
      <c r="BO556" s="3"/>
      <c r="BV556" s="3"/>
      <c r="BW556" s="3"/>
      <c r="BX556" s="3"/>
    </row>
    <row r="557" spans="61:76" ht="13" hidden="1" x14ac:dyDescent="0.15">
      <c r="BI557" s="3"/>
      <c r="BJ557" s="3"/>
      <c r="BK557" s="3"/>
      <c r="BL557" s="3"/>
      <c r="BM557" s="3"/>
      <c r="BN557" s="3"/>
      <c r="BO557" s="3"/>
      <c r="BV557" s="3"/>
      <c r="BW557" s="3"/>
      <c r="BX557" s="3"/>
    </row>
    <row r="558" spans="61:76" ht="13" hidden="1" x14ac:dyDescent="0.15">
      <c r="BI558" s="3"/>
      <c r="BJ558" s="3"/>
      <c r="BK558" s="3"/>
      <c r="BL558" s="3"/>
      <c r="BM558" s="3"/>
      <c r="BN558" s="3"/>
      <c r="BO558" s="3"/>
      <c r="BV558" s="3"/>
      <c r="BW558" s="3"/>
      <c r="BX558" s="3"/>
    </row>
    <row r="559" spans="61:76" ht="13" hidden="1" x14ac:dyDescent="0.15">
      <c r="BI559" s="3"/>
      <c r="BJ559" s="3"/>
      <c r="BK559" s="3"/>
      <c r="BL559" s="3"/>
      <c r="BM559" s="3"/>
      <c r="BN559" s="3"/>
      <c r="BO559" s="3"/>
      <c r="BV559" s="3"/>
      <c r="BW559" s="3"/>
      <c r="BX559" s="3"/>
    </row>
    <row r="560" spans="61:76" ht="13" hidden="1" x14ac:dyDescent="0.15">
      <c r="BI560" s="3"/>
      <c r="BJ560" s="3"/>
      <c r="BK560" s="3"/>
      <c r="BL560" s="3"/>
      <c r="BM560" s="3"/>
      <c r="BN560" s="3"/>
      <c r="BO560" s="3"/>
      <c r="BV560" s="3"/>
      <c r="BW560" s="3"/>
      <c r="BX560" s="3"/>
    </row>
    <row r="561" spans="61:76" ht="13" hidden="1" x14ac:dyDescent="0.15">
      <c r="BI561" s="3"/>
      <c r="BJ561" s="3"/>
      <c r="BK561" s="3"/>
      <c r="BL561" s="3"/>
      <c r="BM561" s="3"/>
      <c r="BN561" s="3"/>
      <c r="BO561" s="3"/>
      <c r="BV561" s="3"/>
      <c r="BW561" s="3"/>
      <c r="BX561" s="3"/>
    </row>
    <row r="562" spans="61:76" ht="13" hidden="1" x14ac:dyDescent="0.15">
      <c r="BI562" s="3"/>
      <c r="BJ562" s="3"/>
      <c r="BK562" s="3"/>
      <c r="BL562" s="3"/>
      <c r="BM562" s="3"/>
      <c r="BN562" s="3"/>
      <c r="BO562" s="3"/>
      <c r="BV562" s="3"/>
      <c r="BW562" s="3"/>
      <c r="BX562" s="3"/>
    </row>
    <row r="563" spans="61:76" ht="13" hidden="1" x14ac:dyDescent="0.15">
      <c r="BI563" s="3"/>
      <c r="BJ563" s="3"/>
      <c r="BK563" s="3"/>
      <c r="BL563" s="3"/>
      <c r="BM563" s="3"/>
      <c r="BN563" s="3"/>
      <c r="BO563" s="3"/>
      <c r="BV563" s="3"/>
      <c r="BW563" s="3"/>
      <c r="BX563" s="3"/>
    </row>
    <row r="564" spans="61:76" ht="13" hidden="1" x14ac:dyDescent="0.15">
      <c r="BI564" s="3"/>
      <c r="BJ564" s="3"/>
      <c r="BK564" s="3"/>
      <c r="BL564" s="3"/>
      <c r="BM564" s="3"/>
      <c r="BN564" s="3"/>
      <c r="BO564" s="3"/>
      <c r="BV564" s="3"/>
      <c r="BW564" s="3"/>
      <c r="BX564" s="3"/>
    </row>
    <row r="565" spans="61:76" ht="13" hidden="1" x14ac:dyDescent="0.15">
      <c r="BI565" s="3"/>
      <c r="BJ565" s="3"/>
      <c r="BK565" s="3"/>
      <c r="BL565" s="3"/>
      <c r="BM565" s="3"/>
      <c r="BN565" s="3"/>
      <c r="BO565" s="3"/>
      <c r="BV565" s="3"/>
      <c r="BW565" s="3"/>
      <c r="BX565" s="3"/>
    </row>
    <row r="566" spans="61:76" ht="13" hidden="1" x14ac:dyDescent="0.15">
      <c r="BI566" s="3"/>
      <c r="BJ566" s="3"/>
      <c r="BK566" s="3"/>
      <c r="BL566" s="3"/>
      <c r="BM566" s="3"/>
      <c r="BN566" s="3"/>
      <c r="BO566" s="3"/>
      <c r="BV566" s="3"/>
      <c r="BW566" s="3"/>
      <c r="BX566" s="3"/>
    </row>
    <row r="567" spans="61:76" ht="13" hidden="1" x14ac:dyDescent="0.15">
      <c r="BI567" s="3"/>
      <c r="BJ567" s="3"/>
      <c r="BK567" s="3"/>
      <c r="BL567" s="3"/>
      <c r="BM567" s="3"/>
      <c r="BN567" s="3"/>
      <c r="BO567" s="3"/>
      <c r="BV567" s="3"/>
      <c r="BW567" s="3"/>
      <c r="BX567" s="3"/>
    </row>
    <row r="568" spans="61:76" ht="13" hidden="1" x14ac:dyDescent="0.15">
      <c r="BI568" s="3"/>
      <c r="BJ568" s="3"/>
      <c r="BK568" s="3"/>
      <c r="BL568" s="3"/>
      <c r="BM568" s="3"/>
      <c r="BN568" s="3"/>
      <c r="BO568" s="3"/>
      <c r="BV568" s="3"/>
      <c r="BW568" s="3"/>
      <c r="BX568" s="3"/>
    </row>
    <row r="569" spans="61:76" ht="13" hidden="1" x14ac:dyDescent="0.15">
      <c r="BI569" s="3"/>
      <c r="BJ569" s="3"/>
      <c r="BK569" s="3"/>
      <c r="BL569" s="3"/>
      <c r="BM569" s="3"/>
      <c r="BN569" s="3"/>
      <c r="BO569" s="3"/>
      <c r="BV569" s="3"/>
      <c r="BW569" s="3"/>
      <c r="BX569" s="3"/>
    </row>
    <row r="570" spans="61:76" ht="13" hidden="1" x14ac:dyDescent="0.15">
      <c r="BI570" s="3"/>
      <c r="BJ570" s="3"/>
      <c r="BK570" s="3"/>
      <c r="BL570" s="3"/>
      <c r="BM570" s="3"/>
      <c r="BN570" s="3"/>
      <c r="BO570" s="3"/>
      <c r="BV570" s="3"/>
      <c r="BW570" s="3"/>
      <c r="BX570" s="3"/>
    </row>
    <row r="571" spans="61:76" ht="13" hidden="1" x14ac:dyDescent="0.15">
      <c r="BI571" s="3"/>
      <c r="BJ571" s="3"/>
      <c r="BK571" s="3"/>
      <c r="BL571" s="3"/>
      <c r="BM571" s="3"/>
      <c r="BN571" s="3"/>
      <c r="BO571" s="3"/>
      <c r="BV571" s="3"/>
      <c r="BW571" s="3"/>
      <c r="BX571" s="3"/>
    </row>
    <row r="572" spans="61:76" ht="13" hidden="1" x14ac:dyDescent="0.15">
      <c r="BI572" s="3"/>
      <c r="BJ572" s="3"/>
      <c r="BK572" s="3"/>
      <c r="BL572" s="3"/>
      <c r="BM572" s="3"/>
      <c r="BN572" s="3"/>
      <c r="BO572" s="3"/>
      <c r="BV572" s="3"/>
      <c r="BW572" s="3"/>
      <c r="BX572" s="3"/>
    </row>
    <row r="573" spans="61:76" ht="13" hidden="1" x14ac:dyDescent="0.15">
      <c r="BI573" s="3"/>
      <c r="BJ573" s="3"/>
      <c r="BK573" s="3"/>
      <c r="BL573" s="3"/>
      <c r="BM573" s="3"/>
      <c r="BN573" s="3"/>
      <c r="BO573" s="3"/>
      <c r="BV573" s="3"/>
      <c r="BW573" s="3"/>
      <c r="BX573" s="3"/>
    </row>
    <row r="574" spans="61:76" ht="13" hidden="1" x14ac:dyDescent="0.15">
      <c r="BI574" s="3"/>
      <c r="BJ574" s="3"/>
      <c r="BK574" s="3"/>
      <c r="BL574" s="3"/>
      <c r="BM574" s="3"/>
      <c r="BN574" s="3"/>
      <c r="BO574" s="3"/>
      <c r="BV574" s="3"/>
      <c r="BW574" s="3"/>
      <c r="BX574" s="3"/>
    </row>
    <row r="575" spans="61:76" ht="13" hidden="1" x14ac:dyDescent="0.15">
      <c r="BI575" s="3"/>
      <c r="BJ575" s="3"/>
      <c r="BK575" s="3"/>
      <c r="BL575" s="3"/>
      <c r="BM575" s="3"/>
      <c r="BN575" s="3"/>
      <c r="BO575" s="3"/>
      <c r="BV575" s="3"/>
      <c r="BW575" s="3"/>
      <c r="BX575" s="3"/>
    </row>
    <row r="576" spans="61:76" ht="13" hidden="1" x14ac:dyDescent="0.15">
      <c r="BI576" s="3"/>
      <c r="BJ576" s="3"/>
      <c r="BK576" s="3"/>
      <c r="BL576" s="3"/>
      <c r="BM576" s="3"/>
      <c r="BN576" s="3"/>
      <c r="BO576" s="3"/>
      <c r="BV576" s="3"/>
      <c r="BW576" s="3"/>
      <c r="BX576" s="3"/>
    </row>
    <row r="577" spans="61:76" ht="13" hidden="1" x14ac:dyDescent="0.15">
      <c r="BI577" s="3"/>
      <c r="BJ577" s="3"/>
      <c r="BK577" s="3"/>
      <c r="BL577" s="3"/>
      <c r="BM577" s="3"/>
      <c r="BN577" s="3"/>
      <c r="BO577" s="3"/>
      <c r="BV577" s="3"/>
      <c r="BW577" s="3"/>
      <c r="BX577" s="3"/>
    </row>
    <row r="578" spans="61:76" ht="13" hidden="1" x14ac:dyDescent="0.15">
      <c r="BI578" s="3"/>
      <c r="BJ578" s="3"/>
      <c r="BK578" s="3"/>
      <c r="BL578" s="3"/>
      <c r="BM578" s="3"/>
      <c r="BN578" s="3"/>
      <c r="BO578" s="3"/>
      <c r="BV578" s="3"/>
      <c r="BW578" s="3"/>
      <c r="BX578" s="3"/>
    </row>
    <row r="579" spans="61:76" ht="13" hidden="1" x14ac:dyDescent="0.15">
      <c r="BI579" s="3"/>
      <c r="BJ579" s="3"/>
      <c r="BK579" s="3"/>
      <c r="BL579" s="3"/>
      <c r="BM579" s="3"/>
      <c r="BN579" s="3"/>
      <c r="BO579" s="3"/>
      <c r="BV579" s="3"/>
      <c r="BW579" s="3"/>
      <c r="BX579" s="3"/>
    </row>
    <row r="580" spans="61:76" ht="13" hidden="1" x14ac:dyDescent="0.15">
      <c r="BI580" s="3"/>
      <c r="BJ580" s="3"/>
      <c r="BK580" s="3"/>
      <c r="BL580" s="3"/>
      <c r="BM580" s="3"/>
      <c r="BN580" s="3"/>
      <c r="BO580" s="3"/>
      <c r="BV580" s="3"/>
      <c r="BW580" s="3"/>
      <c r="BX580" s="3"/>
    </row>
    <row r="581" spans="61:76" ht="13" hidden="1" x14ac:dyDescent="0.15">
      <c r="BI581" s="3"/>
      <c r="BJ581" s="3"/>
      <c r="BK581" s="3"/>
      <c r="BL581" s="3"/>
      <c r="BM581" s="3"/>
      <c r="BN581" s="3"/>
      <c r="BO581" s="3"/>
      <c r="BV581" s="3"/>
      <c r="BW581" s="3"/>
      <c r="BX581" s="3"/>
    </row>
    <row r="582" spans="61:76" ht="13" hidden="1" x14ac:dyDescent="0.15">
      <c r="BI582" s="3"/>
      <c r="BJ582" s="3"/>
      <c r="BK582" s="3"/>
      <c r="BL582" s="3"/>
      <c r="BM582" s="3"/>
      <c r="BN582" s="3"/>
      <c r="BO582" s="3"/>
      <c r="BV582" s="3"/>
      <c r="BW582" s="3"/>
      <c r="BX582" s="3"/>
    </row>
    <row r="583" spans="61:76" ht="13" hidden="1" x14ac:dyDescent="0.15">
      <c r="BI583" s="3"/>
      <c r="BJ583" s="3"/>
      <c r="BK583" s="3"/>
      <c r="BL583" s="3"/>
      <c r="BM583" s="3"/>
      <c r="BN583" s="3"/>
      <c r="BO583" s="3"/>
      <c r="BV583" s="3"/>
      <c r="BW583" s="3"/>
      <c r="BX583" s="3"/>
    </row>
    <row r="584" spans="61:76" ht="13" hidden="1" x14ac:dyDescent="0.15">
      <c r="BI584" s="3"/>
      <c r="BJ584" s="3"/>
      <c r="BK584" s="3"/>
      <c r="BL584" s="3"/>
      <c r="BM584" s="3"/>
      <c r="BN584" s="3"/>
      <c r="BO584" s="3"/>
      <c r="BV584" s="3"/>
      <c r="BW584" s="3"/>
      <c r="BX584" s="3"/>
    </row>
    <row r="585" spans="61:76" ht="13" hidden="1" x14ac:dyDescent="0.15">
      <c r="BI585" s="3"/>
      <c r="BJ585" s="3"/>
      <c r="BK585" s="3"/>
      <c r="BL585" s="3"/>
      <c r="BM585" s="3"/>
      <c r="BN585" s="3"/>
      <c r="BO585" s="3"/>
      <c r="BV585" s="3"/>
      <c r="BW585" s="3"/>
      <c r="BX585" s="3"/>
    </row>
    <row r="586" spans="61:76" ht="13" hidden="1" x14ac:dyDescent="0.15">
      <c r="BI586" s="3"/>
      <c r="BJ586" s="3"/>
      <c r="BK586" s="3"/>
      <c r="BL586" s="3"/>
      <c r="BM586" s="3"/>
      <c r="BN586" s="3"/>
      <c r="BO586" s="3"/>
      <c r="BV586" s="3"/>
      <c r="BW586" s="3"/>
      <c r="BX586" s="3"/>
    </row>
    <row r="587" spans="61:76" ht="13" hidden="1" x14ac:dyDescent="0.15">
      <c r="BI587" s="3"/>
      <c r="BJ587" s="3"/>
      <c r="BK587" s="3"/>
      <c r="BL587" s="3"/>
      <c r="BM587" s="3"/>
      <c r="BN587" s="3"/>
      <c r="BO587" s="3"/>
      <c r="BV587" s="3"/>
      <c r="BW587" s="3"/>
      <c r="BX587" s="3"/>
    </row>
    <row r="588" spans="61:76" ht="13" hidden="1" x14ac:dyDescent="0.15">
      <c r="BI588" s="3"/>
      <c r="BJ588" s="3"/>
      <c r="BK588" s="3"/>
      <c r="BL588" s="3"/>
      <c r="BM588" s="3"/>
      <c r="BN588" s="3"/>
      <c r="BO588" s="3"/>
      <c r="BV588" s="3"/>
      <c r="BW588" s="3"/>
      <c r="BX588" s="3"/>
    </row>
    <row r="589" spans="61:76" ht="13" hidden="1" x14ac:dyDescent="0.15">
      <c r="BI589" s="3"/>
      <c r="BJ589" s="3"/>
      <c r="BK589" s="3"/>
      <c r="BL589" s="3"/>
      <c r="BM589" s="3"/>
      <c r="BN589" s="3"/>
      <c r="BO589" s="3"/>
      <c r="BV589" s="3"/>
      <c r="BW589" s="3"/>
      <c r="BX589" s="3"/>
    </row>
    <row r="590" spans="61:76" ht="13" hidden="1" x14ac:dyDescent="0.15">
      <c r="BI590" s="3"/>
      <c r="BJ590" s="3"/>
      <c r="BK590" s="3"/>
      <c r="BL590" s="3"/>
      <c r="BM590" s="3"/>
      <c r="BN590" s="3"/>
      <c r="BO590" s="3"/>
      <c r="BV590" s="3"/>
      <c r="BW590" s="3"/>
      <c r="BX590" s="3"/>
    </row>
    <row r="591" spans="61:76" ht="13" hidden="1" x14ac:dyDescent="0.15">
      <c r="BI591" s="3"/>
      <c r="BJ591" s="3"/>
      <c r="BK591" s="3"/>
      <c r="BL591" s="3"/>
      <c r="BM591" s="3"/>
      <c r="BN591" s="3"/>
      <c r="BO591" s="3"/>
      <c r="BV591" s="3"/>
      <c r="BW591" s="3"/>
      <c r="BX591" s="3"/>
    </row>
    <row r="592" spans="61:76" ht="13" hidden="1" x14ac:dyDescent="0.15">
      <c r="BI592" s="3"/>
      <c r="BJ592" s="3"/>
      <c r="BK592" s="3"/>
      <c r="BL592" s="3"/>
      <c r="BM592" s="3"/>
      <c r="BN592" s="3"/>
      <c r="BO592" s="3"/>
      <c r="BV592" s="3"/>
      <c r="BW592" s="3"/>
      <c r="BX592" s="3"/>
    </row>
    <row r="593" spans="61:76" ht="13" hidden="1" x14ac:dyDescent="0.15">
      <c r="BI593" s="3"/>
      <c r="BJ593" s="3"/>
      <c r="BK593" s="3"/>
      <c r="BL593" s="3"/>
      <c r="BM593" s="3"/>
      <c r="BN593" s="3"/>
      <c r="BO593" s="3"/>
      <c r="BV593" s="3"/>
      <c r="BW593" s="3"/>
      <c r="BX593" s="3"/>
    </row>
    <row r="594" spans="61:76" ht="13" hidden="1" x14ac:dyDescent="0.15">
      <c r="BI594" s="3"/>
      <c r="BJ594" s="3"/>
      <c r="BK594" s="3"/>
      <c r="BL594" s="3"/>
      <c r="BM594" s="3"/>
      <c r="BN594" s="3"/>
      <c r="BO594" s="3"/>
      <c r="BV594" s="3"/>
      <c r="BW594" s="3"/>
      <c r="BX594" s="3"/>
    </row>
    <row r="595" spans="61:76" ht="13" hidden="1" x14ac:dyDescent="0.15">
      <c r="BI595" s="3"/>
      <c r="BJ595" s="3"/>
      <c r="BK595" s="3"/>
      <c r="BL595" s="3"/>
      <c r="BM595" s="3"/>
      <c r="BN595" s="3"/>
      <c r="BO595" s="3"/>
      <c r="BV595" s="3"/>
      <c r="BW595" s="3"/>
      <c r="BX595" s="3"/>
    </row>
    <row r="596" spans="61:76" ht="13" hidden="1" x14ac:dyDescent="0.15">
      <c r="BI596" s="3"/>
      <c r="BJ596" s="3"/>
      <c r="BK596" s="3"/>
      <c r="BL596" s="3"/>
      <c r="BM596" s="3"/>
      <c r="BN596" s="3"/>
      <c r="BO596" s="3"/>
      <c r="BV596" s="3"/>
      <c r="BW596" s="3"/>
      <c r="BX596" s="3"/>
    </row>
    <row r="597" spans="61:76" ht="13" hidden="1" x14ac:dyDescent="0.15">
      <c r="BI597" s="3"/>
      <c r="BJ597" s="3"/>
      <c r="BK597" s="3"/>
      <c r="BL597" s="3"/>
      <c r="BM597" s="3"/>
      <c r="BN597" s="3"/>
      <c r="BO597" s="3"/>
      <c r="BV597" s="3"/>
      <c r="BW597" s="3"/>
      <c r="BX597" s="3"/>
    </row>
    <row r="598" spans="61:76" ht="13" hidden="1" x14ac:dyDescent="0.15">
      <c r="BI598" s="3"/>
      <c r="BJ598" s="3"/>
      <c r="BK598" s="3"/>
      <c r="BL598" s="3"/>
      <c r="BM598" s="3"/>
      <c r="BN598" s="3"/>
      <c r="BO598" s="3"/>
      <c r="BV598" s="3"/>
      <c r="BW598" s="3"/>
      <c r="BX598" s="3"/>
    </row>
    <row r="599" spans="61:76" ht="13" hidden="1" x14ac:dyDescent="0.15">
      <c r="BI599" s="3"/>
      <c r="BJ599" s="3"/>
      <c r="BK599" s="3"/>
      <c r="BL599" s="3"/>
      <c r="BM599" s="3"/>
      <c r="BN599" s="3"/>
      <c r="BO599" s="3"/>
      <c r="BV599" s="3"/>
      <c r="BW599" s="3"/>
      <c r="BX599" s="3"/>
    </row>
    <row r="600" spans="61:76" ht="13" hidden="1" x14ac:dyDescent="0.15">
      <c r="BI600" s="3"/>
      <c r="BJ600" s="3"/>
      <c r="BK600" s="3"/>
      <c r="BL600" s="3"/>
      <c r="BM600" s="3"/>
      <c r="BN600" s="3"/>
      <c r="BO600" s="3"/>
      <c r="BV600" s="3"/>
      <c r="BW600" s="3"/>
      <c r="BX600" s="3"/>
    </row>
    <row r="601" spans="61:76" ht="13" hidden="1" x14ac:dyDescent="0.15">
      <c r="BI601" s="3"/>
      <c r="BJ601" s="3"/>
      <c r="BK601" s="3"/>
      <c r="BL601" s="3"/>
      <c r="BM601" s="3"/>
      <c r="BN601" s="3"/>
      <c r="BO601" s="3"/>
      <c r="BV601" s="3"/>
      <c r="BW601" s="3"/>
      <c r="BX601" s="3"/>
    </row>
    <row r="602" spans="61:76" ht="13" hidden="1" x14ac:dyDescent="0.15">
      <c r="BI602" s="3"/>
      <c r="BJ602" s="3"/>
      <c r="BK602" s="3"/>
      <c r="BL602" s="3"/>
      <c r="BM602" s="3"/>
      <c r="BN602" s="3"/>
      <c r="BO602" s="3"/>
      <c r="BV602" s="3"/>
      <c r="BW602" s="3"/>
      <c r="BX602" s="3"/>
    </row>
    <row r="603" spans="61:76" ht="13" hidden="1" x14ac:dyDescent="0.15">
      <c r="BI603" s="3"/>
      <c r="BJ603" s="3"/>
      <c r="BK603" s="3"/>
      <c r="BL603" s="3"/>
      <c r="BM603" s="3"/>
      <c r="BN603" s="3"/>
      <c r="BO603" s="3"/>
      <c r="BV603" s="3"/>
      <c r="BW603" s="3"/>
      <c r="BX603" s="3"/>
    </row>
    <row r="604" spans="61:76" ht="13" hidden="1" x14ac:dyDescent="0.15">
      <c r="BI604" s="3"/>
      <c r="BJ604" s="3"/>
      <c r="BK604" s="3"/>
      <c r="BL604" s="3"/>
      <c r="BM604" s="3"/>
      <c r="BN604" s="3"/>
      <c r="BO604" s="3"/>
      <c r="BV604" s="3"/>
      <c r="BW604" s="3"/>
      <c r="BX604" s="3"/>
    </row>
    <row r="605" spans="61:76" ht="13" hidden="1" x14ac:dyDescent="0.15">
      <c r="BI605" s="3"/>
      <c r="BJ605" s="3"/>
      <c r="BK605" s="3"/>
      <c r="BL605" s="3"/>
      <c r="BM605" s="3"/>
      <c r="BN605" s="3"/>
      <c r="BO605" s="3"/>
      <c r="BV605" s="3"/>
      <c r="BW605" s="3"/>
      <c r="BX605" s="3"/>
    </row>
    <row r="606" spans="61:76" ht="13" hidden="1" x14ac:dyDescent="0.15">
      <c r="BI606" s="3"/>
      <c r="BJ606" s="3"/>
      <c r="BK606" s="3"/>
      <c r="BL606" s="3"/>
      <c r="BM606" s="3"/>
      <c r="BN606" s="3"/>
      <c r="BO606" s="3"/>
      <c r="BV606" s="3"/>
      <c r="BW606" s="3"/>
      <c r="BX606" s="3"/>
    </row>
    <row r="607" spans="61:76" ht="13" hidden="1" x14ac:dyDescent="0.15">
      <c r="BI607" s="3"/>
      <c r="BJ607" s="3"/>
      <c r="BK607" s="3"/>
      <c r="BL607" s="3"/>
      <c r="BM607" s="3"/>
      <c r="BN607" s="3"/>
      <c r="BO607" s="3"/>
      <c r="BV607" s="3"/>
      <c r="BW607" s="3"/>
      <c r="BX607" s="3"/>
    </row>
    <row r="608" spans="61:76" ht="13" hidden="1" x14ac:dyDescent="0.15">
      <c r="BI608" s="3"/>
      <c r="BJ608" s="3"/>
      <c r="BK608" s="3"/>
      <c r="BL608" s="3"/>
      <c r="BM608" s="3"/>
      <c r="BN608" s="3"/>
      <c r="BO608" s="3"/>
      <c r="BV608" s="3"/>
      <c r="BW608" s="3"/>
      <c r="BX608" s="3"/>
    </row>
    <row r="609" spans="61:76" ht="13" hidden="1" x14ac:dyDescent="0.15">
      <c r="BI609" s="3"/>
      <c r="BJ609" s="3"/>
      <c r="BK609" s="3"/>
      <c r="BL609" s="3"/>
      <c r="BM609" s="3"/>
      <c r="BN609" s="3"/>
      <c r="BO609" s="3"/>
      <c r="BV609" s="3"/>
      <c r="BW609" s="3"/>
      <c r="BX609" s="3"/>
    </row>
    <row r="610" spans="61:76" ht="13" hidden="1" x14ac:dyDescent="0.15">
      <c r="BI610" s="3"/>
      <c r="BJ610" s="3"/>
      <c r="BK610" s="3"/>
      <c r="BL610" s="3"/>
      <c r="BM610" s="3"/>
      <c r="BN610" s="3"/>
      <c r="BO610" s="3"/>
      <c r="BV610" s="3"/>
      <c r="BW610" s="3"/>
      <c r="BX610" s="3"/>
    </row>
    <row r="611" spans="61:76" ht="13" hidden="1" x14ac:dyDescent="0.15">
      <c r="BI611" s="3"/>
      <c r="BJ611" s="3"/>
      <c r="BK611" s="3"/>
      <c r="BL611" s="3"/>
      <c r="BM611" s="3"/>
      <c r="BN611" s="3"/>
      <c r="BO611" s="3"/>
      <c r="BV611" s="3"/>
      <c r="BW611" s="3"/>
      <c r="BX611" s="3"/>
    </row>
    <row r="612" spans="61:76" ht="13" hidden="1" x14ac:dyDescent="0.15">
      <c r="BI612" s="3"/>
      <c r="BJ612" s="3"/>
      <c r="BK612" s="3"/>
      <c r="BL612" s="3"/>
      <c r="BM612" s="3"/>
      <c r="BN612" s="3"/>
      <c r="BO612" s="3"/>
      <c r="BV612" s="3"/>
      <c r="BW612" s="3"/>
      <c r="BX612" s="3"/>
    </row>
    <row r="613" spans="61:76" ht="13" hidden="1" x14ac:dyDescent="0.15">
      <c r="BI613" s="3"/>
      <c r="BJ613" s="3"/>
      <c r="BK613" s="3"/>
      <c r="BL613" s="3"/>
      <c r="BM613" s="3"/>
      <c r="BN613" s="3"/>
      <c r="BO613" s="3"/>
      <c r="BV613" s="3"/>
      <c r="BW613" s="3"/>
      <c r="BX613" s="3"/>
    </row>
    <row r="614" spans="61:76" ht="13" hidden="1" x14ac:dyDescent="0.15">
      <c r="BI614" s="3"/>
      <c r="BJ614" s="3"/>
      <c r="BK614" s="3"/>
      <c r="BL614" s="3"/>
      <c r="BM614" s="3"/>
      <c r="BN614" s="3"/>
      <c r="BO614" s="3"/>
      <c r="BV614" s="3"/>
      <c r="BW614" s="3"/>
      <c r="BX614" s="3"/>
    </row>
    <row r="615" spans="61:76" ht="13" hidden="1" x14ac:dyDescent="0.15">
      <c r="BI615" s="3"/>
      <c r="BJ615" s="3"/>
      <c r="BK615" s="3"/>
      <c r="BL615" s="3"/>
      <c r="BM615" s="3"/>
      <c r="BN615" s="3"/>
      <c r="BO615" s="3"/>
      <c r="BV615" s="3"/>
      <c r="BW615" s="3"/>
      <c r="BX615" s="3"/>
    </row>
    <row r="616" spans="61:76" ht="13" hidden="1" x14ac:dyDescent="0.15">
      <c r="BI616" s="3"/>
      <c r="BJ616" s="3"/>
      <c r="BK616" s="3"/>
      <c r="BL616" s="3"/>
      <c r="BM616" s="3"/>
      <c r="BN616" s="3"/>
      <c r="BO616" s="3"/>
      <c r="BV616" s="3"/>
      <c r="BW616" s="3"/>
      <c r="BX616" s="3"/>
    </row>
    <row r="617" spans="61:76" ht="13" hidden="1" x14ac:dyDescent="0.15">
      <c r="BI617" s="3"/>
      <c r="BJ617" s="3"/>
      <c r="BK617" s="3"/>
      <c r="BL617" s="3"/>
      <c r="BM617" s="3"/>
      <c r="BN617" s="3"/>
      <c r="BO617" s="3"/>
      <c r="BV617" s="3"/>
      <c r="BW617" s="3"/>
      <c r="BX617" s="3"/>
    </row>
    <row r="618" spans="61:76" ht="13" hidden="1" x14ac:dyDescent="0.15">
      <c r="BI618" s="3"/>
      <c r="BJ618" s="3"/>
      <c r="BK618" s="3"/>
      <c r="BL618" s="3"/>
      <c r="BM618" s="3"/>
      <c r="BN618" s="3"/>
      <c r="BO618" s="3"/>
      <c r="BV618" s="3"/>
      <c r="BW618" s="3"/>
      <c r="BX618" s="3"/>
    </row>
    <row r="619" spans="61:76" ht="13" hidden="1" x14ac:dyDescent="0.15">
      <c r="BI619" s="3"/>
      <c r="BJ619" s="3"/>
      <c r="BK619" s="3"/>
      <c r="BL619" s="3"/>
      <c r="BM619" s="3"/>
      <c r="BN619" s="3"/>
      <c r="BO619" s="3"/>
      <c r="BV619" s="3"/>
      <c r="BW619" s="3"/>
      <c r="BX619" s="3"/>
    </row>
    <row r="620" spans="61:76" ht="13" hidden="1" x14ac:dyDescent="0.15">
      <c r="BI620" s="3"/>
      <c r="BJ620" s="3"/>
      <c r="BK620" s="3"/>
      <c r="BL620" s="3"/>
      <c r="BM620" s="3"/>
      <c r="BN620" s="3"/>
      <c r="BO620" s="3"/>
      <c r="BV620" s="3"/>
      <c r="BW620" s="3"/>
      <c r="BX620" s="3"/>
    </row>
    <row r="621" spans="61:76" ht="13" hidden="1" x14ac:dyDescent="0.15">
      <c r="BI621" s="3"/>
      <c r="BJ621" s="3"/>
      <c r="BK621" s="3"/>
      <c r="BL621" s="3"/>
      <c r="BM621" s="3"/>
      <c r="BN621" s="3"/>
      <c r="BO621" s="3"/>
      <c r="BV621" s="3"/>
      <c r="BW621" s="3"/>
      <c r="BX621" s="3"/>
    </row>
    <row r="622" spans="61:76" ht="13" hidden="1" x14ac:dyDescent="0.15">
      <c r="BI622" s="3"/>
      <c r="BJ622" s="3"/>
      <c r="BK622" s="3"/>
      <c r="BL622" s="3"/>
      <c r="BM622" s="3"/>
      <c r="BN622" s="3"/>
      <c r="BO622" s="3"/>
      <c r="BV622" s="3"/>
      <c r="BW622" s="3"/>
      <c r="BX622" s="3"/>
    </row>
    <row r="623" spans="61:76" ht="13" hidden="1" x14ac:dyDescent="0.15">
      <c r="BI623" s="3"/>
      <c r="BJ623" s="3"/>
      <c r="BK623" s="3"/>
      <c r="BL623" s="3"/>
      <c r="BM623" s="3"/>
      <c r="BN623" s="3"/>
      <c r="BO623" s="3"/>
      <c r="BV623" s="3"/>
      <c r="BW623" s="3"/>
      <c r="BX623" s="3"/>
    </row>
    <row r="624" spans="61:76" ht="13" hidden="1" x14ac:dyDescent="0.15">
      <c r="BI624" s="3"/>
      <c r="BJ624" s="3"/>
      <c r="BK624" s="3"/>
      <c r="BL624" s="3"/>
      <c r="BM624" s="3"/>
      <c r="BN624" s="3"/>
      <c r="BO624" s="3"/>
      <c r="BV624" s="3"/>
      <c r="BW624" s="3"/>
      <c r="BX624" s="3"/>
    </row>
    <row r="625" spans="61:76" ht="13" hidden="1" x14ac:dyDescent="0.15">
      <c r="BI625" s="3"/>
      <c r="BJ625" s="3"/>
      <c r="BK625" s="3"/>
      <c r="BL625" s="3"/>
      <c r="BM625" s="3"/>
      <c r="BN625" s="3"/>
      <c r="BO625" s="3"/>
      <c r="BV625" s="3"/>
      <c r="BW625" s="3"/>
      <c r="BX625" s="3"/>
    </row>
    <row r="626" spans="61:76" ht="13" hidden="1" x14ac:dyDescent="0.15">
      <c r="BI626" s="3"/>
      <c r="BJ626" s="3"/>
      <c r="BK626" s="3"/>
      <c r="BL626" s="3"/>
      <c r="BM626" s="3"/>
      <c r="BN626" s="3"/>
      <c r="BO626" s="3"/>
      <c r="BV626" s="3"/>
      <c r="BW626" s="3"/>
      <c r="BX626" s="3"/>
    </row>
    <row r="627" spans="61:76" ht="13" hidden="1" x14ac:dyDescent="0.15">
      <c r="BI627" s="3"/>
      <c r="BJ627" s="3"/>
      <c r="BK627" s="3"/>
      <c r="BL627" s="3"/>
      <c r="BM627" s="3"/>
      <c r="BN627" s="3"/>
      <c r="BO627" s="3"/>
      <c r="BV627" s="3"/>
      <c r="BW627" s="3"/>
      <c r="BX627" s="3"/>
    </row>
    <row r="628" spans="61:76" ht="13" hidden="1" x14ac:dyDescent="0.15">
      <c r="BI628" s="3"/>
      <c r="BJ628" s="3"/>
      <c r="BK628" s="3"/>
      <c r="BL628" s="3"/>
      <c r="BM628" s="3"/>
      <c r="BN628" s="3"/>
      <c r="BO628" s="3"/>
      <c r="BV628" s="3"/>
      <c r="BW628" s="3"/>
      <c r="BX628" s="3"/>
    </row>
    <row r="629" spans="61:76" ht="13" hidden="1" x14ac:dyDescent="0.15">
      <c r="BI629" s="3"/>
      <c r="BJ629" s="3"/>
      <c r="BK629" s="3"/>
      <c r="BL629" s="3"/>
      <c r="BM629" s="3"/>
      <c r="BN629" s="3"/>
      <c r="BO629" s="3"/>
      <c r="BV629" s="3"/>
      <c r="BW629" s="3"/>
      <c r="BX629" s="3"/>
    </row>
    <row r="630" spans="61:76" ht="13" hidden="1" x14ac:dyDescent="0.15">
      <c r="BI630" s="3"/>
      <c r="BJ630" s="3"/>
      <c r="BK630" s="3"/>
      <c r="BL630" s="3"/>
      <c r="BM630" s="3"/>
      <c r="BN630" s="3"/>
      <c r="BO630" s="3"/>
      <c r="BV630" s="3"/>
      <c r="BW630" s="3"/>
      <c r="BX630" s="3"/>
    </row>
    <row r="631" spans="61:76" ht="13" hidden="1" x14ac:dyDescent="0.15">
      <c r="BI631" s="3"/>
      <c r="BJ631" s="3"/>
      <c r="BK631" s="3"/>
      <c r="BL631" s="3"/>
      <c r="BM631" s="3"/>
      <c r="BN631" s="3"/>
      <c r="BO631" s="3"/>
      <c r="BV631" s="3"/>
      <c r="BW631" s="3"/>
      <c r="BX631" s="3"/>
    </row>
    <row r="632" spans="61:76" ht="13" hidden="1" x14ac:dyDescent="0.15">
      <c r="BI632" s="3"/>
      <c r="BJ632" s="3"/>
      <c r="BK632" s="3"/>
      <c r="BL632" s="3"/>
      <c r="BM632" s="3"/>
      <c r="BN632" s="3"/>
      <c r="BO632" s="3"/>
      <c r="BV632" s="3"/>
      <c r="BW632" s="3"/>
      <c r="BX632" s="3"/>
    </row>
    <row r="633" spans="61:76" ht="13" hidden="1" x14ac:dyDescent="0.15">
      <c r="BI633" s="3"/>
      <c r="BJ633" s="3"/>
      <c r="BK633" s="3"/>
      <c r="BL633" s="3"/>
      <c r="BM633" s="3"/>
      <c r="BN633" s="3"/>
      <c r="BO633" s="3"/>
      <c r="BV633" s="3"/>
      <c r="BW633" s="3"/>
      <c r="BX633" s="3"/>
    </row>
    <row r="634" spans="61:76" ht="13" hidden="1" x14ac:dyDescent="0.15">
      <c r="BI634" s="3"/>
      <c r="BJ634" s="3"/>
      <c r="BK634" s="3"/>
      <c r="BL634" s="3"/>
      <c r="BM634" s="3"/>
      <c r="BN634" s="3"/>
      <c r="BO634" s="3"/>
      <c r="BV634" s="3"/>
      <c r="BW634" s="3"/>
      <c r="BX634" s="3"/>
    </row>
    <row r="635" spans="61:76" ht="13" hidden="1" x14ac:dyDescent="0.15">
      <c r="BI635" s="3"/>
      <c r="BJ635" s="3"/>
      <c r="BK635" s="3"/>
      <c r="BL635" s="3"/>
      <c r="BM635" s="3"/>
      <c r="BN635" s="3"/>
      <c r="BO635" s="3"/>
      <c r="BV635" s="3"/>
      <c r="BW635" s="3"/>
      <c r="BX635" s="3"/>
    </row>
    <row r="636" spans="61:76" ht="13" hidden="1" x14ac:dyDescent="0.15">
      <c r="BI636" s="3"/>
      <c r="BJ636" s="3"/>
      <c r="BK636" s="3"/>
      <c r="BL636" s="3"/>
      <c r="BM636" s="3"/>
      <c r="BN636" s="3"/>
      <c r="BO636" s="3"/>
      <c r="BV636" s="3"/>
      <c r="BW636" s="3"/>
      <c r="BX636" s="3"/>
    </row>
    <row r="637" spans="61:76" ht="13" hidden="1" x14ac:dyDescent="0.15">
      <c r="BI637" s="3"/>
      <c r="BJ637" s="3"/>
      <c r="BK637" s="3"/>
      <c r="BL637" s="3"/>
      <c r="BM637" s="3"/>
      <c r="BN637" s="3"/>
      <c r="BO637" s="3"/>
      <c r="BV637" s="3"/>
      <c r="BW637" s="3"/>
      <c r="BX637" s="3"/>
    </row>
    <row r="638" spans="61:76" ht="13" hidden="1" x14ac:dyDescent="0.15">
      <c r="BI638" s="3"/>
      <c r="BJ638" s="3"/>
      <c r="BK638" s="3"/>
      <c r="BL638" s="3"/>
      <c r="BM638" s="3"/>
      <c r="BN638" s="3"/>
      <c r="BO638" s="3"/>
      <c r="BV638" s="3"/>
      <c r="BW638" s="3"/>
      <c r="BX638" s="3"/>
    </row>
    <row r="639" spans="61:76" ht="13" hidden="1" x14ac:dyDescent="0.15">
      <c r="BI639" s="3"/>
      <c r="BJ639" s="3"/>
      <c r="BK639" s="3"/>
      <c r="BL639" s="3"/>
      <c r="BM639" s="3"/>
      <c r="BN639" s="3"/>
      <c r="BO639" s="3"/>
      <c r="BV639" s="3"/>
      <c r="BW639" s="3"/>
      <c r="BX639" s="3"/>
    </row>
    <row r="640" spans="61:76" ht="13" hidden="1" x14ac:dyDescent="0.15">
      <c r="BI640" s="3"/>
      <c r="BJ640" s="3"/>
      <c r="BK640" s="3"/>
      <c r="BL640" s="3"/>
      <c r="BM640" s="3"/>
      <c r="BN640" s="3"/>
      <c r="BO640" s="3"/>
      <c r="BV640" s="3"/>
      <c r="BW640" s="3"/>
      <c r="BX640" s="3"/>
    </row>
    <row r="641" spans="61:76" ht="13" hidden="1" x14ac:dyDescent="0.15">
      <c r="BI641" s="3"/>
      <c r="BJ641" s="3"/>
      <c r="BK641" s="3"/>
      <c r="BL641" s="3"/>
      <c r="BM641" s="3"/>
      <c r="BN641" s="3"/>
      <c r="BO641" s="3"/>
      <c r="BV641" s="3"/>
      <c r="BW641" s="3"/>
      <c r="BX641" s="3"/>
    </row>
    <row r="642" spans="61:76" ht="13" hidden="1" x14ac:dyDescent="0.15">
      <c r="BI642" s="3"/>
      <c r="BJ642" s="3"/>
      <c r="BK642" s="3"/>
      <c r="BL642" s="3"/>
      <c r="BM642" s="3"/>
      <c r="BN642" s="3"/>
      <c r="BO642" s="3"/>
      <c r="BV642" s="3"/>
      <c r="BW642" s="3"/>
      <c r="BX642" s="3"/>
    </row>
    <row r="643" spans="61:76" ht="13" hidden="1" x14ac:dyDescent="0.15">
      <c r="BI643" s="3"/>
      <c r="BJ643" s="3"/>
      <c r="BK643" s="3"/>
      <c r="BL643" s="3"/>
      <c r="BM643" s="3"/>
      <c r="BN643" s="3"/>
      <c r="BO643" s="3"/>
      <c r="BV643" s="3"/>
      <c r="BW643" s="3"/>
      <c r="BX643" s="3"/>
    </row>
    <row r="644" spans="61:76" ht="13" hidden="1" x14ac:dyDescent="0.15">
      <c r="BI644" s="3"/>
      <c r="BJ644" s="3"/>
      <c r="BK644" s="3"/>
      <c r="BL644" s="3"/>
      <c r="BM644" s="3"/>
      <c r="BN644" s="3"/>
      <c r="BO644" s="3"/>
      <c r="BV644" s="3"/>
      <c r="BW644" s="3"/>
      <c r="BX644" s="3"/>
    </row>
    <row r="645" spans="61:76" ht="13" hidden="1" x14ac:dyDescent="0.15">
      <c r="BI645" s="3"/>
      <c r="BJ645" s="3"/>
      <c r="BK645" s="3"/>
      <c r="BL645" s="3"/>
      <c r="BM645" s="3"/>
      <c r="BN645" s="3"/>
      <c r="BO645" s="3"/>
      <c r="BV645" s="3"/>
      <c r="BW645" s="3"/>
      <c r="BX645" s="3"/>
    </row>
    <row r="646" spans="61:76" ht="13" hidden="1" x14ac:dyDescent="0.15">
      <c r="BI646" s="3"/>
      <c r="BJ646" s="3"/>
      <c r="BK646" s="3"/>
      <c r="BL646" s="3"/>
      <c r="BM646" s="3"/>
      <c r="BN646" s="3"/>
      <c r="BO646" s="3"/>
      <c r="BV646" s="3"/>
      <c r="BW646" s="3"/>
      <c r="BX646" s="3"/>
    </row>
    <row r="647" spans="61:76" ht="13" hidden="1" x14ac:dyDescent="0.15">
      <c r="BI647" s="3"/>
      <c r="BJ647" s="3"/>
      <c r="BK647" s="3"/>
      <c r="BL647" s="3"/>
      <c r="BM647" s="3"/>
      <c r="BN647" s="3"/>
      <c r="BO647" s="3"/>
      <c r="BV647" s="3"/>
      <c r="BW647" s="3"/>
      <c r="BX647" s="3"/>
    </row>
    <row r="648" spans="61:76" ht="13" hidden="1" x14ac:dyDescent="0.15">
      <c r="BI648" s="3"/>
      <c r="BJ648" s="3"/>
      <c r="BK648" s="3"/>
      <c r="BL648" s="3"/>
      <c r="BM648" s="3"/>
      <c r="BN648" s="3"/>
      <c r="BO648" s="3"/>
      <c r="BV648" s="3"/>
      <c r="BW648" s="3"/>
      <c r="BX648" s="3"/>
    </row>
    <row r="649" spans="61:76" ht="13" hidden="1" x14ac:dyDescent="0.15">
      <c r="BI649" s="3"/>
      <c r="BJ649" s="3"/>
      <c r="BK649" s="3"/>
      <c r="BL649" s="3"/>
      <c r="BM649" s="3"/>
      <c r="BN649" s="3"/>
      <c r="BO649" s="3"/>
      <c r="BV649" s="3"/>
      <c r="BW649" s="3"/>
      <c r="BX649" s="3"/>
    </row>
    <row r="650" spans="61:76" ht="13" hidden="1" x14ac:dyDescent="0.15">
      <c r="BI650" s="3"/>
      <c r="BJ650" s="3"/>
      <c r="BK650" s="3"/>
      <c r="BL650" s="3"/>
      <c r="BM650" s="3"/>
      <c r="BN650" s="3"/>
      <c r="BO650" s="3"/>
      <c r="BV650" s="3"/>
      <c r="BW650" s="3"/>
      <c r="BX650" s="3"/>
    </row>
    <row r="651" spans="61:76" ht="13" hidden="1" x14ac:dyDescent="0.15">
      <c r="BI651" s="3"/>
      <c r="BJ651" s="3"/>
      <c r="BK651" s="3"/>
      <c r="BL651" s="3"/>
      <c r="BM651" s="3"/>
      <c r="BN651" s="3"/>
      <c r="BO651" s="3"/>
      <c r="BV651" s="3"/>
      <c r="BW651" s="3"/>
      <c r="BX651" s="3"/>
    </row>
    <row r="652" spans="61:76" ht="13" hidden="1" x14ac:dyDescent="0.15">
      <c r="BI652" s="3"/>
      <c r="BJ652" s="3"/>
      <c r="BK652" s="3"/>
      <c r="BL652" s="3"/>
      <c r="BM652" s="3"/>
      <c r="BN652" s="3"/>
      <c r="BO652" s="3"/>
      <c r="BV652" s="3"/>
      <c r="BW652" s="3"/>
      <c r="BX652" s="3"/>
    </row>
    <row r="653" spans="61:76" ht="13" hidden="1" x14ac:dyDescent="0.15">
      <c r="BI653" s="3"/>
      <c r="BJ653" s="3"/>
      <c r="BK653" s="3"/>
      <c r="BL653" s="3"/>
      <c r="BM653" s="3"/>
      <c r="BN653" s="3"/>
      <c r="BO653" s="3"/>
      <c r="BV653" s="3"/>
      <c r="BW653" s="3"/>
      <c r="BX653" s="3"/>
    </row>
    <row r="654" spans="61:76" ht="13" hidden="1" x14ac:dyDescent="0.15">
      <c r="BI654" s="3"/>
      <c r="BJ654" s="3"/>
      <c r="BK654" s="3"/>
      <c r="BL654" s="3"/>
      <c r="BM654" s="3"/>
      <c r="BN654" s="3"/>
      <c r="BO654" s="3"/>
      <c r="BV654" s="3"/>
      <c r="BW654" s="3"/>
      <c r="BX654" s="3"/>
    </row>
    <row r="655" spans="61:76" ht="13" hidden="1" x14ac:dyDescent="0.15">
      <c r="BI655" s="3"/>
      <c r="BJ655" s="3"/>
      <c r="BK655" s="3"/>
      <c r="BL655" s="3"/>
      <c r="BM655" s="3"/>
      <c r="BN655" s="3"/>
      <c r="BO655" s="3"/>
      <c r="BV655" s="3"/>
      <c r="BW655" s="3"/>
      <c r="BX655" s="3"/>
    </row>
    <row r="656" spans="61:76" ht="13" hidden="1" x14ac:dyDescent="0.15">
      <c r="BI656" s="3"/>
      <c r="BJ656" s="3"/>
      <c r="BK656" s="3"/>
      <c r="BL656" s="3"/>
      <c r="BM656" s="3"/>
      <c r="BN656" s="3"/>
      <c r="BO656" s="3"/>
      <c r="BV656" s="3"/>
      <c r="BW656" s="3"/>
      <c r="BX656" s="3"/>
    </row>
    <row r="657" spans="61:76" ht="13" hidden="1" x14ac:dyDescent="0.15">
      <c r="BI657" s="3"/>
      <c r="BJ657" s="3"/>
      <c r="BK657" s="3"/>
      <c r="BL657" s="3"/>
      <c r="BM657" s="3"/>
      <c r="BN657" s="3"/>
      <c r="BO657" s="3"/>
      <c r="BV657" s="3"/>
      <c r="BW657" s="3"/>
      <c r="BX657" s="3"/>
    </row>
    <row r="658" spans="61:76" ht="13" hidden="1" x14ac:dyDescent="0.15">
      <c r="BI658" s="3"/>
      <c r="BJ658" s="3"/>
      <c r="BK658" s="3"/>
      <c r="BL658" s="3"/>
      <c r="BM658" s="3"/>
      <c r="BN658" s="3"/>
      <c r="BO658" s="3"/>
      <c r="BV658" s="3"/>
      <c r="BW658" s="3"/>
      <c r="BX658" s="3"/>
    </row>
    <row r="659" spans="61:76" ht="13" hidden="1" x14ac:dyDescent="0.15">
      <c r="BI659" s="3"/>
      <c r="BJ659" s="3"/>
      <c r="BK659" s="3"/>
      <c r="BL659" s="3"/>
      <c r="BM659" s="3"/>
      <c r="BN659" s="3"/>
      <c r="BO659" s="3"/>
      <c r="BV659" s="3"/>
      <c r="BW659" s="3"/>
      <c r="BX659" s="3"/>
    </row>
    <row r="660" spans="61:76" ht="13" hidden="1" x14ac:dyDescent="0.15">
      <c r="BI660" s="3"/>
      <c r="BJ660" s="3"/>
      <c r="BK660" s="3"/>
      <c r="BL660" s="3"/>
      <c r="BM660" s="3"/>
      <c r="BN660" s="3"/>
      <c r="BO660" s="3"/>
      <c r="BV660" s="3"/>
      <c r="BW660" s="3"/>
      <c r="BX660" s="3"/>
    </row>
    <row r="661" spans="61:76" ht="13" hidden="1" x14ac:dyDescent="0.15">
      <c r="BI661" s="3"/>
      <c r="BJ661" s="3"/>
      <c r="BK661" s="3"/>
      <c r="BL661" s="3"/>
      <c r="BM661" s="3"/>
      <c r="BN661" s="3"/>
      <c r="BO661" s="3"/>
      <c r="BV661" s="3"/>
      <c r="BW661" s="3"/>
      <c r="BX661" s="3"/>
    </row>
    <row r="662" spans="61:76" ht="13" hidden="1" x14ac:dyDescent="0.15">
      <c r="BI662" s="3"/>
      <c r="BJ662" s="3"/>
      <c r="BK662" s="3"/>
      <c r="BL662" s="3"/>
      <c r="BM662" s="3"/>
      <c r="BN662" s="3"/>
      <c r="BO662" s="3"/>
      <c r="BV662" s="3"/>
      <c r="BW662" s="3"/>
      <c r="BX662" s="3"/>
    </row>
    <row r="663" spans="61:76" ht="13" hidden="1" x14ac:dyDescent="0.15">
      <c r="BI663" s="3"/>
      <c r="BJ663" s="3"/>
      <c r="BK663" s="3"/>
      <c r="BL663" s="3"/>
      <c r="BM663" s="3"/>
      <c r="BN663" s="3"/>
      <c r="BO663" s="3"/>
      <c r="BV663" s="3"/>
      <c r="BW663" s="3"/>
      <c r="BX663" s="3"/>
    </row>
    <row r="664" spans="61:76" ht="13" hidden="1" x14ac:dyDescent="0.15">
      <c r="BI664" s="3"/>
      <c r="BJ664" s="3"/>
      <c r="BK664" s="3"/>
      <c r="BL664" s="3"/>
      <c r="BM664" s="3"/>
      <c r="BN664" s="3"/>
      <c r="BO664" s="3"/>
      <c r="BV664" s="3"/>
      <c r="BW664" s="3"/>
      <c r="BX664" s="3"/>
    </row>
    <row r="665" spans="61:76" ht="13" hidden="1" x14ac:dyDescent="0.15">
      <c r="BI665" s="3"/>
      <c r="BJ665" s="3"/>
      <c r="BK665" s="3"/>
      <c r="BL665" s="3"/>
      <c r="BM665" s="3"/>
      <c r="BN665" s="3"/>
      <c r="BO665" s="3"/>
      <c r="BV665" s="3"/>
      <c r="BW665" s="3"/>
      <c r="BX665" s="3"/>
    </row>
    <row r="666" spans="61:76" ht="13" hidden="1" x14ac:dyDescent="0.15">
      <c r="BI666" s="3"/>
      <c r="BJ666" s="3"/>
      <c r="BK666" s="3"/>
      <c r="BL666" s="3"/>
      <c r="BM666" s="3"/>
      <c r="BN666" s="3"/>
      <c r="BO666" s="3"/>
      <c r="BV666" s="3"/>
      <c r="BW666" s="3"/>
      <c r="BX666" s="3"/>
    </row>
    <row r="667" spans="61:76" ht="13" hidden="1" x14ac:dyDescent="0.15">
      <c r="BI667" s="3"/>
      <c r="BJ667" s="3"/>
      <c r="BK667" s="3"/>
      <c r="BL667" s="3"/>
      <c r="BM667" s="3"/>
      <c r="BN667" s="3"/>
      <c r="BO667" s="3"/>
      <c r="BV667" s="3"/>
      <c r="BW667" s="3"/>
      <c r="BX667" s="3"/>
    </row>
    <row r="668" spans="61:76" ht="13" hidden="1" x14ac:dyDescent="0.15">
      <c r="BI668" s="3"/>
      <c r="BJ668" s="3"/>
      <c r="BK668" s="3"/>
      <c r="BL668" s="3"/>
      <c r="BM668" s="3"/>
      <c r="BN668" s="3"/>
      <c r="BO668" s="3"/>
      <c r="BV668" s="3"/>
      <c r="BW668" s="3"/>
      <c r="BX668" s="3"/>
    </row>
    <row r="669" spans="61:76" ht="13" hidden="1" x14ac:dyDescent="0.15">
      <c r="BI669" s="3"/>
      <c r="BJ669" s="3"/>
      <c r="BK669" s="3"/>
      <c r="BL669" s="3"/>
      <c r="BM669" s="3"/>
      <c r="BN669" s="3"/>
      <c r="BO669" s="3"/>
      <c r="BV669" s="3"/>
      <c r="BW669" s="3"/>
      <c r="BX669" s="3"/>
    </row>
    <row r="670" spans="61:76" ht="13" hidden="1" x14ac:dyDescent="0.15">
      <c r="BI670" s="3"/>
      <c r="BJ670" s="3"/>
      <c r="BK670" s="3"/>
      <c r="BL670" s="3"/>
      <c r="BM670" s="3"/>
      <c r="BN670" s="3"/>
      <c r="BO670" s="3"/>
      <c r="BV670" s="3"/>
      <c r="BW670" s="3"/>
      <c r="BX670" s="3"/>
    </row>
    <row r="671" spans="61:76" ht="13" hidden="1" x14ac:dyDescent="0.15">
      <c r="BI671" s="3"/>
      <c r="BJ671" s="3"/>
      <c r="BK671" s="3"/>
      <c r="BL671" s="3"/>
      <c r="BM671" s="3"/>
      <c r="BN671" s="3"/>
      <c r="BO671" s="3"/>
      <c r="BV671" s="3"/>
      <c r="BW671" s="3"/>
      <c r="BX671" s="3"/>
    </row>
    <row r="672" spans="61:76" ht="13" hidden="1" x14ac:dyDescent="0.15">
      <c r="BI672" s="3"/>
      <c r="BJ672" s="3"/>
      <c r="BK672" s="3"/>
      <c r="BL672" s="3"/>
      <c r="BM672" s="3"/>
      <c r="BN672" s="3"/>
      <c r="BO672" s="3"/>
      <c r="BV672" s="3"/>
      <c r="BW672" s="3"/>
      <c r="BX672" s="3"/>
    </row>
    <row r="673" spans="61:76" ht="13" hidden="1" x14ac:dyDescent="0.15">
      <c r="BI673" s="3"/>
      <c r="BJ673" s="3"/>
      <c r="BK673" s="3"/>
      <c r="BL673" s="3"/>
      <c r="BM673" s="3"/>
      <c r="BN673" s="3"/>
      <c r="BO673" s="3"/>
      <c r="BV673" s="3"/>
      <c r="BW673" s="3"/>
      <c r="BX673" s="3"/>
    </row>
    <row r="674" spans="61:76" ht="13" hidden="1" x14ac:dyDescent="0.15">
      <c r="BI674" s="3"/>
      <c r="BJ674" s="3"/>
      <c r="BK674" s="3"/>
      <c r="BL674" s="3"/>
      <c r="BM674" s="3"/>
      <c r="BN674" s="3"/>
      <c r="BO674" s="3"/>
      <c r="BV674" s="3"/>
      <c r="BW674" s="3"/>
      <c r="BX674" s="3"/>
    </row>
    <row r="675" spans="61:76" ht="13" hidden="1" x14ac:dyDescent="0.15">
      <c r="BI675" s="3"/>
      <c r="BJ675" s="3"/>
      <c r="BK675" s="3"/>
      <c r="BL675" s="3"/>
      <c r="BM675" s="3"/>
      <c r="BN675" s="3"/>
      <c r="BO675" s="3"/>
      <c r="BV675" s="3"/>
      <c r="BW675" s="3"/>
      <c r="BX675" s="3"/>
    </row>
    <row r="676" spans="61:76" ht="13" hidden="1" x14ac:dyDescent="0.15">
      <c r="BI676" s="3"/>
      <c r="BJ676" s="3"/>
      <c r="BK676" s="3"/>
      <c r="BL676" s="3"/>
      <c r="BM676" s="3"/>
      <c r="BN676" s="3"/>
      <c r="BO676" s="3"/>
      <c r="BV676" s="3"/>
      <c r="BW676" s="3"/>
      <c r="BX676" s="3"/>
    </row>
    <row r="677" spans="61:76" ht="13" hidden="1" x14ac:dyDescent="0.15">
      <c r="BI677" s="3"/>
      <c r="BJ677" s="3"/>
      <c r="BK677" s="3"/>
      <c r="BL677" s="3"/>
      <c r="BM677" s="3"/>
      <c r="BN677" s="3"/>
      <c r="BO677" s="3"/>
      <c r="BV677" s="3"/>
      <c r="BW677" s="3"/>
      <c r="BX677" s="3"/>
    </row>
    <row r="678" spans="61:76" ht="13" hidden="1" x14ac:dyDescent="0.15">
      <c r="BI678" s="3"/>
      <c r="BJ678" s="3"/>
      <c r="BK678" s="3"/>
      <c r="BL678" s="3"/>
      <c r="BM678" s="3"/>
      <c r="BN678" s="3"/>
      <c r="BO678" s="3"/>
      <c r="BV678" s="3"/>
      <c r="BW678" s="3"/>
      <c r="BX678" s="3"/>
    </row>
    <row r="679" spans="61:76" ht="13" hidden="1" x14ac:dyDescent="0.15">
      <c r="BI679" s="3"/>
      <c r="BJ679" s="3"/>
      <c r="BK679" s="3"/>
      <c r="BL679" s="3"/>
      <c r="BM679" s="3"/>
      <c r="BN679" s="3"/>
      <c r="BO679" s="3"/>
      <c r="BV679" s="3"/>
      <c r="BW679" s="3"/>
      <c r="BX679" s="3"/>
    </row>
    <row r="680" spans="61:76" ht="13" hidden="1" x14ac:dyDescent="0.15">
      <c r="BI680" s="3"/>
      <c r="BJ680" s="3"/>
      <c r="BK680" s="3"/>
      <c r="BL680" s="3"/>
      <c r="BM680" s="3"/>
      <c r="BN680" s="3"/>
      <c r="BO680" s="3"/>
      <c r="BV680" s="3"/>
      <c r="BW680" s="3"/>
      <c r="BX680" s="3"/>
    </row>
    <row r="681" spans="61:76" ht="13" hidden="1" x14ac:dyDescent="0.15">
      <c r="BI681" s="3"/>
      <c r="BJ681" s="3"/>
      <c r="BK681" s="3"/>
      <c r="BL681" s="3"/>
      <c r="BM681" s="3"/>
      <c r="BN681" s="3"/>
      <c r="BO681" s="3"/>
      <c r="BV681" s="3"/>
      <c r="BW681" s="3"/>
      <c r="BX681" s="3"/>
    </row>
    <row r="682" spans="61:76" ht="13" hidden="1" x14ac:dyDescent="0.15">
      <c r="BI682" s="3"/>
      <c r="BJ682" s="3"/>
      <c r="BK682" s="3"/>
      <c r="BL682" s="3"/>
      <c r="BM682" s="3"/>
      <c r="BN682" s="3"/>
      <c r="BO682" s="3"/>
      <c r="BV682" s="3"/>
      <c r="BW682" s="3"/>
      <c r="BX682" s="3"/>
    </row>
    <row r="683" spans="61:76" ht="13" hidden="1" x14ac:dyDescent="0.15">
      <c r="BI683" s="3"/>
      <c r="BJ683" s="3"/>
      <c r="BK683" s="3"/>
      <c r="BL683" s="3"/>
      <c r="BM683" s="3"/>
      <c r="BN683" s="3"/>
      <c r="BO683" s="3"/>
      <c r="BV683" s="3"/>
      <c r="BW683" s="3"/>
      <c r="BX683" s="3"/>
    </row>
    <row r="684" spans="61:76" ht="13" hidden="1" x14ac:dyDescent="0.15">
      <c r="BI684" s="3"/>
      <c r="BJ684" s="3"/>
      <c r="BK684" s="3"/>
      <c r="BL684" s="3"/>
      <c r="BM684" s="3"/>
      <c r="BN684" s="3"/>
      <c r="BO684" s="3"/>
      <c r="BV684" s="3"/>
      <c r="BW684" s="3"/>
      <c r="BX684" s="3"/>
    </row>
    <row r="685" spans="61:76" ht="13" hidden="1" x14ac:dyDescent="0.15">
      <c r="BI685" s="3"/>
      <c r="BJ685" s="3"/>
      <c r="BK685" s="3"/>
      <c r="BL685" s="3"/>
      <c r="BM685" s="3"/>
      <c r="BN685" s="3"/>
      <c r="BO685" s="3"/>
      <c r="BV685" s="3"/>
      <c r="BW685" s="3"/>
      <c r="BX685" s="3"/>
    </row>
    <row r="686" spans="61:76" ht="13" hidden="1" x14ac:dyDescent="0.15">
      <c r="BI686" s="3"/>
      <c r="BJ686" s="3"/>
      <c r="BK686" s="3"/>
      <c r="BL686" s="3"/>
      <c r="BM686" s="3"/>
      <c r="BN686" s="3"/>
      <c r="BO686" s="3"/>
      <c r="BV686" s="3"/>
      <c r="BW686" s="3"/>
      <c r="BX686" s="3"/>
    </row>
    <row r="687" spans="61:76" ht="13" hidden="1" x14ac:dyDescent="0.15">
      <c r="BI687" s="3"/>
      <c r="BJ687" s="3"/>
      <c r="BK687" s="3"/>
      <c r="BL687" s="3"/>
      <c r="BM687" s="3"/>
      <c r="BN687" s="3"/>
      <c r="BO687" s="3"/>
      <c r="BV687" s="3"/>
      <c r="BW687" s="3"/>
      <c r="BX687" s="3"/>
    </row>
    <row r="688" spans="61:76" ht="13" hidden="1" x14ac:dyDescent="0.15">
      <c r="BI688" s="3"/>
      <c r="BJ688" s="3"/>
      <c r="BK688" s="3"/>
      <c r="BL688" s="3"/>
      <c r="BM688" s="3"/>
      <c r="BN688" s="3"/>
      <c r="BO688" s="3"/>
      <c r="BV688" s="3"/>
      <c r="BW688" s="3"/>
      <c r="BX688" s="3"/>
    </row>
    <row r="689" spans="61:76" ht="13" hidden="1" x14ac:dyDescent="0.15">
      <c r="BI689" s="3"/>
      <c r="BJ689" s="3"/>
      <c r="BK689" s="3"/>
      <c r="BL689" s="3"/>
      <c r="BM689" s="3"/>
      <c r="BN689" s="3"/>
      <c r="BO689" s="3"/>
      <c r="BV689" s="3"/>
      <c r="BW689" s="3"/>
      <c r="BX689" s="3"/>
    </row>
    <row r="690" spans="61:76" ht="13" hidden="1" x14ac:dyDescent="0.15">
      <c r="BI690" s="3"/>
      <c r="BJ690" s="3"/>
      <c r="BK690" s="3"/>
      <c r="BL690" s="3"/>
      <c r="BM690" s="3"/>
      <c r="BN690" s="3"/>
      <c r="BO690" s="3"/>
      <c r="BV690" s="3"/>
      <c r="BW690" s="3"/>
      <c r="BX690" s="3"/>
    </row>
    <row r="691" spans="61:76" ht="13" hidden="1" x14ac:dyDescent="0.15">
      <c r="BI691" s="3"/>
      <c r="BJ691" s="3"/>
      <c r="BK691" s="3"/>
      <c r="BL691" s="3"/>
      <c r="BM691" s="3"/>
      <c r="BN691" s="3"/>
      <c r="BO691" s="3"/>
      <c r="BV691" s="3"/>
      <c r="BW691" s="3"/>
      <c r="BX691" s="3"/>
    </row>
    <row r="692" spans="61:76" ht="13" hidden="1" x14ac:dyDescent="0.15">
      <c r="BI692" s="3"/>
      <c r="BJ692" s="3"/>
      <c r="BK692" s="3"/>
      <c r="BL692" s="3"/>
      <c r="BM692" s="3"/>
      <c r="BN692" s="3"/>
      <c r="BO692" s="3"/>
      <c r="BV692" s="3"/>
      <c r="BW692" s="3"/>
      <c r="BX692" s="3"/>
    </row>
    <row r="693" spans="61:76" ht="13" hidden="1" x14ac:dyDescent="0.15">
      <c r="BI693" s="3"/>
      <c r="BJ693" s="3"/>
      <c r="BK693" s="3"/>
      <c r="BL693" s="3"/>
      <c r="BM693" s="3"/>
      <c r="BN693" s="3"/>
      <c r="BO693" s="3"/>
      <c r="BV693" s="3"/>
      <c r="BW693" s="3"/>
      <c r="BX693" s="3"/>
    </row>
    <row r="694" spans="61:76" ht="13" hidden="1" x14ac:dyDescent="0.15">
      <c r="BI694" s="3"/>
      <c r="BJ694" s="3"/>
      <c r="BK694" s="3"/>
      <c r="BL694" s="3"/>
      <c r="BM694" s="3"/>
      <c r="BN694" s="3"/>
      <c r="BO694" s="3"/>
      <c r="BV694" s="3"/>
      <c r="BW694" s="3"/>
      <c r="BX694" s="3"/>
    </row>
    <row r="695" spans="61:76" ht="13" hidden="1" x14ac:dyDescent="0.15">
      <c r="BI695" s="3"/>
      <c r="BJ695" s="3"/>
      <c r="BK695" s="3"/>
      <c r="BL695" s="3"/>
      <c r="BM695" s="3"/>
      <c r="BN695" s="3"/>
      <c r="BO695" s="3"/>
      <c r="BV695" s="3"/>
      <c r="BW695" s="3"/>
      <c r="BX695" s="3"/>
    </row>
    <row r="696" spans="61:76" ht="13" hidden="1" x14ac:dyDescent="0.15">
      <c r="BI696" s="3"/>
      <c r="BJ696" s="3"/>
      <c r="BK696" s="3"/>
      <c r="BL696" s="3"/>
      <c r="BM696" s="3"/>
      <c r="BN696" s="3"/>
      <c r="BO696" s="3"/>
      <c r="BV696" s="3"/>
      <c r="BW696" s="3"/>
      <c r="BX696" s="3"/>
    </row>
    <row r="697" spans="61:76" ht="13" hidden="1" x14ac:dyDescent="0.15">
      <c r="BI697" s="3"/>
      <c r="BJ697" s="3"/>
      <c r="BK697" s="3"/>
      <c r="BL697" s="3"/>
      <c r="BM697" s="3"/>
      <c r="BN697" s="3"/>
      <c r="BO697" s="3"/>
      <c r="BV697" s="3"/>
      <c r="BW697" s="3"/>
      <c r="BX697" s="3"/>
    </row>
    <row r="698" spans="61:76" ht="13" hidden="1" x14ac:dyDescent="0.15">
      <c r="BI698" s="3"/>
      <c r="BJ698" s="3"/>
      <c r="BK698" s="3"/>
      <c r="BL698" s="3"/>
      <c r="BM698" s="3"/>
      <c r="BN698" s="3"/>
      <c r="BO698" s="3"/>
      <c r="BV698" s="3"/>
      <c r="BW698" s="3"/>
      <c r="BX698" s="3"/>
    </row>
    <row r="699" spans="61:76" ht="13" hidden="1" x14ac:dyDescent="0.15">
      <c r="BI699" s="3"/>
      <c r="BJ699" s="3"/>
      <c r="BK699" s="3"/>
      <c r="BL699" s="3"/>
      <c r="BM699" s="3"/>
      <c r="BN699" s="3"/>
      <c r="BO699" s="3"/>
      <c r="BV699" s="3"/>
      <c r="BW699" s="3"/>
      <c r="BX699" s="3"/>
    </row>
    <row r="700" spans="61:76" ht="13" hidden="1" x14ac:dyDescent="0.15">
      <c r="BI700" s="3"/>
      <c r="BJ700" s="3"/>
      <c r="BK700" s="3"/>
      <c r="BL700" s="3"/>
      <c r="BM700" s="3"/>
      <c r="BN700" s="3"/>
      <c r="BO700" s="3"/>
      <c r="BV700" s="3"/>
      <c r="BW700" s="3"/>
      <c r="BX700" s="3"/>
    </row>
    <row r="701" spans="61:76" ht="13" hidden="1" x14ac:dyDescent="0.15">
      <c r="BI701" s="3"/>
      <c r="BJ701" s="3"/>
      <c r="BK701" s="3"/>
      <c r="BL701" s="3"/>
      <c r="BM701" s="3"/>
      <c r="BN701" s="3"/>
      <c r="BO701" s="3"/>
      <c r="BV701" s="3"/>
      <c r="BW701" s="3"/>
      <c r="BX701" s="3"/>
    </row>
    <row r="702" spans="61:76" ht="13" hidden="1" x14ac:dyDescent="0.15">
      <c r="BI702" s="3"/>
      <c r="BJ702" s="3"/>
      <c r="BK702" s="3"/>
      <c r="BL702" s="3"/>
      <c r="BM702" s="3"/>
      <c r="BN702" s="3"/>
      <c r="BO702" s="3"/>
      <c r="BV702" s="3"/>
      <c r="BW702" s="3"/>
      <c r="BX702" s="3"/>
    </row>
    <row r="703" spans="61:76" ht="13" hidden="1" x14ac:dyDescent="0.15">
      <c r="BI703" s="3"/>
      <c r="BJ703" s="3"/>
      <c r="BK703" s="3"/>
      <c r="BL703" s="3"/>
      <c r="BM703" s="3"/>
      <c r="BN703" s="3"/>
      <c r="BO703" s="3"/>
      <c r="BV703" s="3"/>
      <c r="BW703" s="3"/>
      <c r="BX703" s="3"/>
    </row>
    <row r="704" spans="61:76" ht="13" hidden="1" x14ac:dyDescent="0.15">
      <c r="BI704" s="3"/>
      <c r="BJ704" s="3"/>
      <c r="BK704" s="3"/>
      <c r="BL704" s="3"/>
      <c r="BM704" s="3"/>
      <c r="BN704" s="3"/>
      <c r="BO704" s="3"/>
      <c r="BV704" s="3"/>
      <c r="BW704" s="3"/>
      <c r="BX704" s="3"/>
    </row>
    <row r="705" spans="61:76" ht="13" hidden="1" x14ac:dyDescent="0.15">
      <c r="BI705" s="3"/>
      <c r="BJ705" s="3"/>
      <c r="BK705" s="3"/>
      <c r="BL705" s="3"/>
      <c r="BM705" s="3"/>
      <c r="BN705" s="3"/>
      <c r="BO705" s="3"/>
      <c r="BV705" s="3"/>
      <c r="BW705" s="3"/>
      <c r="BX705" s="3"/>
    </row>
    <row r="706" spans="61:76" ht="13" hidden="1" x14ac:dyDescent="0.15">
      <c r="BI706" s="3"/>
      <c r="BJ706" s="3"/>
      <c r="BK706" s="3"/>
      <c r="BL706" s="3"/>
      <c r="BM706" s="3"/>
      <c r="BN706" s="3"/>
      <c r="BO706" s="3"/>
      <c r="BV706" s="3"/>
      <c r="BW706" s="3"/>
      <c r="BX706" s="3"/>
    </row>
    <row r="707" spans="61:76" ht="13" hidden="1" x14ac:dyDescent="0.15">
      <c r="BI707" s="3"/>
      <c r="BJ707" s="3"/>
      <c r="BK707" s="3"/>
      <c r="BL707" s="3"/>
      <c r="BM707" s="3"/>
      <c r="BN707" s="3"/>
      <c r="BO707" s="3"/>
      <c r="BV707" s="3"/>
      <c r="BW707" s="3"/>
      <c r="BX707" s="3"/>
    </row>
    <row r="708" spans="61:76" ht="13" hidden="1" x14ac:dyDescent="0.15">
      <c r="BI708" s="3"/>
      <c r="BJ708" s="3"/>
      <c r="BK708" s="3"/>
      <c r="BL708" s="3"/>
      <c r="BM708" s="3"/>
      <c r="BN708" s="3"/>
      <c r="BO708" s="3"/>
      <c r="BV708" s="3"/>
      <c r="BW708" s="3"/>
      <c r="BX708" s="3"/>
    </row>
    <row r="709" spans="61:76" ht="13" hidden="1" x14ac:dyDescent="0.15">
      <c r="BI709" s="3"/>
      <c r="BJ709" s="3"/>
      <c r="BK709" s="3"/>
      <c r="BL709" s="3"/>
      <c r="BM709" s="3"/>
      <c r="BN709" s="3"/>
      <c r="BO709" s="3"/>
      <c r="BV709" s="3"/>
      <c r="BW709" s="3"/>
      <c r="BX709" s="3"/>
    </row>
    <row r="710" spans="61:76" ht="13" hidden="1" x14ac:dyDescent="0.15">
      <c r="BI710" s="3"/>
      <c r="BJ710" s="3"/>
      <c r="BK710" s="3"/>
      <c r="BL710" s="3"/>
      <c r="BM710" s="3"/>
      <c r="BN710" s="3"/>
      <c r="BO710" s="3"/>
      <c r="BV710" s="3"/>
      <c r="BW710" s="3"/>
      <c r="BX710" s="3"/>
    </row>
    <row r="711" spans="61:76" ht="13" hidden="1" x14ac:dyDescent="0.15">
      <c r="BI711" s="3"/>
      <c r="BJ711" s="3"/>
      <c r="BK711" s="3"/>
      <c r="BL711" s="3"/>
      <c r="BM711" s="3"/>
      <c r="BN711" s="3"/>
      <c r="BO711" s="3"/>
      <c r="BV711" s="3"/>
      <c r="BW711" s="3"/>
      <c r="BX711" s="3"/>
    </row>
    <row r="712" spans="61:76" ht="13" hidden="1" x14ac:dyDescent="0.15">
      <c r="BI712" s="3"/>
      <c r="BJ712" s="3"/>
      <c r="BK712" s="3"/>
      <c r="BL712" s="3"/>
      <c r="BM712" s="3"/>
      <c r="BN712" s="3"/>
      <c r="BO712" s="3"/>
      <c r="BV712" s="3"/>
      <c r="BW712" s="3"/>
      <c r="BX712" s="3"/>
    </row>
    <row r="713" spans="61:76" ht="13" hidden="1" x14ac:dyDescent="0.15">
      <c r="BI713" s="3"/>
      <c r="BJ713" s="3"/>
      <c r="BK713" s="3"/>
      <c r="BL713" s="3"/>
      <c r="BM713" s="3"/>
      <c r="BN713" s="3"/>
      <c r="BO713" s="3"/>
      <c r="BV713" s="3"/>
      <c r="BW713" s="3"/>
      <c r="BX713" s="3"/>
    </row>
    <row r="714" spans="61:76" ht="13" hidden="1" x14ac:dyDescent="0.15">
      <c r="BI714" s="3"/>
      <c r="BJ714" s="3"/>
      <c r="BK714" s="3"/>
      <c r="BL714" s="3"/>
      <c r="BM714" s="3"/>
      <c r="BN714" s="3"/>
      <c r="BO714" s="3"/>
      <c r="BV714" s="3"/>
      <c r="BW714" s="3"/>
      <c r="BX714" s="3"/>
    </row>
    <row r="715" spans="61:76" ht="13" hidden="1" x14ac:dyDescent="0.15">
      <c r="BI715" s="3"/>
      <c r="BJ715" s="3"/>
      <c r="BK715" s="3"/>
      <c r="BL715" s="3"/>
      <c r="BM715" s="3"/>
      <c r="BN715" s="3"/>
      <c r="BO715" s="3"/>
      <c r="BV715" s="3"/>
      <c r="BW715" s="3"/>
      <c r="BX715" s="3"/>
    </row>
    <row r="716" spans="61:76" ht="13" hidden="1" x14ac:dyDescent="0.15">
      <c r="BI716" s="3"/>
      <c r="BJ716" s="3"/>
      <c r="BK716" s="3"/>
      <c r="BL716" s="3"/>
      <c r="BM716" s="3"/>
      <c r="BN716" s="3"/>
      <c r="BO716" s="3"/>
      <c r="BV716" s="3"/>
      <c r="BW716" s="3"/>
      <c r="BX716" s="3"/>
    </row>
    <row r="717" spans="61:76" ht="13" hidden="1" x14ac:dyDescent="0.15">
      <c r="BI717" s="3"/>
      <c r="BJ717" s="3"/>
      <c r="BK717" s="3"/>
      <c r="BL717" s="3"/>
      <c r="BM717" s="3"/>
      <c r="BN717" s="3"/>
      <c r="BO717" s="3"/>
      <c r="BV717" s="3"/>
      <c r="BW717" s="3"/>
      <c r="BX717" s="3"/>
    </row>
    <row r="718" spans="61:76" ht="13" hidden="1" x14ac:dyDescent="0.15">
      <c r="BI718" s="3"/>
      <c r="BJ718" s="3"/>
      <c r="BK718" s="3"/>
      <c r="BL718" s="3"/>
      <c r="BM718" s="3"/>
      <c r="BN718" s="3"/>
      <c r="BO718" s="3"/>
      <c r="BV718" s="3"/>
      <c r="BW718" s="3"/>
      <c r="BX718" s="3"/>
    </row>
    <row r="719" spans="61:76" ht="13" hidden="1" x14ac:dyDescent="0.15">
      <c r="BI719" s="3"/>
      <c r="BJ719" s="3"/>
      <c r="BK719" s="3"/>
      <c r="BL719" s="3"/>
      <c r="BM719" s="3"/>
      <c r="BN719" s="3"/>
      <c r="BO719" s="3"/>
      <c r="BV719" s="3"/>
      <c r="BW719" s="3"/>
      <c r="BX719" s="3"/>
    </row>
    <row r="720" spans="61:76" ht="13" hidden="1" x14ac:dyDescent="0.15">
      <c r="BI720" s="3"/>
      <c r="BJ720" s="3"/>
      <c r="BK720" s="3"/>
      <c r="BL720" s="3"/>
      <c r="BM720" s="3"/>
      <c r="BN720" s="3"/>
      <c r="BO720" s="3"/>
      <c r="BV720" s="3"/>
      <c r="BW720" s="3"/>
      <c r="BX720" s="3"/>
    </row>
    <row r="721" spans="61:76" ht="13" hidden="1" x14ac:dyDescent="0.15">
      <c r="BI721" s="3"/>
      <c r="BJ721" s="3"/>
      <c r="BK721" s="3"/>
      <c r="BL721" s="3"/>
      <c r="BM721" s="3"/>
      <c r="BN721" s="3"/>
      <c r="BO721" s="3"/>
      <c r="BV721" s="3"/>
      <c r="BW721" s="3"/>
      <c r="BX721" s="3"/>
    </row>
    <row r="722" spans="61:76" ht="13" hidden="1" x14ac:dyDescent="0.15">
      <c r="BI722" s="3"/>
      <c r="BJ722" s="3"/>
      <c r="BK722" s="3"/>
      <c r="BL722" s="3"/>
      <c r="BM722" s="3"/>
      <c r="BN722" s="3"/>
      <c r="BO722" s="3"/>
      <c r="BV722" s="3"/>
      <c r="BW722" s="3"/>
      <c r="BX722" s="3"/>
    </row>
    <row r="723" spans="61:76" ht="13" hidden="1" x14ac:dyDescent="0.15">
      <c r="BI723" s="3"/>
      <c r="BJ723" s="3"/>
      <c r="BK723" s="3"/>
      <c r="BL723" s="3"/>
      <c r="BM723" s="3"/>
      <c r="BN723" s="3"/>
      <c r="BO723" s="3"/>
      <c r="BV723" s="3"/>
      <c r="BW723" s="3"/>
      <c r="BX723" s="3"/>
    </row>
    <row r="724" spans="61:76" ht="13" hidden="1" x14ac:dyDescent="0.15">
      <c r="BI724" s="3"/>
      <c r="BJ724" s="3"/>
      <c r="BK724" s="3"/>
      <c r="BL724" s="3"/>
      <c r="BM724" s="3"/>
      <c r="BN724" s="3"/>
      <c r="BO724" s="3"/>
      <c r="BV724" s="3"/>
      <c r="BW724" s="3"/>
      <c r="BX724" s="3"/>
    </row>
    <row r="725" spans="61:76" ht="13" hidden="1" x14ac:dyDescent="0.15">
      <c r="BI725" s="3"/>
      <c r="BJ725" s="3"/>
      <c r="BK725" s="3"/>
      <c r="BL725" s="3"/>
      <c r="BM725" s="3"/>
      <c r="BN725" s="3"/>
      <c r="BO725" s="3"/>
      <c r="BV725" s="3"/>
      <c r="BW725" s="3"/>
      <c r="BX725" s="3"/>
    </row>
    <row r="726" spans="61:76" ht="13" hidden="1" x14ac:dyDescent="0.15">
      <c r="BI726" s="3"/>
      <c r="BJ726" s="3"/>
      <c r="BK726" s="3"/>
      <c r="BL726" s="3"/>
      <c r="BM726" s="3"/>
      <c r="BN726" s="3"/>
      <c r="BO726" s="3"/>
      <c r="BV726" s="3"/>
      <c r="BW726" s="3"/>
      <c r="BX726" s="3"/>
    </row>
    <row r="727" spans="61:76" ht="13" hidden="1" x14ac:dyDescent="0.15">
      <c r="BI727" s="3"/>
      <c r="BJ727" s="3"/>
      <c r="BK727" s="3"/>
      <c r="BL727" s="3"/>
      <c r="BM727" s="3"/>
      <c r="BN727" s="3"/>
      <c r="BO727" s="3"/>
      <c r="BV727" s="3"/>
      <c r="BW727" s="3"/>
      <c r="BX727" s="3"/>
    </row>
    <row r="728" spans="61:76" ht="13" hidden="1" x14ac:dyDescent="0.15">
      <c r="BI728" s="3"/>
      <c r="BJ728" s="3"/>
      <c r="BK728" s="3"/>
      <c r="BL728" s="3"/>
      <c r="BM728" s="3"/>
      <c r="BN728" s="3"/>
      <c r="BO728" s="3"/>
      <c r="BV728" s="3"/>
      <c r="BW728" s="3"/>
      <c r="BX728" s="3"/>
    </row>
    <row r="729" spans="61:76" ht="13" hidden="1" x14ac:dyDescent="0.15">
      <c r="BI729" s="3"/>
      <c r="BJ729" s="3"/>
      <c r="BK729" s="3"/>
      <c r="BL729" s="3"/>
      <c r="BM729" s="3"/>
      <c r="BN729" s="3"/>
      <c r="BO729" s="3"/>
      <c r="BV729" s="3"/>
      <c r="BW729" s="3"/>
      <c r="BX729" s="3"/>
    </row>
    <row r="730" spans="61:76" ht="13" hidden="1" x14ac:dyDescent="0.15">
      <c r="BI730" s="3"/>
      <c r="BJ730" s="3"/>
      <c r="BK730" s="3"/>
      <c r="BL730" s="3"/>
      <c r="BM730" s="3"/>
      <c r="BN730" s="3"/>
      <c r="BO730" s="3"/>
      <c r="BV730" s="3"/>
      <c r="BW730" s="3"/>
      <c r="BX730" s="3"/>
    </row>
    <row r="731" spans="61:76" ht="13" hidden="1" x14ac:dyDescent="0.15">
      <c r="BI731" s="3"/>
      <c r="BJ731" s="3"/>
      <c r="BK731" s="3"/>
      <c r="BL731" s="3"/>
      <c r="BM731" s="3"/>
      <c r="BN731" s="3"/>
      <c r="BO731" s="3"/>
      <c r="BV731" s="3"/>
      <c r="BW731" s="3"/>
      <c r="BX731" s="3"/>
    </row>
    <row r="732" spans="61:76" ht="13" hidden="1" x14ac:dyDescent="0.15">
      <c r="BI732" s="3"/>
      <c r="BJ732" s="3"/>
      <c r="BK732" s="3"/>
      <c r="BL732" s="3"/>
      <c r="BM732" s="3"/>
      <c r="BN732" s="3"/>
      <c r="BO732" s="3"/>
      <c r="BV732" s="3"/>
      <c r="BW732" s="3"/>
      <c r="BX732" s="3"/>
    </row>
    <row r="733" spans="61:76" ht="13" hidden="1" x14ac:dyDescent="0.15">
      <c r="BI733" s="3"/>
      <c r="BJ733" s="3"/>
      <c r="BK733" s="3"/>
      <c r="BL733" s="3"/>
      <c r="BM733" s="3"/>
      <c r="BN733" s="3"/>
      <c r="BO733" s="3"/>
      <c r="BV733" s="3"/>
      <c r="BW733" s="3"/>
      <c r="BX733" s="3"/>
    </row>
    <row r="734" spans="61:76" ht="13" hidden="1" x14ac:dyDescent="0.15">
      <c r="BI734" s="3"/>
      <c r="BJ734" s="3"/>
      <c r="BK734" s="3"/>
      <c r="BL734" s="3"/>
      <c r="BM734" s="3"/>
      <c r="BN734" s="3"/>
      <c r="BO734" s="3"/>
      <c r="BV734" s="3"/>
      <c r="BW734" s="3"/>
      <c r="BX734" s="3"/>
    </row>
    <row r="735" spans="61:76" ht="13" hidden="1" x14ac:dyDescent="0.15">
      <c r="BI735" s="3"/>
      <c r="BJ735" s="3"/>
      <c r="BK735" s="3"/>
      <c r="BL735" s="3"/>
      <c r="BM735" s="3"/>
      <c r="BN735" s="3"/>
      <c r="BO735" s="3"/>
      <c r="BV735" s="3"/>
      <c r="BW735" s="3"/>
      <c r="BX735" s="3"/>
    </row>
    <row r="736" spans="61:76" ht="13" hidden="1" x14ac:dyDescent="0.15">
      <c r="BI736" s="3"/>
      <c r="BJ736" s="3"/>
      <c r="BK736" s="3"/>
      <c r="BL736" s="3"/>
      <c r="BM736" s="3"/>
      <c r="BN736" s="3"/>
      <c r="BO736" s="3"/>
      <c r="BV736" s="3"/>
      <c r="BW736" s="3"/>
      <c r="BX736" s="3"/>
    </row>
    <row r="737" spans="61:76" ht="13" hidden="1" x14ac:dyDescent="0.15">
      <c r="BI737" s="3"/>
      <c r="BJ737" s="3"/>
      <c r="BK737" s="3"/>
      <c r="BL737" s="3"/>
      <c r="BM737" s="3"/>
      <c r="BN737" s="3"/>
      <c r="BO737" s="3"/>
      <c r="BV737" s="3"/>
      <c r="BW737" s="3"/>
      <c r="BX737" s="3"/>
    </row>
    <row r="738" spans="61:76" ht="13" hidden="1" x14ac:dyDescent="0.15">
      <c r="BI738" s="3"/>
      <c r="BJ738" s="3"/>
      <c r="BK738" s="3"/>
      <c r="BL738" s="3"/>
      <c r="BM738" s="3"/>
      <c r="BN738" s="3"/>
      <c r="BO738" s="3"/>
      <c r="BV738" s="3"/>
      <c r="BW738" s="3"/>
      <c r="BX738" s="3"/>
    </row>
    <row r="739" spans="61:76" ht="13" hidden="1" x14ac:dyDescent="0.15">
      <c r="BI739" s="3"/>
      <c r="BJ739" s="3"/>
      <c r="BK739" s="3"/>
      <c r="BL739" s="3"/>
      <c r="BM739" s="3"/>
      <c r="BN739" s="3"/>
      <c r="BO739" s="3"/>
      <c r="BV739" s="3"/>
      <c r="BW739" s="3"/>
      <c r="BX739" s="3"/>
    </row>
    <row r="740" spans="61:76" ht="13" hidden="1" x14ac:dyDescent="0.15">
      <c r="BI740" s="3"/>
      <c r="BJ740" s="3"/>
      <c r="BK740" s="3"/>
      <c r="BL740" s="3"/>
      <c r="BM740" s="3"/>
      <c r="BN740" s="3"/>
      <c r="BO740" s="3"/>
      <c r="BV740" s="3"/>
      <c r="BW740" s="3"/>
      <c r="BX740" s="3"/>
    </row>
    <row r="741" spans="61:76" ht="13" hidden="1" x14ac:dyDescent="0.15">
      <c r="BI741" s="3"/>
      <c r="BJ741" s="3"/>
      <c r="BK741" s="3"/>
      <c r="BL741" s="3"/>
      <c r="BM741" s="3"/>
      <c r="BN741" s="3"/>
      <c r="BO741" s="3"/>
      <c r="BV741" s="3"/>
      <c r="BW741" s="3"/>
      <c r="BX741" s="3"/>
    </row>
    <row r="742" spans="61:76" ht="13" hidden="1" x14ac:dyDescent="0.15">
      <c r="BI742" s="3"/>
      <c r="BJ742" s="3"/>
      <c r="BK742" s="3"/>
      <c r="BL742" s="3"/>
      <c r="BM742" s="3"/>
      <c r="BN742" s="3"/>
      <c r="BO742" s="3"/>
      <c r="BV742" s="3"/>
      <c r="BW742" s="3"/>
      <c r="BX742" s="3"/>
    </row>
    <row r="743" spans="61:76" ht="13" hidden="1" x14ac:dyDescent="0.15">
      <c r="BI743" s="3"/>
      <c r="BJ743" s="3"/>
      <c r="BK743" s="3"/>
      <c r="BL743" s="3"/>
      <c r="BM743" s="3"/>
      <c r="BN743" s="3"/>
      <c r="BO743" s="3"/>
      <c r="BV743" s="3"/>
      <c r="BW743" s="3"/>
      <c r="BX743" s="3"/>
    </row>
    <row r="744" spans="61:76" ht="13" hidden="1" x14ac:dyDescent="0.15">
      <c r="BI744" s="3"/>
      <c r="BJ744" s="3"/>
      <c r="BK744" s="3"/>
      <c r="BL744" s="3"/>
      <c r="BM744" s="3"/>
      <c r="BN744" s="3"/>
      <c r="BO744" s="3"/>
      <c r="BV744" s="3"/>
      <c r="BW744" s="3"/>
      <c r="BX744" s="3"/>
    </row>
    <row r="745" spans="61:76" ht="13" hidden="1" x14ac:dyDescent="0.15">
      <c r="BI745" s="3"/>
      <c r="BJ745" s="3"/>
      <c r="BK745" s="3"/>
      <c r="BL745" s="3"/>
      <c r="BM745" s="3"/>
      <c r="BN745" s="3"/>
      <c r="BO745" s="3"/>
      <c r="BV745" s="3"/>
      <c r="BW745" s="3"/>
      <c r="BX745" s="3"/>
    </row>
    <row r="746" spans="61:76" ht="13" hidden="1" x14ac:dyDescent="0.15">
      <c r="BI746" s="3"/>
      <c r="BJ746" s="3"/>
      <c r="BK746" s="3"/>
      <c r="BL746" s="3"/>
      <c r="BM746" s="3"/>
      <c r="BN746" s="3"/>
      <c r="BO746" s="3"/>
      <c r="BV746" s="3"/>
      <c r="BW746" s="3"/>
      <c r="BX746" s="3"/>
    </row>
    <row r="747" spans="61:76" ht="13" hidden="1" x14ac:dyDescent="0.15">
      <c r="BI747" s="3"/>
      <c r="BJ747" s="3"/>
      <c r="BK747" s="3"/>
      <c r="BL747" s="3"/>
      <c r="BM747" s="3"/>
      <c r="BN747" s="3"/>
      <c r="BO747" s="3"/>
      <c r="BV747" s="3"/>
      <c r="BW747" s="3"/>
      <c r="BX747" s="3"/>
    </row>
    <row r="748" spans="61:76" ht="13" hidden="1" x14ac:dyDescent="0.15">
      <c r="BI748" s="3"/>
      <c r="BJ748" s="3"/>
      <c r="BK748" s="3"/>
      <c r="BL748" s="3"/>
      <c r="BM748" s="3"/>
      <c r="BN748" s="3"/>
      <c r="BO748" s="3"/>
      <c r="BV748" s="3"/>
      <c r="BW748" s="3"/>
      <c r="BX748" s="3"/>
    </row>
    <row r="749" spans="61:76" ht="13" hidden="1" x14ac:dyDescent="0.15">
      <c r="BI749" s="3"/>
      <c r="BJ749" s="3"/>
      <c r="BK749" s="3"/>
      <c r="BL749" s="3"/>
      <c r="BM749" s="3"/>
      <c r="BN749" s="3"/>
      <c r="BO749" s="3"/>
      <c r="BV749" s="3"/>
      <c r="BW749" s="3"/>
      <c r="BX749" s="3"/>
    </row>
    <row r="750" spans="61:76" ht="13" hidden="1" x14ac:dyDescent="0.15">
      <c r="BI750" s="3"/>
      <c r="BJ750" s="3"/>
      <c r="BK750" s="3"/>
      <c r="BL750" s="3"/>
      <c r="BM750" s="3"/>
      <c r="BN750" s="3"/>
      <c r="BO750" s="3"/>
      <c r="BV750" s="3"/>
      <c r="BW750" s="3"/>
      <c r="BX750" s="3"/>
    </row>
    <row r="751" spans="61:76" ht="13" hidden="1" x14ac:dyDescent="0.15">
      <c r="BI751" s="3"/>
      <c r="BJ751" s="3"/>
      <c r="BK751" s="3"/>
      <c r="BL751" s="3"/>
      <c r="BM751" s="3"/>
      <c r="BN751" s="3"/>
      <c r="BO751" s="3"/>
      <c r="BV751" s="3"/>
      <c r="BW751" s="3"/>
      <c r="BX751" s="3"/>
    </row>
    <row r="752" spans="61:76" ht="13" hidden="1" x14ac:dyDescent="0.15">
      <c r="BI752" s="3"/>
      <c r="BJ752" s="3"/>
      <c r="BK752" s="3"/>
      <c r="BL752" s="3"/>
      <c r="BM752" s="3"/>
      <c r="BN752" s="3"/>
      <c r="BO752" s="3"/>
      <c r="BV752" s="3"/>
      <c r="BW752" s="3"/>
      <c r="BX752" s="3"/>
    </row>
    <row r="753" spans="61:76" ht="13" hidden="1" x14ac:dyDescent="0.15">
      <c r="BI753" s="3"/>
      <c r="BJ753" s="3"/>
      <c r="BK753" s="3"/>
      <c r="BL753" s="3"/>
      <c r="BM753" s="3"/>
      <c r="BN753" s="3"/>
      <c r="BO753" s="3"/>
      <c r="BV753" s="3"/>
      <c r="BW753" s="3"/>
      <c r="BX753" s="3"/>
    </row>
    <row r="754" spans="61:76" ht="13" hidden="1" x14ac:dyDescent="0.15">
      <c r="BI754" s="3"/>
      <c r="BJ754" s="3"/>
      <c r="BK754" s="3"/>
      <c r="BL754" s="3"/>
      <c r="BM754" s="3"/>
      <c r="BN754" s="3"/>
      <c r="BO754" s="3"/>
      <c r="BV754" s="3"/>
      <c r="BW754" s="3"/>
      <c r="BX754" s="3"/>
    </row>
    <row r="755" spans="61:76" ht="13" hidden="1" x14ac:dyDescent="0.15">
      <c r="BI755" s="3"/>
      <c r="BJ755" s="3"/>
      <c r="BK755" s="3"/>
      <c r="BL755" s="3"/>
      <c r="BM755" s="3"/>
      <c r="BN755" s="3"/>
      <c r="BO755" s="3"/>
      <c r="BV755" s="3"/>
      <c r="BW755" s="3"/>
      <c r="BX755" s="3"/>
    </row>
    <row r="756" spans="61:76" ht="13" hidden="1" x14ac:dyDescent="0.15">
      <c r="BI756" s="3"/>
      <c r="BJ756" s="3"/>
      <c r="BK756" s="3"/>
      <c r="BL756" s="3"/>
      <c r="BM756" s="3"/>
      <c r="BN756" s="3"/>
      <c r="BO756" s="3"/>
      <c r="BV756" s="3"/>
      <c r="BW756" s="3"/>
      <c r="BX756" s="3"/>
    </row>
    <row r="757" spans="61:76" ht="13" hidden="1" x14ac:dyDescent="0.15">
      <c r="BI757" s="3"/>
      <c r="BJ757" s="3"/>
      <c r="BK757" s="3"/>
      <c r="BL757" s="3"/>
      <c r="BM757" s="3"/>
      <c r="BN757" s="3"/>
      <c r="BO757" s="3"/>
      <c r="BV757" s="3"/>
      <c r="BW757" s="3"/>
      <c r="BX757" s="3"/>
    </row>
    <row r="758" spans="61:76" ht="13" hidden="1" x14ac:dyDescent="0.15">
      <c r="BI758" s="3"/>
      <c r="BJ758" s="3"/>
      <c r="BK758" s="3"/>
      <c r="BL758" s="3"/>
      <c r="BM758" s="3"/>
      <c r="BN758" s="3"/>
      <c r="BO758" s="3"/>
      <c r="BV758" s="3"/>
      <c r="BW758" s="3"/>
      <c r="BX758" s="3"/>
    </row>
    <row r="759" spans="61:76" ht="13" hidden="1" x14ac:dyDescent="0.15">
      <c r="BI759" s="3"/>
      <c r="BJ759" s="3"/>
      <c r="BK759" s="3"/>
      <c r="BL759" s="3"/>
      <c r="BM759" s="3"/>
      <c r="BN759" s="3"/>
      <c r="BO759" s="3"/>
      <c r="BV759" s="3"/>
      <c r="BW759" s="3"/>
      <c r="BX759" s="3"/>
    </row>
    <row r="760" spans="61:76" ht="13" hidden="1" x14ac:dyDescent="0.15">
      <c r="BI760" s="3"/>
      <c r="BJ760" s="3"/>
      <c r="BK760" s="3"/>
      <c r="BL760" s="3"/>
      <c r="BM760" s="3"/>
      <c r="BN760" s="3"/>
      <c r="BO760" s="3"/>
      <c r="BV760" s="3"/>
      <c r="BW760" s="3"/>
      <c r="BX760" s="3"/>
    </row>
    <row r="761" spans="61:76" ht="13" hidden="1" x14ac:dyDescent="0.15">
      <c r="BI761" s="3"/>
      <c r="BJ761" s="3"/>
      <c r="BK761" s="3"/>
      <c r="BL761" s="3"/>
      <c r="BM761" s="3"/>
      <c r="BN761" s="3"/>
      <c r="BO761" s="3"/>
      <c r="BV761" s="3"/>
      <c r="BW761" s="3"/>
      <c r="BX761" s="3"/>
    </row>
    <row r="762" spans="61:76" ht="13" hidden="1" x14ac:dyDescent="0.15">
      <c r="BI762" s="3"/>
      <c r="BJ762" s="3"/>
      <c r="BK762" s="3"/>
      <c r="BL762" s="3"/>
      <c r="BM762" s="3"/>
      <c r="BN762" s="3"/>
      <c r="BO762" s="3"/>
      <c r="BV762" s="3"/>
      <c r="BW762" s="3"/>
      <c r="BX762" s="3"/>
    </row>
    <row r="763" spans="61:76" ht="13" hidden="1" x14ac:dyDescent="0.15">
      <c r="BI763" s="3"/>
      <c r="BJ763" s="3"/>
      <c r="BK763" s="3"/>
      <c r="BL763" s="3"/>
      <c r="BM763" s="3"/>
      <c r="BN763" s="3"/>
      <c r="BO763" s="3"/>
      <c r="BV763" s="3"/>
      <c r="BW763" s="3"/>
      <c r="BX763" s="3"/>
    </row>
    <row r="764" spans="61:76" ht="13" hidden="1" x14ac:dyDescent="0.15">
      <c r="BI764" s="3"/>
      <c r="BJ764" s="3"/>
      <c r="BK764" s="3"/>
      <c r="BL764" s="3"/>
      <c r="BM764" s="3"/>
      <c r="BN764" s="3"/>
      <c r="BO764" s="3"/>
      <c r="BV764" s="3"/>
      <c r="BW764" s="3"/>
      <c r="BX764" s="3"/>
    </row>
    <row r="765" spans="61:76" ht="13" hidden="1" x14ac:dyDescent="0.15">
      <c r="BI765" s="3"/>
      <c r="BJ765" s="3"/>
      <c r="BK765" s="3"/>
      <c r="BL765" s="3"/>
      <c r="BM765" s="3"/>
      <c r="BN765" s="3"/>
      <c r="BO765" s="3"/>
      <c r="BV765" s="3"/>
      <c r="BW765" s="3"/>
      <c r="BX765" s="3"/>
    </row>
    <row r="766" spans="61:76" ht="13" hidden="1" x14ac:dyDescent="0.15">
      <c r="BI766" s="3"/>
      <c r="BJ766" s="3"/>
      <c r="BK766" s="3"/>
      <c r="BL766" s="3"/>
      <c r="BM766" s="3"/>
      <c r="BN766" s="3"/>
      <c r="BO766" s="3"/>
      <c r="BV766" s="3"/>
      <c r="BW766" s="3"/>
      <c r="BX766" s="3"/>
    </row>
    <row r="767" spans="61:76" ht="13" hidden="1" x14ac:dyDescent="0.15">
      <c r="BI767" s="3"/>
      <c r="BJ767" s="3"/>
      <c r="BK767" s="3"/>
      <c r="BL767" s="3"/>
      <c r="BM767" s="3"/>
      <c r="BN767" s="3"/>
      <c r="BO767" s="3"/>
      <c r="BV767" s="3"/>
      <c r="BW767" s="3"/>
      <c r="BX767" s="3"/>
    </row>
    <row r="768" spans="61:76" ht="13" hidden="1" x14ac:dyDescent="0.15">
      <c r="BI768" s="3"/>
      <c r="BJ768" s="3"/>
      <c r="BK768" s="3"/>
      <c r="BL768" s="3"/>
      <c r="BM768" s="3"/>
      <c r="BN768" s="3"/>
      <c r="BO768" s="3"/>
      <c r="BV768" s="3"/>
      <c r="BW768" s="3"/>
      <c r="BX768" s="3"/>
    </row>
    <row r="769" spans="61:76" ht="13" hidden="1" x14ac:dyDescent="0.15">
      <c r="BI769" s="3"/>
      <c r="BJ769" s="3"/>
      <c r="BK769" s="3"/>
      <c r="BL769" s="3"/>
      <c r="BM769" s="3"/>
      <c r="BN769" s="3"/>
      <c r="BO769" s="3"/>
      <c r="BV769" s="3"/>
      <c r="BW769" s="3"/>
      <c r="BX769" s="3"/>
    </row>
    <row r="770" spans="61:76" ht="13" hidden="1" x14ac:dyDescent="0.15">
      <c r="BI770" s="3"/>
      <c r="BJ770" s="3"/>
      <c r="BK770" s="3"/>
      <c r="BL770" s="3"/>
      <c r="BM770" s="3"/>
      <c r="BN770" s="3"/>
      <c r="BO770" s="3"/>
      <c r="BV770" s="3"/>
      <c r="BW770" s="3"/>
      <c r="BX770" s="3"/>
    </row>
    <row r="771" spans="61:76" ht="13" hidden="1" x14ac:dyDescent="0.15">
      <c r="BI771" s="3"/>
      <c r="BJ771" s="3"/>
      <c r="BK771" s="3"/>
      <c r="BL771" s="3"/>
      <c r="BM771" s="3"/>
      <c r="BN771" s="3"/>
      <c r="BO771" s="3"/>
      <c r="BV771" s="3"/>
      <c r="BW771" s="3"/>
      <c r="BX771" s="3"/>
    </row>
    <row r="772" spans="61:76" ht="13" hidden="1" x14ac:dyDescent="0.15">
      <c r="BI772" s="3"/>
      <c r="BJ772" s="3"/>
      <c r="BK772" s="3"/>
      <c r="BL772" s="3"/>
      <c r="BM772" s="3"/>
      <c r="BN772" s="3"/>
      <c r="BO772" s="3"/>
      <c r="BV772" s="3"/>
      <c r="BW772" s="3"/>
      <c r="BX772" s="3"/>
    </row>
    <row r="773" spans="61:76" ht="13" hidden="1" x14ac:dyDescent="0.15">
      <c r="BI773" s="3"/>
      <c r="BJ773" s="3"/>
      <c r="BK773" s="3"/>
      <c r="BL773" s="3"/>
      <c r="BM773" s="3"/>
      <c r="BN773" s="3"/>
      <c r="BO773" s="3"/>
      <c r="BV773" s="3"/>
      <c r="BW773" s="3"/>
      <c r="BX773" s="3"/>
    </row>
    <row r="774" spans="61:76" ht="13" hidden="1" x14ac:dyDescent="0.15">
      <c r="BI774" s="3"/>
      <c r="BJ774" s="3"/>
      <c r="BK774" s="3"/>
      <c r="BL774" s="3"/>
      <c r="BM774" s="3"/>
      <c r="BN774" s="3"/>
      <c r="BO774" s="3"/>
      <c r="BV774" s="3"/>
      <c r="BW774" s="3"/>
      <c r="BX774" s="3"/>
    </row>
    <row r="775" spans="61:76" ht="13" hidden="1" x14ac:dyDescent="0.15">
      <c r="BI775" s="3"/>
      <c r="BJ775" s="3"/>
      <c r="BK775" s="3"/>
      <c r="BL775" s="3"/>
      <c r="BM775" s="3"/>
      <c r="BN775" s="3"/>
      <c r="BO775" s="3"/>
      <c r="BV775" s="3"/>
      <c r="BW775" s="3"/>
      <c r="BX775" s="3"/>
    </row>
    <row r="776" spans="61:76" ht="13" hidden="1" x14ac:dyDescent="0.15">
      <c r="BI776" s="3"/>
      <c r="BJ776" s="3"/>
      <c r="BK776" s="3"/>
      <c r="BL776" s="3"/>
      <c r="BM776" s="3"/>
      <c r="BN776" s="3"/>
      <c r="BO776" s="3"/>
      <c r="BV776" s="3"/>
      <c r="BW776" s="3"/>
      <c r="BX776" s="3"/>
    </row>
    <row r="777" spans="61:76" ht="13" hidden="1" x14ac:dyDescent="0.15">
      <c r="BI777" s="3"/>
      <c r="BJ777" s="3"/>
      <c r="BK777" s="3"/>
      <c r="BL777" s="3"/>
      <c r="BM777" s="3"/>
      <c r="BN777" s="3"/>
      <c r="BO777" s="3"/>
      <c r="BV777" s="3"/>
      <c r="BW777" s="3"/>
      <c r="BX777" s="3"/>
    </row>
    <row r="778" spans="61:76" ht="13" hidden="1" x14ac:dyDescent="0.15">
      <c r="BI778" s="3"/>
      <c r="BJ778" s="3"/>
      <c r="BK778" s="3"/>
      <c r="BL778" s="3"/>
      <c r="BM778" s="3"/>
      <c r="BN778" s="3"/>
      <c r="BO778" s="3"/>
      <c r="BV778" s="3"/>
      <c r="BW778" s="3"/>
      <c r="BX778" s="3"/>
    </row>
    <row r="779" spans="61:76" ht="13" hidden="1" x14ac:dyDescent="0.15">
      <c r="BI779" s="3"/>
      <c r="BJ779" s="3"/>
      <c r="BK779" s="3"/>
      <c r="BL779" s="3"/>
      <c r="BM779" s="3"/>
      <c r="BN779" s="3"/>
      <c r="BO779" s="3"/>
      <c r="BV779" s="3"/>
      <c r="BW779" s="3"/>
      <c r="BX779" s="3"/>
    </row>
    <row r="780" spans="61:76" ht="13" hidden="1" x14ac:dyDescent="0.15">
      <c r="BI780" s="3"/>
      <c r="BJ780" s="3"/>
      <c r="BK780" s="3"/>
      <c r="BL780" s="3"/>
      <c r="BM780" s="3"/>
      <c r="BN780" s="3"/>
      <c r="BO780" s="3"/>
      <c r="BV780" s="3"/>
      <c r="BW780" s="3"/>
      <c r="BX780" s="3"/>
    </row>
    <row r="781" spans="61:76" ht="13" hidden="1" x14ac:dyDescent="0.15">
      <c r="BI781" s="3"/>
      <c r="BJ781" s="3"/>
      <c r="BK781" s="3"/>
      <c r="BL781" s="3"/>
      <c r="BM781" s="3"/>
      <c r="BN781" s="3"/>
      <c r="BO781" s="3"/>
      <c r="BV781" s="3"/>
      <c r="BW781" s="3"/>
      <c r="BX781" s="3"/>
    </row>
    <row r="782" spans="61:76" ht="13" hidden="1" x14ac:dyDescent="0.15">
      <c r="BI782" s="3"/>
      <c r="BJ782" s="3"/>
      <c r="BK782" s="3"/>
      <c r="BL782" s="3"/>
      <c r="BM782" s="3"/>
      <c r="BN782" s="3"/>
      <c r="BO782" s="3"/>
      <c r="BV782" s="3"/>
      <c r="BW782" s="3"/>
      <c r="BX782" s="3"/>
    </row>
    <row r="783" spans="61:76" ht="13" hidden="1" x14ac:dyDescent="0.15">
      <c r="BI783" s="3"/>
      <c r="BJ783" s="3"/>
      <c r="BK783" s="3"/>
      <c r="BL783" s="3"/>
      <c r="BM783" s="3"/>
      <c r="BN783" s="3"/>
      <c r="BO783" s="3"/>
      <c r="BV783" s="3"/>
      <c r="BW783" s="3"/>
      <c r="BX783" s="3"/>
    </row>
    <row r="784" spans="61:76" ht="13" hidden="1" x14ac:dyDescent="0.15">
      <c r="BI784" s="3"/>
      <c r="BJ784" s="3"/>
      <c r="BK784" s="3"/>
      <c r="BL784" s="3"/>
      <c r="BM784" s="3"/>
      <c r="BN784" s="3"/>
      <c r="BO784" s="3"/>
      <c r="BV784" s="3"/>
      <c r="BW784" s="3"/>
      <c r="BX784" s="3"/>
    </row>
    <row r="785" spans="61:76" ht="13" hidden="1" x14ac:dyDescent="0.15">
      <c r="BI785" s="3"/>
      <c r="BJ785" s="3"/>
      <c r="BK785" s="3"/>
      <c r="BL785" s="3"/>
      <c r="BM785" s="3"/>
      <c r="BN785" s="3"/>
      <c r="BO785" s="3"/>
      <c r="BV785" s="3"/>
      <c r="BW785" s="3"/>
      <c r="BX785" s="3"/>
    </row>
    <row r="786" spans="61:76" ht="13" hidden="1" x14ac:dyDescent="0.15">
      <c r="BI786" s="3"/>
      <c r="BJ786" s="3"/>
      <c r="BK786" s="3"/>
      <c r="BL786" s="3"/>
      <c r="BM786" s="3"/>
      <c r="BN786" s="3"/>
      <c r="BO786" s="3"/>
      <c r="BV786" s="3"/>
      <c r="BW786" s="3"/>
      <c r="BX786" s="3"/>
    </row>
    <row r="787" spans="61:76" ht="13" hidden="1" x14ac:dyDescent="0.15">
      <c r="BI787" s="3"/>
      <c r="BJ787" s="3"/>
      <c r="BK787" s="3"/>
      <c r="BL787" s="3"/>
      <c r="BM787" s="3"/>
      <c r="BN787" s="3"/>
      <c r="BO787" s="3"/>
      <c r="BV787" s="3"/>
      <c r="BW787" s="3"/>
      <c r="BX787" s="3"/>
    </row>
    <row r="788" spans="61:76" ht="13" hidden="1" x14ac:dyDescent="0.15">
      <c r="BI788" s="3"/>
      <c r="BJ788" s="3"/>
      <c r="BK788" s="3"/>
      <c r="BL788" s="3"/>
      <c r="BM788" s="3"/>
      <c r="BN788" s="3"/>
      <c r="BO788" s="3"/>
      <c r="BV788" s="3"/>
      <c r="BW788" s="3"/>
      <c r="BX788" s="3"/>
    </row>
    <row r="789" spans="61:76" ht="13" hidden="1" x14ac:dyDescent="0.15">
      <c r="BI789" s="3"/>
      <c r="BJ789" s="3"/>
      <c r="BK789" s="3"/>
      <c r="BL789" s="3"/>
      <c r="BM789" s="3"/>
      <c r="BN789" s="3"/>
      <c r="BO789" s="3"/>
      <c r="BV789" s="3"/>
      <c r="BW789" s="3"/>
      <c r="BX789" s="3"/>
    </row>
    <row r="790" spans="61:76" ht="13" hidden="1" x14ac:dyDescent="0.15">
      <c r="BI790" s="3"/>
      <c r="BJ790" s="3"/>
      <c r="BK790" s="3"/>
      <c r="BL790" s="3"/>
      <c r="BM790" s="3"/>
      <c r="BN790" s="3"/>
      <c r="BO790" s="3"/>
      <c r="BV790" s="3"/>
      <c r="BW790" s="3"/>
      <c r="BX790" s="3"/>
    </row>
    <row r="791" spans="61:76" ht="13" hidden="1" x14ac:dyDescent="0.15">
      <c r="BI791" s="3"/>
      <c r="BJ791" s="3"/>
      <c r="BK791" s="3"/>
      <c r="BL791" s="3"/>
      <c r="BM791" s="3"/>
      <c r="BN791" s="3"/>
      <c r="BO791" s="3"/>
      <c r="BV791" s="3"/>
      <c r="BW791" s="3"/>
      <c r="BX791" s="3"/>
    </row>
    <row r="792" spans="61:76" ht="13" hidden="1" x14ac:dyDescent="0.15">
      <c r="BI792" s="3"/>
      <c r="BJ792" s="3"/>
      <c r="BK792" s="3"/>
      <c r="BL792" s="3"/>
      <c r="BM792" s="3"/>
      <c r="BN792" s="3"/>
      <c r="BO792" s="3"/>
      <c r="BV792" s="3"/>
      <c r="BW792" s="3"/>
      <c r="BX792" s="3"/>
    </row>
    <row r="793" spans="61:76" ht="13" hidden="1" x14ac:dyDescent="0.15">
      <c r="BI793" s="3"/>
      <c r="BJ793" s="3"/>
      <c r="BK793" s="3"/>
      <c r="BL793" s="3"/>
      <c r="BM793" s="3"/>
      <c r="BN793" s="3"/>
      <c r="BO793" s="3"/>
      <c r="BV793" s="3"/>
      <c r="BW793" s="3"/>
      <c r="BX793" s="3"/>
    </row>
    <row r="794" spans="61:76" ht="13" hidden="1" x14ac:dyDescent="0.15">
      <c r="BI794" s="3"/>
      <c r="BJ794" s="3"/>
      <c r="BK794" s="3"/>
      <c r="BL794" s="3"/>
      <c r="BM794" s="3"/>
      <c r="BN794" s="3"/>
      <c r="BO794" s="3"/>
      <c r="BV794" s="3"/>
      <c r="BW794" s="3"/>
      <c r="BX794" s="3"/>
    </row>
    <row r="795" spans="61:76" ht="13" hidden="1" x14ac:dyDescent="0.15">
      <c r="BI795" s="3"/>
      <c r="BJ795" s="3"/>
      <c r="BK795" s="3"/>
      <c r="BL795" s="3"/>
      <c r="BM795" s="3"/>
      <c r="BN795" s="3"/>
      <c r="BO795" s="3"/>
      <c r="BV795" s="3"/>
      <c r="BW795" s="3"/>
      <c r="BX795" s="3"/>
    </row>
    <row r="796" spans="61:76" ht="13" hidden="1" x14ac:dyDescent="0.15">
      <c r="BI796" s="3"/>
      <c r="BJ796" s="3"/>
      <c r="BK796" s="3"/>
      <c r="BL796" s="3"/>
      <c r="BM796" s="3"/>
      <c r="BN796" s="3"/>
      <c r="BO796" s="3"/>
      <c r="BV796" s="3"/>
      <c r="BW796" s="3"/>
      <c r="BX796" s="3"/>
    </row>
    <row r="797" spans="61:76" ht="13" hidden="1" x14ac:dyDescent="0.15">
      <c r="BI797" s="3"/>
      <c r="BJ797" s="3"/>
      <c r="BK797" s="3"/>
      <c r="BL797" s="3"/>
      <c r="BM797" s="3"/>
      <c r="BN797" s="3"/>
      <c r="BO797" s="3"/>
      <c r="BV797" s="3"/>
      <c r="BW797" s="3"/>
      <c r="BX797" s="3"/>
    </row>
    <row r="798" spans="61:76" ht="13" hidden="1" x14ac:dyDescent="0.15">
      <c r="BI798" s="3"/>
      <c r="BJ798" s="3"/>
      <c r="BK798" s="3"/>
      <c r="BL798" s="3"/>
      <c r="BM798" s="3"/>
      <c r="BN798" s="3"/>
      <c r="BO798" s="3"/>
      <c r="BV798" s="3"/>
      <c r="BW798" s="3"/>
      <c r="BX798" s="3"/>
    </row>
    <row r="799" spans="61:76" ht="13" hidden="1" x14ac:dyDescent="0.15">
      <c r="BI799" s="3"/>
      <c r="BJ799" s="3"/>
      <c r="BK799" s="3"/>
      <c r="BL799" s="3"/>
      <c r="BM799" s="3"/>
      <c r="BN799" s="3"/>
      <c r="BO799" s="3"/>
      <c r="BV799" s="3"/>
      <c r="BW799" s="3"/>
      <c r="BX799" s="3"/>
    </row>
    <row r="800" spans="61:76" ht="13" hidden="1" x14ac:dyDescent="0.15">
      <c r="BI800" s="3"/>
      <c r="BJ800" s="3"/>
      <c r="BK800" s="3"/>
      <c r="BL800" s="3"/>
      <c r="BM800" s="3"/>
      <c r="BN800" s="3"/>
      <c r="BO800" s="3"/>
      <c r="BV800" s="3"/>
      <c r="BW800" s="3"/>
      <c r="BX800" s="3"/>
    </row>
    <row r="801" spans="61:76" ht="13" hidden="1" x14ac:dyDescent="0.15">
      <c r="BI801" s="3"/>
      <c r="BJ801" s="3"/>
      <c r="BK801" s="3"/>
      <c r="BL801" s="3"/>
      <c r="BM801" s="3"/>
      <c r="BN801" s="3"/>
      <c r="BO801" s="3"/>
      <c r="BV801" s="3"/>
      <c r="BW801" s="3"/>
      <c r="BX801" s="3"/>
    </row>
    <row r="802" spans="61:76" ht="13" hidden="1" x14ac:dyDescent="0.15">
      <c r="BI802" s="3"/>
      <c r="BJ802" s="3"/>
      <c r="BK802" s="3"/>
      <c r="BL802" s="3"/>
      <c r="BM802" s="3"/>
      <c r="BN802" s="3"/>
      <c r="BO802" s="3"/>
      <c r="BV802" s="3"/>
      <c r="BW802" s="3"/>
      <c r="BX802" s="3"/>
    </row>
    <row r="803" spans="61:76" ht="13" hidden="1" x14ac:dyDescent="0.15">
      <c r="BI803" s="3"/>
      <c r="BJ803" s="3"/>
      <c r="BK803" s="3"/>
      <c r="BL803" s="3"/>
      <c r="BM803" s="3"/>
      <c r="BN803" s="3"/>
      <c r="BO803" s="3"/>
      <c r="BV803" s="3"/>
      <c r="BW803" s="3"/>
      <c r="BX803" s="3"/>
    </row>
    <row r="804" spans="61:76" ht="13" hidden="1" x14ac:dyDescent="0.15">
      <c r="BI804" s="3"/>
      <c r="BJ804" s="3"/>
      <c r="BK804" s="3"/>
      <c r="BL804" s="3"/>
      <c r="BM804" s="3"/>
      <c r="BN804" s="3"/>
      <c r="BO804" s="3"/>
      <c r="BV804" s="3"/>
      <c r="BW804" s="3"/>
      <c r="BX804" s="3"/>
    </row>
    <row r="805" spans="61:76" ht="13" hidden="1" x14ac:dyDescent="0.15">
      <c r="BI805" s="3"/>
      <c r="BJ805" s="3"/>
      <c r="BK805" s="3"/>
      <c r="BL805" s="3"/>
      <c r="BM805" s="3"/>
      <c r="BN805" s="3"/>
      <c r="BO805" s="3"/>
      <c r="BV805" s="3"/>
      <c r="BW805" s="3"/>
      <c r="BX805" s="3"/>
    </row>
    <row r="806" spans="61:76" ht="13" hidden="1" x14ac:dyDescent="0.15">
      <c r="BI806" s="3"/>
      <c r="BJ806" s="3"/>
      <c r="BK806" s="3"/>
      <c r="BL806" s="3"/>
      <c r="BM806" s="3"/>
      <c r="BN806" s="3"/>
      <c r="BO806" s="3"/>
      <c r="BV806" s="3"/>
      <c r="BW806" s="3"/>
      <c r="BX806" s="3"/>
    </row>
    <row r="807" spans="61:76" ht="13" hidden="1" x14ac:dyDescent="0.15">
      <c r="BI807" s="3"/>
      <c r="BJ807" s="3"/>
      <c r="BK807" s="3"/>
      <c r="BL807" s="3"/>
      <c r="BM807" s="3"/>
      <c r="BN807" s="3"/>
      <c r="BO807" s="3"/>
      <c r="BV807" s="3"/>
      <c r="BW807" s="3"/>
      <c r="BX807" s="3"/>
    </row>
    <row r="808" spans="61:76" ht="13" hidden="1" x14ac:dyDescent="0.15">
      <c r="BI808" s="3"/>
      <c r="BJ808" s="3"/>
      <c r="BK808" s="3"/>
      <c r="BL808" s="3"/>
      <c r="BM808" s="3"/>
      <c r="BN808" s="3"/>
      <c r="BO808" s="3"/>
      <c r="BV808" s="3"/>
      <c r="BW808" s="3"/>
      <c r="BX808" s="3"/>
    </row>
    <row r="809" spans="61:76" ht="13" hidden="1" x14ac:dyDescent="0.15">
      <c r="BI809" s="3"/>
      <c r="BJ809" s="3"/>
      <c r="BK809" s="3"/>
      <c r="BL809" s="3"/>
      <c r="BM809" s="3"/>
      <c r="BN809" s="3"/>
      <c r="BO809" s="3"/>
      <c r="BV809" s="3"/>
      <c r="BW809" s="3"/>
      <c r="BX809" s="3"/>
    </row>
    <row r="810" spans="61:76" ht="13" hidden="1" x14ac:dyDescent="0.15">
      <c r="BI810" s="3"/>
      <c r="BJ810" s="3"/>
      <c r="BK810" s="3"/>
      <c r="BL810" s="3"/>
      <c r="BM810" s="3"/>
      <c r="BN810" s="3"/>
      <c r="BO810" s="3"/>
      <c r="BV810" s="3"/>
      <c r="BW810" s="3"/>
      <c r="BX810" s="3"/>
    </row>
    <row r="811" spans="61:76" ht="13" hidden="1" x14ac:dyDescent="0.15">
      <c r="BI811" s="3"/>
      <c r="BJ811" s="3"/>
      <c r="BK811" s="3"/>
      <c r="BL811" s="3"/>
      <c r="BM811" s="3"/>
      <c r="BN811" s="3"/>
      <c r="BO811" s="3"/>
      <c r="BV811" s="3"/>
      <c r="BW811" s="3"/>
      <c r="BX811" s="3"/>
    </row>
    <row r="812" spans="61:76" ht="13" hidden="1" x14ac:dyDescent="0.15">
      <c r="BI812" s="3"/>
      <c r="BJ812" s="3"/>
      <c r="BK812" s="3"/>
      <c r="BL812" s="3"/>
      <c r="BM812" s="3"/>
      <c r="BN812" s="3"/>
      <c r="BO812" s="3"/>
      <c r="BV812" s="3"/>
      <c r="BW812" s="3"/>
      <c r="BX812" s="3"/>
    </row>
    <row r="813" spans="61:76" ht="13" hidden="1" x14ac:dyDescent="0.15">
      <c r="BI813" s="3"/>
      <c r="BJ813" s="3"/>
      <c r="BK813" s="3"/>
      <c r="BL813" s="3"/>
      <c r="BM813" s="3"/>
      <c r="BN813" s="3"/>
      <c r="BO813" s="3"/>
      <c r="BV813" s="3"/>
      <c r="BW813" s="3"/>
      <c r="BX813" s="3"/>
    </row>
    <row r="814" spans="61:76" ht="13" hidden="1" x14ac:dyDescent="0.15">
      <c r="BI814" s="3"/>
      <c r="BJ814" s="3"/>
      <c r="BK814" s="3"/>
      <c r="BL814" s="3"/>
      <c r="BM814" s="3"/>
      <c r="BN814" s="3"/>
      <c r="BO814" s="3"/>
      <c r="BV814" s="3"/>
      <c r="BW814" s="3"/>
      <c r="BX814" s="3"/>
    </row>
    <row r="815" spans="61:76" ht="13" hidden="1" x14ac:dyDescent="0.15">
      <c r="BI815" s="3"/>
      <c r="BJ815" s="3"/>
      <c r="BK815" s="3"/>
      <c r="BL815" s="3"/>
      <c r="BM815" s="3"/>
      <c r="BN815" s="3"/>
      <c r="BO815" s="3"/>
      <c r="BV815" s="3"/>
      <c r="BW815" s="3"/>
      <c r="BX815" s="3"/>
    </row>
    <row r="816" spans="61:76" ht="13" hidden="1" x14ac:dyDescent="0.15">
      <c r="BI816" s="3"/>
      <c r="BJ816" s="3"/>
      <c r="BK816" s="3"/>
      <c r="BL816" s="3"/>
      <c r="BM816" s="3"/>
      <c r="BN816" s="3"/>
      <c r="BO816" s="3"/>
      <c r="BV816" s="3"/>
      <c r="BW816" s="3"/>
      <c r="BX816" s="3"/>
    </row>
    <row r="817" spans="61:76" ht="13" hidden="1" x14ac:dyDescent="0.15">
      <c r="BI817" s="3"/>
      <c r="BJ817" s="3"/>
      <c r="BK817" s="3"/>
      <c r="BL817" s="3"/>
      <c r="BM817" s="3"/>
      <c r="BN817" s="3"/>
      <c r="BO817" s="3"/>
      <c r="BV817" s="3"/>
      <c r="BW817" s="3"/>
      <c r="BX817" s="3"/>
    </row>
    <row r="818" spans="61:76" ht="13" hidden="1" x14ac:dyDescent="0.15">
      <c r="BI818" s="3"/>
      <c r="BJ818" s="3"/>
      <c r="BK818" s="3"/>
      <c r="BL818" s="3"/>
      <c r="BM818" s="3"/>
      <c r="BN818" s="3"/>
      <c r="BO818" s="3"/>
      <c r="BV818" s="3"/>
      <c r="BW818" s="3"/>
      <c r="BX818" s="3"/>
    </row>
    <row r="819" spans="61:76" ht="13" hidden="1" x14ac:dyDescent="0.15">
      <c r="BI819" s="3"/>
      <c r="BJ819" s="3"/>
      <c r="BK819" s="3"/>
      <c r="BL819" s="3"/>
      <c r="BM819" s="3"/>
      <c r="BN819" s="3"/>
      <c r="BO819" s="3"/>
      <c r="BV819" s="3"/>
      <c r="BW819" s="3"/>
      <c r="BX819" s="3"/>
    </row>
    <row r="820" spans="61:76" ht="13" hidden="1" x14ac:dyDescent="0.15">
      <c r="BI820" s="3"/>
      <c r="BJ820" s="3"/>
      <c r="BK820" s="3"/>
      <c r="BL820" s="3"/>
      <c r="BM820" s="3"/>
      <c r="BN820" s="3"/>
      <c r="BO820" s="3"/>
      <c r="BV820" s="3"/>
      <c r="BW820" s="3"/>
      <c r="BX820" s="3"/>
    </row>
    <row r="821" spans="61:76" ht="13" hidden="1" x14ac:dyDescent="0.15">
      <c r="BI821" s="3"/>
      <c r="BJ821" s="3"/>
      <c r="BK821" s="3"/>
      <c r="BL821" s="3"/>
      <c r="BM821" s="3"/>
      <c r="BN821" s="3"/>
      <c r="BO821" s="3"/>
      <c r="BV821" s="3"/>
      <c r="BW821" s="3"/>
      <c r="BX821" s="3"/>
    </row>
    <row r="822" spans="61:76" ht="13" hidden="1" x14ac:dyDescent="0.15">
      <c r="BI822" s="3"/>
      <c r="BJ822" s="3"/>
      <c r="BK822" s="3"/>
      <c r="BL822" s="3"/>
      <c r="BM822" s="3"/>
      <c r="BN822" s="3"/>
      <c r="BO822" s="3"/>
      <c r="BV822" s="3"/>
      <c r="BW822" s="3"/>
      <c r="BX822" s="3"/>
    </row>
    <row r="823" spans="61:76" ht="13" hidden="1" x14ac:dyDescent="0.15">
      <c r="BI823" s="3"/>
      <c r="BJ823" s="3"/>
      <c r="BK823" s="3"/>
      <c r="BL823" s="3"/>
      <c r="BM823" s="3"/>
      <c r="BN823" s="3"/>
      <c r="BO823" s="3"/>
      <c r="BV823" s="3"/>
      <c r="BW823" s="3"/>
      <c r="BX823" s="3"/>
    </row>
    <row r="824" spans="61:76" ht="13" hidden="1" x14ac:dyDescent="0.15">
      <c r="BI824" s="3"/>
      <c r="BJ824" s="3"/>
      <c r="BK824" s="3"/>
      <c r="BL824" s="3"/>
      <c r="BM824" s="3"/>
      <c r="BN824" s="3"/>
      <c r="BO824" s="3"/>
      <c r="BV824" s="3"/>
      <c r="BW824" s="3"/>
      <c r="BX824" s="3"/>
    </row>
    <row r="825" spans="61:76" ht="13" hidden="1" x14ac:dyDescent="0.15">
      <c r="BI825" s="3"/>
      <c r="BJ825" s="3"/>
      <c r="BK825" s="3"/>
      <c r="BL825" s="3"/>
      <c r="BM825" s="3"/>
      <c r="BN825" s="3"/>
      <c r="BO825" s="3"/>
      <c r="BV825" s="3"/>
      <c r="BW825" s="3"/>
      <c r="BX825" s="3"/>
    </row>
    <row r="826" spans="61:76" ht="13" hidden="1" x14ac:dyDescent="0.15">
      <c r="BI826" s="3"/>
      <c r="BJ826" s="3"/>
      <c r="BK826" s="3"/>
      <c r="BL826" s="3"/>
      <c r="BM826" s="3"/>
      <c r="BN826" s="3"/>
      <c r="BO826" s="3"/>
      <c r="BV826" s="3"/>
      <c r="BW826" s="3"/>
      <c r="BX826" s="3"/>
    </row>
    <row r="827" spans="61:76" ht="13" hidden="1" x14ac:dyDescent="0.15">
      <c r="BI827" s="3"/>
      <c r="BJ827" s="3"/>
      <c r="BK827" s="3"/>
      <c r="BL827" s="3"/>
      <c r="BM827" s="3"/>
      <c r="BN827" s="3"/>
      <c r="BO827" s="3"/>
      <c r="BV827" s="3"/>
      <c r="BW827" s="3"/>
      <c r="BX827" s="3"/>
    </row>
    <row r="828" spans="61:76" ht="13" hidden="1" x14ac:dyDescent="0.15">
      <c r="BI828" s="3"/>
      <c r="BJ828" s="3"/>
      <c r="BK828" s="3"/>
      <c r="BL828" s="3"/>
      <c r="BM828" s="3"/>
      <c r="BN828" s="3"/>
      <c r="BO828" s="3"/>
      <c r="BV828" s="3"/>
      <c r="BW828" s="3"/>
      <c r="BX828" s="3"/>
    </row>
    <row r="829" spans="61:76" ht="13" hidden="1" x14ac:dyDescent="0.15">
      <c r="BI829" s="3"/>
      <c r="BJ829" s="3"/>
      <c r="BK829" s="3"/>
      <c r="BL829" s="3"/>
      <c r="BM829" s="3"/>
      <c r="BN829" s="3"/>
      <c r="BO829" s="3"/>
      <c r="BV829" s="3"/>
      <c r="BW829" s="3"/>
      <c r="BX829" s="3"/>
    </row>
    <row r="830" spans="61:76" ht="13" hidden="1" x14ac:dyDescent="0.15">
      <c r="BI830" s="3"/>
      <c r="BJ830" s="3"/>
      <c r="BK830" s="3"/>
      <c r="BL830" s="3"/>
      <c r="BM830" s="3"/>
      <c r="BN830" s="3"/>
      <c r="BO830" s="3"/>
      <c r="BV830" s="3"/>
      <c r="BW830" s="3"/>
      <c r="BX830" s="3"/>
    </row>
    <row r="831" spans="61:76" ht="13" hidden="1" x14ac:dyDescent="0.15">
      <c r="BI831" s="3"/>
      <c r="BJ831" s="3"/>
      <c r="BK831" s="3"/>
      <c r="BL831" s="3"/>
      <c r="BM831" s="3"/>
      <c r="BN831" s="3"/>
      <c r="BO831" s="3"/>
      <c r="BV831" s="3"/>
      <c r="BW831" s="3"/>
      <c r="BX831" s="3"/>
    </row>
    <row r="832" spans="61:76" ht="13" hidden="1" x14ac:dyDescent="0.15">
      <c r="BI832" s="3"/>
      <c r="BJ832" s="3"/>
      <c r="BK832" s="3"/>
      <c r="BL832" s="3"/>
      <c r="BM832" s="3"/>
      <c r="BN832" s="3"/>
      <c r="BO832" s="3"/>
      <c r="BV832" s="3"/>
      <c r="BW832" s="3"/>
      <c r="BX832" s="3"/>
    </row>
    <row r="833" spans="61:76" ht="13" hidden="1" x14ac:dyDescent="0.15">
      <c r="BI833" s="3"/>
      <c r="BJ833" s="3"/>
      <c r="BK833" s="3"/>
      <c r="BL833" s="3"/>
      <c r="BM833" s="3"/>
      <c r="BN833" s="3"/>
      <c r="BO833" s="3"/>
      <c r="BV833" s="3"/>
      <c r="BW833" s="3"/>
      <c r="BX833" s="3"/>
    </row>
    <row r="834" spans="61:76" ht="13" hidden="1" x14ac:dyDescent="0.15">
      <c r="BI834" s="3"/>
      <c r="BJ834" s="3"/>
      <c r="BK834" s="3"/>
      <c r="BL834" s="3"/>
      <c r="BM834" s="3"/>
      <c r="BN834" s="3"/>
      <c r="BO834" s="3"/>
      <c r="BV834" s="3"/>
      <c r="BW834" s="3"/>
      <c r="BX834" s="3"/>
    </row>
    <row r="835" spans="61:76" ht="13" hidden="1" x14ac:dyDescent="0.15">
      <c r="BI835" s="3"/>
      <c r="BJ835" s="3"/>
      <c r="BK835" s="3"/>
      <c r="BL835" s="3"/>
      <c r="BM835" s="3"/>
      <c r="BN835" s="3"/>
      <c r="BO835" s="3"/>
      <c r="BV835" s="3"/>
      <c r="BW835" s="3"/>
      <c r="BX835" s="3"/>
    </row>
    <row r="836" spans="61:76" ht="13" hidden="1" x14ac:dyDescent="0.15">
      <c r="BI836" s="3"/>
      <c r="BJ836" s="3"/>
      <c r="BK836" s="3"/>
      <c r="BL836" s="3"/>
      <c r="BM836" s="3"/>
      <c r="BN836" s="3"/>
      <c r="BO836" s="3"/>
      <c r="BV836" s="3"/>
      <c r="BW836" s="3"/>
      <c r="BX836" s="3"/>
    </row>
    <row r="837" spans="61:76" ht="13" hidden="1" x14ac:dyDescent="0.15">
      <c r="BI837" s="3"/>
      <c r="BJ837" s="3"/>
      <c r="BK837" s="3"/>
      <c r="BL837" s="3"/>
      <c r="BM837" s="3"/>
      <c r="BN837" s="3"/>
      <c r="BO837" s="3"/>
      <c r="BV837" s="3"/>
      <c r="BW837" s="3"/>
      <c r="BX837" s="3"/>
    </row>
    <row r="838" spans="61:76" ht="13" hidden="1" x14ac:dyDescent="0.15">
      <c r="BI838" s="3"/>
      <c r="BJ838" s="3"/>
      <c r="BK838" s="3"/>
      <c r="BL838" s="3"/>
      <c r="BM838" s="3"/>
      <c r="BN838" s="3"/>
      <c r="BO838" s="3"/>
      <c r="BV838" s="3"/>
      <c r="BW838" s="3"/>
      <c r="BX838" s="3"/>
    </row>
    <row r="839" spans="61:76" ht="13" hidden="1" x14ac:dyDescent="0.15">
      <c r="BI839" s="3"/>
      <c r="BJ839" s="3"/>
      <c r="BK839" s="3"/>
      <c r="BL839" s="3"/>
      <c r="BM839" s="3"/>
      <c r="BN839" s="3"/>
      <c r="BO839" s="3"/>
      <c r="BV839" s="3"/>
      <c r="BW839" s="3"/>
      <c r="BX839" s="3"/>
    </row>
    <row r="840" spans="61:76" ht="13" hidden="1" x14ac:dyDescent="0.15">
      <c r="BI840" s="3"/>
      <c r="BJ840" s="3"/>
      <c r="BK840" s="3"/>
      <c r="BL840" s="3"/>
      <c r="BM840" s="3"/>
      <c r="BN840" s="3"/>
      <c r="BO840" s="3"/>
      <c r="BV840" s="3"/>
      <c r="BW840" s="3"/>
      <c r="BX840" s="3"/>
    </row>
    <row r="841" spans="61:76" ht="13" hidden="1" x14ac:dyDescent="0.15">
      <c r="BI841" s="3"/>
      <c r="BJ841" s="3"/>
      <c r="BK841" s="3"/>
      <c r="BL841" s="3"/>
      <c r="BM841" s="3"/>
      <c r="BN841" s="3"/>
      <c r="BO841" s="3"/>
      <c r="BV841" s="3"/>
      <c r="BW841" s="3"/>
      <c r="BX841" s="3"/>
    </row>
    <row r="842" spans="61:76" ht="13" hidden="1" x14ac:dyDescent="0.15">
      <c r="BI842" s="3"/>
      <c r="BJ842" s="3"/>
      <c r="BK842" s="3"/>
      <c r="BL842" s="3"/>
      <c r="BM842" s="3"/>
      <c r="BN842" s="3"/>
      <c r="BO842" s="3"/>
      <c r="BV842" s="3"/>
      <c r="BW842" s="3"/>
      <c r="BX842" s="3"/>
    </row>
    <row r="843" spans="61:76" ht="13" hidden="1" x14ac:dyDescent="0.15">
      <c r="BI843" s="3"/>
      <c r="BJ843" s="3"/>
      <c r="BK843" s="3"/>
      <c r="BL843" s="3"/>
      <c r="BM843" s="3"/>
      <c r="BN843" s="3"/>
      <c r="BO843" s="3"/>
      <c r="BV843" s="3"/>
      <c r="BW843" s="3"/>
      <c r="BX843" s="3"/>
    </row>
    <row r="844" spans="61:76" ht="13" hidden="1" x14ac:dyDescent="0.15">
      <c r="BI844" s="3"/>
      <c r="BJ844" s="3"/>
      <c r="BK844" s="3"/>
      <c r="BL844" s="3"/>
      <c r="BM844" s="3"/>
      <c r="BN844" s="3"/>
      <c r="BO844" s="3"/>
      <c r="BV844" s="3"/>
      <c r="BW844" s="3"/>
      <c r="BX844" s="3"/>
    </row>
    <row r="845" spans="61:76" ht="13" hidden="1" x14ac:dyDescent="0.15">
      <c r="BI845" s="3"/>
      <c r="BJ845" s="3"/>
      <c r="BK845" s="3"/>
      <c r="BL845" s="3"/>
      <c r="BM845" s="3"/>
      <c r="BN845" s="3"/>
      <c r="BO845" s="3"/>
      <c r="BV845" s="3"/>
      <c r="BW845" s="3"/>
      <c r="BX845" s="3"/>
    </row>
    <row r="846" spans="61:76" ht="13" hidden="1" x14ac:dyDescent="0.15">
      <c r="BI846" s="3"/>
      <c r="BJ846" s="3"/>
      <c r="BK846" s="3"/>
      <c r="BL846" s="3"/>
      <c r="BM846" s="3"/>
      <c r="BN846" s="3"/>
      <c r="BO846" s="3"/>
      <c r="BV846" s="3"/>
      <c r="BW846" s="3"/>
      <c r="BX846" s="3"/>
    </row>
    <row r="847" spans="61:76" ht="13" hidden="1" x14ac:dyDescent="0.15">
      <c r="BI847" s="3"/>
      <c r="BJ847" s="3"/>
      <c r="BK847" s="3"/>
      <c r="BL847" s="3"/>
      <c r="BM847" s="3"/>
      <c r="BN847" s="3"/>
      <c r="BO847" s="3"/>
      <c r="BV847" s="3"/>
      <c r="BW847" s="3"/>
      <c r="BX847" s="3"/>
    </row>
    <row r="848" spans="61:76" ht="13" hidden="1" x14ac:dyDescent="0.15">
      <c r="BI848" s="3"/>
      <c r="BJ848" s="3"/>
      <c r="BK848" s="3"/>
      <c r="BL848" s="3"/>
      <c r="BM848" s="3"/>
      <c r="BN848" s="3"/>
      <c r="BO848" s="3"/>
      <c r="BV848" s="3"/>
      <c r="BW848" s="3"/>
      <c r="BX848" s="3"/>
    </row>
    <row r="849" spans="61:76" ht="13" hidden="1" x14ac:dyDescent="0.15">
      <c r="BI849" s="3"/>
      <c r="BJ849" s="3"/>
      <c r="BK849" s="3"/>
      <c r="BL849" s="3"/>
      <c r="BM849" s="3"/>
      <c r="BN849" s="3"/>
      <c r="BO849" s="3"/>
      <c r="BV849" s="3"/>
      <c r="BW849" s="3"/>
      <c r="BX849" s="3"/>
    </row>
    <row r="850" spans="61:76" ht="13" hidden="1" x14ac:dyDescent="0.15">
      <c r="BI850" s="3"/>
      <c r="BJ850" s="3"/>
      <c r="BK850" s="3"/>
      <c r="BL850" s="3"/>
      <c r="BM850" s="3"/>
      <c r="BN850" s="3"/>
      <c r="BO850" s="3"/>
      <c r="BV850" s="3"/>
      <c r="BW850" s="3"/>
      <c r="BX850" s="3"/>
    </row>
    <row r="851" spans="61:76" ht="13" hidden="1" x14ac:dyDescent="0.15">
      <c r="BI851" s="3"/>
      <c r="BJ851" s="3"/>
      <c r="BK851" s="3"/>
      <c r="BL851" s="3"/>
      <c r="BM851" s="3"/>
      <c r="BN851" s="3"/>
      <c r="BO851" s="3"/>
      <c r="BV851" s="3"/>
      <c r="BW851" s="3"/>
      <c r="BX851" s="3"/>
    </row>
    <row r="852" spans="61:76" ht="13" hidden="1" x14ac:dyDescent="0.15">
      <c r="BI852" s="3"/>
      <c r="BJ852" s="3"/>
      <c r="BK852" s="3"/>
      <c r="BL852" s="3"/>
      <c r="BM852" s="3"/>
      <c r="BN852" s="3"/>
      <c r="BO852" s="3"/>
      <c r="BV852" s="3"/>
      <c r="BW852" s="3"/>
      <c r="BX852" s="3"/>
    </row>
    <row r="853" spans="61:76" ht="13" hidden="1" x14ac:dyDescent="0.15">
      <c r="BI853" s="3"/>
      <c r="BJ853" s="3"/>
      <c r="BK853" s="3"/>
      <c r="BL853" s="3"/>
      <c r="BM853" s="3"/>
      <c r="BN853" s="3"/>
      <c r="BO853" s="3"/>
      <c r="BV853" s="3"/>
      <c r="BW853" s="3"/>
      <c r="BX853" s="3"/>
    </row>
    <row r="854" spans="61:76" ht="13" hidden="1" x14ac:dyDescent="0.15">
      <c r="BI854" s="3"/>
      <c r="BJ854" s="3"/>
      <c r="BK854" s="3"/>
      <c r="BL854" s="3"/>
      <c r="BM854" s="3"/>
      <c r="BN854" s="3"/>
      <c r="BO854" s="3"/>
      <c r="BV854" s="3"/>
      <c r="BW854" s="3"/>
      <c r="BX854" s="3"/>
    </row>
    <row r="855" spans="61:76" ht="13" hidden="1" x14ac:dyDescent="0.15">
      <c r="BI855" s="3"/>
      <c r="BJ855" s="3"/>
      <c r="BK855" s="3"/>
      <c r="BL855" s="3"/>
      <c r="BM855" s="3"/>
      <c r="BN855" s="3"/>
      <c r="BO855" s="3"/>
      <c r="BV855" s="3"/>
      <c r="BW855" s="3"/>
      <c r="BX855" s="3"/>
    </row>
    <row r="856" spans="61:76" ht="13" hidden="1" x14ac:dyDescent="0.15">
      <c r="BI856" s="3"/>
      <c r="BJ856" s="3"/>
      <c r="BK856" s="3"/>
      <c r="BL856" s="3"/>
      <c r="BM856" s="3"/>
      <c r="BN856" s="3"/>
      <c r="BO856" s="3"/>
      <c r="BV856" s="3"/>
      <c r="BW856" s="3"/>
      <c r="BX856" s="3"/>
    </row>
    <row r="857" spans="61:76" ht="13" hidden="1" x14ac:dyDescent="0.15">
      <c r="BI857" s="3"/>
      <c r="BJ857" s="3"/>
      <c r="BK857" s="3"/>
      <c r="BL857" s="3"/>
      <c r="BM857" s="3"/>
      <c r="BN857" s="3"/>
      <c r="BO857" s="3"/>
      <c r="BV857" s="3"/>
      <c r="BW857" s="3"/>
      <c r="BX857" s="3"/>
    </row>
    <row r="858" spans="61:76" ht="13" hidden="1" x14ac:dyDescent="0.15">
      <c r="BI858" s="3"/>
      <c r="BJ858" s="3"/>
      <c r="BK858" s="3"/>
      <c r="BL858" s="3"/>
      <c r="BM858" s="3"/>
      <c r="BN858" s="3"/>
      <c r="BO858" s="3"/>
      <c r="BV858" s="3"/>
      <c r="BW858" s="3"/>
      <c r="BX858" s="3"/>
    </row>
    <row r="859" spans="61:76" ht="13" hidden="1" x14ac:dyDescent="0.15">
      <c r="BI859" s="3"/>
      <c r="BJ859" s="3"/>
      <c r="BK859" s="3"/>
      <c r="BL859" s="3"/>
      <c r="BM859" s="3"/>
      <c r="BN859" s="3"/>
      <c r="BO859" s="3"/>
      <c r="BV859" s="3"/>
      <c r="BW859" s="3"/>
      <c r="BX859" s="3"/>
    </row>
    <row r="860" spans="61:76" ht="13" hidden="1" x14ac:dyDescent="0.15">
      <c r="BI860" s="3"/>
      <c r="BJ860" s="3"/>
      <c r="BK860" s="3"/>
      <c r="BL860" s="3"/>
      <c r="BM860" s="3"/>
      <c r="BN860" s="3"/>
      <c r="BO860" s="3"/>
      <c r="BV860" s="3"/>
      <c r="BW860" s="3"/>
      <c r="BX860" s="3"/>
    </row>
    <row r="861" spans="61:76" ht="13" hidden="1" x14ac:dyDescent="0.15">
      <c r="BI861" s="3"/>
      <c r="BJ861" s="3"/>
      <c r="BK861" s="3"/>
      <c r="BL861" s="3"/>
      <c r="BM861" s="3"/>
      <c r="BN861" s="3"/>
      <c r="BO861" s="3"/>
      <c r="BV861" s="3"/>
      <c r="BW861" s="3"/>
      <c r="BX861" s="3"/>
    </row>
    <row r="862" spans="61:76" ht="13" hidden="1" x14ac:dyDescent="0.15">
      <c r="BI862" s="3"/>
      <c r="BJ862" s="3"/>
      <c r="BK862" s="3"/>
      <c r="BL862" s="3"/>
      <c r="BM862" s="3"/>
      <c r="BN862" s="3"/>
      <c r="BO862" s="3"/>
      <c r="BV862" s="3"/>
      <c r="BW862" s="3"/>
      <c r="BX862" s="3"/>
    </row>
    <row r="863" spans="61:76" ht="13" hidden="1" x14ac:dyDescent="0.15">
      <c r="BI863" s="3"/>
      <c r="BJ863" s="3"/>
      <c r="BK863" s="3"/>
      <c r="BL863" s="3"/>
      <c r="BM863" s="3"/>
      <c r="BN863" s="3"/>
      <c r="BO863" s="3"/>
      <c r="BV863" s="3"/>
      <c r="BW863" s="3"/>
      <c r="BX863" s="3"/>
    </row>
    <row r="864" spans="61:76" ht="13" hidden="1" x14ac:dyDescent="0.15">
      <c r="BI864" s="3"/>
      <c r="BJ864" s="3"/>
      <c r="BK864" s="3"/>
      <c r="BL864" s="3"/>
      <c r="BM864" s="3"/>
      <c r="BN864" s="3"/>
      <c r="BO864" s="3"/>
      <c r="BV864" s="3"/>
      <c r="BW864" s="3"/>
      <c r="BX864" s="3"/>
    </row>
    <row r="865" spans="61:76" ht="13" hidden="1" x14ac:dyDescent="0.15">
      <c r="BI865" s="3"/>
      <c r="BJ865" s="3"/>
      <c r="BK865" s="3"/>
      <c r="BL865" s="3"/>
      <c r="BM865" s="3"/>
      <c r="BN865" s="3"/>
      <c r="BO865" s="3"/>
      <c r="BV865" s="3"/>
      <c r="BW865" s="3"/>
      <c r="BX865" s="3"/>
    </row>
    <row r="866" spans="61:76" ht="13" hidden="1" x14ac:dyDescent="0.15">
      <c r="BI866" s="3"/>
      <c r="BJ866" s="3"/>
      <c r="BK866" s="3"/>
      <c r="BL866" s="3"/>
      <c r="BM866" s="3"/>
      <c r="BN866" s="3"/>
      <c r="BO866" s="3"/>
      <c r="BV866" s="3"/>
      <c r="BW866" s="3"/>
      <c r="BX866" s="3"/>
    </row>
    <row r="867" spans="61:76" ht="13" hidden="1" x14ac:dyDescent="0.15">
      <c r="BI867" s="3"/>
      <c r="BJ867" s="3"/>
      <c r="BK867" s="3"/>
      <c r="BL867" s="3"/>
      <c r="BM867" s="3"/>
      <c r="BN867" s="3"/>
      <c r="BO867" s="3"/>
      <c r="BV867" s="3"/>
      <c r="BW867" s="3"/>
      <c r="BX867" s="3"/>
    </row>
    <row r="868" spans="61:76" ht="13" hidden="1" x14ac:dyDescent="0.15">
      <c r="BI868" s="3"/>
      <c r="BJ868" s="3"/>
      <c r="BK868" s="3"/>
      <c r="BL868" s="3"/>
      <c r="BM868" s="3"/>
      <c r="BN868" s="3"/>
      <c r="BO868" s="3"/>
      <c r="BV868" s="3"/>
      <c r="BW868" s="3"/>
      <c r="BX868" s="3"/>
    </row>
    <row r="869" spans="61:76" ht="13" hidden="1" x14ac:dyDescent="0.15">
      <c r="BI869" s="3"/>
      <c r="BJ869" s="3"/>
      <c r="BK869" s="3"/>
      <c r="BL869" s="3"/>
      <c r="BM869" s="3"/>
      <c r="BN869" s="3"/>
      <c r="BO869" s="3"/>
      <c r="BV869" s="3"/>
      <c r="BW869" s="3"/>
      <c r="BX869" s="3"/>
    </row>
    <row r="870" spans="61:76" ht="13" hidden="1" x14ac:dyDescent="0.15">
      <c r="BI870" s="3"/>
      <c r="BJ870" s="3"/>
      <c r="BK870" s="3"/>
      <c r="BL870" s="3"/>
      <c r="BM870" s="3"/>
      <c r="BN870" s="3"/>
      <c r="BO870" s="3"/>
      <c r="BV870" s="3"/>
      <c r="BW870" s="3"/>
      <c r="BX870" s="3"/>
    </row>
    <row r="871" spans="61:76" ht="13" hidden="1" x14ac:dyDescent="0.15">
      <c r="BI871" s="3"/>
      <c r="BJ871" s="3"/>
      <c r="BK871" s="3"/>
      <c r="BL871" s="3"/>
      <c r="BM871" s="3"/>
      <c r="BN871" s="3"/>
      <c r="BO871" s="3"/>
      <c r="BV871" s="3"/>
      <c r="BW871" s="3"/>
      <c r="BX871" s="3"/>
    </row>
    <row r="872" spans="61:76" ht="13" hidden="1" x14ac:dyDescent="0.15">
      <c r="BI872" s="3"/>
      <c r="BJ872" s="3"/>
      <c r="BK872" s="3"/>
      <c r="BL872" s="3"/>
      <c r="BM872" s="3"/>
      <c r="BN872" s="3"/>
      <c r="BO872" s="3"/>
      <c r="BV872" s="3"/>
      <c r="BW872" s="3"/>
      <c r="BX872" s="3"/>
    </row>
    <row r="873" spans="61:76" ht="13" hidden="1" x14ac:dyDescent="0.15">
      <c r="BI873" s="3"/>
      <c r="BJ873" s="3"/>
      <c r="BK873" s="3"/>
      <c r="BL873" s="3"/>
      <c r="BM873" s="3"/>
      <c r="BN873" s="3"/>
      <c r="BO873" s="3"/>
      <c r="BV873" s="3"/>
      <c r="BW873" s="3"/>
      <c r="BX873" s="3"/>
    </row>
    <row r="874" spans="61:76" ht="13" hidden="1" x14ac:dyDescent="0.15">
      <c r="BI874" s="3"/>
      <c r="BJ874" s="3"/>
      <c r="BK874" s="3"/>
      <c r="BL874" s="3"/>
      <c r="BM874" s="3"/>
      <c r="BN874" s="3"/>
      <c r="BO874" s="3"/>
      <c r="BV874" s="3"/>
      <c r="BW874" s="3"/>
      <c r="BX874" s="3"/>
    </row>
    <row r="875" spans="61:76" ht="13" hidden="1" x14ac:dyDescent="0.15">
      <c r="BI875" s="3"/>
      <c r="BJ875" s="3"/>
      <c r="BK875" s="3"/>
      <c r="BL875" s="3"/>
      <c r="BM875" s="3"/>
      <c r="BN875" s="3"/>
      <c r="BO875" s="3"/>
      <c r="BV875" s="3"/>
      <c r="BW875" s="3"/>
      <c r="BX875" s="3"/>
    </row>
    <row r="876" spans="61:76" ht="13" hidden="1" x14ac:dyDescent="0.15">
      <c r="BI876" s="3"/>
      <c r="BJ876" s="3"/>
      <c r="BK876" s="3"/>
      <c r="BL876" s="3"/>
      <c r="BM876" s="3"/>
      <c r="BN876" s="3"/>
      <c r="BO876" s="3"/>
      <c r="BV876" s="3"/>
      <c r="BW876" s="3"/>
      <c r="BX876" s="3"/>
    </row>
    <row r="877" spans="61:76" ht="13" hidden="1" x14ac:dyDescent="0.15">
      <c r="BI877" s="3"/>
      <c r="BJ877" s="3"/>
      <c r="BK877" s="3"/>
      <c r="BL877" s="3"/>
      <c r="BM877" s="3"/>
      <c r="BN877" s="3"/>
      <c r="BO877" s="3"/>
      <c r="BV877" s="3"/>
      <c r="BW877" s="3"/>
      <c r="BX877" s="3"/>
    </row>
    <row r="878" spans="61:76" ht="13" hidden="1" x14ac:dyDescent="0.15">
      <c r="BI878" s="3"/>
      <c r="BJ878" s="3"/>
      <c r="BK878" s="3"/>
      <c r="BL878" s="3"/>
      <c r="BM878" s="3"/>
      <c r="BN878" s="3"/>
      <c r="BO878" s="3"/>
      <c r="BV878" s="3"/>
      <c r="BW878" s="3"/>
      <c r="BX878" s="3"/>
    </row>
    <row r="879" spans="61:76" ht="13" hidden="1" x14ac:dyDescent="0.15">
      <c r="BI879" s="3"/>
      <c r="BJ879" s="3"/>
      <c r="BK879" s="3"/>
      <c r="BL879" s="3"/>
      <c r="BM879" s="3"/>
      <c r="BN879" s="3"/>
      <c r="BO879" s="3"/>
      <c r="BV879" s="3"/>
      <c r="BW879" s="3"/>
      <c r="BX879" s="3"/>
    </row>
    <row r="880" spans="61:76" ht="13" hidden="1" x14ac:dyDescent="0.15">
      <c r="BI880" s="3"/>
      <c r="BJ880" s="3"/>
      <c r="BK880" s="3"/>
      <c r="BL880" s="3"/>
      <c r="BM880" s="3"/>
      <c r="BN880" s="3"/>
      <c r="BO880" s="3"/>
      <c r="BV880" s="3"/>
      <c r="BW880" s="3"/>
      <c r="BX880" s="3"/>
    </row>
    <row r="881" spans="61:76" ht="13" hidden="1" x14ac:dyDescent="0.15">
      <c r="BI881" s="3"/>
      <c r="BJ881" s="3"/>
      <c r="BK881" s="3"/>
      <c r="BL881" s="3"/>
      <c r="BM881" s="3"/>
      <c r="BN881" s="3"/>
      <c r="BO881" s="3"/>
      <c r="BV881" s="3"/>
      <c r="BW881" s="3"/>
      <c r="BX881" s="3"/>
    </row>
    <row r="882" spans="61:76" ht="13" hidden="1" x14ac:dyDescent="0.15">
      <c r="BI882" s="3"/>
      <c r="BJ882" s="3"/>
      <c r="BK882" s="3"/>
      <c r="BL882" s="3"/>
      <c r="BM882" s="3"/>
      <c r="BN882" s="3"/>
      <c r="BO882" s="3"/>
      <c r="BV882" s="3"/>
      <c r="BW882" s="3"/>
      <c r="BX882" s="3"/>
    </row>
    <row r="883" spans="61:76" ht="13" hidden="1" x14ac:dyDescent="0.15">
      <c r="BI883" s="3"/>
      <c r="BJ883" s="3"/>
      <c r="BK883" s="3"/>
      <c r="BL883" s="3"/>
      <c r="BM883" s="3"/>
      <c r="BN883" s="3"/>
      <c r="BO883" s="3"/>
      <c r="BV883" s="3"/>
      <c r="BW883" s="3"/>
      <c r="BX883" s="3"/>
    </row>
    <row r="884" spans="61:76" ht="13" hidden="1" x14ac:dyDescent="0.15">
      <c r="BI884" s="3"/>
      <c r="BJ884" s="3"/>
      <c r="BK884" s="3"/>
      <c r="BL884" s="3"/>
      <c r="BM884" s="3"/>
      <c r="BN884" s="3"/>
      <c r="BO884" s="3"/>
      <c r="BV884" s="3"/>
      <c r="BW884" s="3"/>
      <c r="BX884" s="3"/>
    </row>
    <row r="885" spans="61:76" ht="13" hidden="1" x14ac:dyDescent="0.15">
      <c r="BI885" s="3"/>
      <c r="BJ885" s="3"/>
      <c r="BK885" s="3"/>
      <c r="BL885" s="3"/>
      <c r="BM885" s="3"/>
      <c r="BN885" s="3"/>
      <c r="BO885" s="3"/>
      <c r="BV885" s="3"/>
      <c r="BW885" s="3"/>
      <c r="BX885" s="3"/>
    </row>
    <row r="886" spans="61:76" ht="13" hidden="1" x14ac:dyDescent="0.15">
      <c r="BI886" s="3"/>
      <c r="BJ886" s="3"/>
      <c r="BK886" s="3"/>
      <c r="BL886" s="3"/>
      <c r="BM886" s="3"/>
      <c r="BN886" s="3"/>
      <c r="BO886" s="3"/>
      <c r="BV886" s="3"/>
      <c r="BW886" s="3"/>
      <c r="BX886" s="3"/>
    </row>
    <row r="887" spans="61:76" ht="13" hidden="1" x14ac:dyDescent="0.15">
      <c r="BI887" s="3"/>
      <c r="BJ887" s="3"/>
      <c r="BK887" s="3"/>
      <c r="BL887" s="3"/>
      <c r="BM887" s="3"/>
      <c r="BN887" s="3"/>
      <c r="BO887" s="3"/>
      <c r="BV887" s="3"/>
      <c r="BW887" s="3"/>
      <c r="BX887" s="3"/>
    </row>
    <row r="888" spans="61:76" ht="13" hidden="1" x14ac:dyDescent="0.15">
      <c r="BI888" s="3"/>
      <c r="BJ888" s="3"/>
      <c r="BK888" s="3"/>
      <c r="BL888" s="3"/>
      <c r="BM888" s="3"/>
      <c r="BN888" s="3"/>
      <c r="BO888" s="3"/>
      <c r="BV888" s="3"/>
      <c r="BW888" s="3"/>
      <c r="BX888" s="3"/>
    </row>
    <row r="889" spans="61:76" ht="13" hidden="1" x14ac:dyDescent="0.15">
      <c r="BI889" s="3"/>
      <c r="BJ889" s="3"/>
      <c r="BK889" s="3"/>
      <c r="BL889" s="3"/>
      <c r="BM889" s="3"/>
      <c r="BN889" s="3"/>
      <c r="BO889" s="3"/>
      <c r="BV889" s="3"/>
      <c r="BW889" s="3"/>
      <c r="BX889" s="3"/>
    </row>
    <row r="890" spans="61:76" ht="13" hidden="1" x14ac:dyDescent="0.15">
      <c r="BI890" s="3"/>
      <c r="BJ890" s="3"/>
      <c r="BK890" s="3"/>
      <c r="BL890" s="3"/>
      <c r="BM890" s="3"/>
      <c r="BN890" s="3"/>
      <c r="BO890" s="3"/>
      <c r="BV890" s="3"/>
      <c r="BW890" s="3"/>
      <c r="BX890" s="3"/>
    </row>
    <row r="891" spans="61:76" ht="13" hidden="1" x14ac:dyDescent="0.15">
      <c r="BI891" s="3"/>
      <c r="BJ891" s="3"/>
      <c r="BK891" s="3"/>
      <c r="BL891" s="3"/>
      <c r="BM891" s="3"/>
      <c r="BN891" s="3"/>
      <c r="BO891" s="3"/>
      <c r="BV891" s="3"/>
      <c r="BW891" s="3"/>
      <c r="BX891" s="3"/>
    </row>
    <row r="892" spans="61:76" ht="13" hidden="1" x14ac:dyDescent="0.15">
      <c r="BI892" s="3"/>
      <c r="BJ892" s="3"/>
      <c r="BK892" s="3"/>
      <c r="BL892" s="3"/>
      <c r="BM892" s="3"/>
      <c r="BN892" s="3"/>
      <c r="BO892" s="3"/>
      <c r="BV892" s="3"/>
      <c r="BW892" s="3"/>
      <c r="BX892" s="3"/>
    </row>
    <row r="893" spans="61:76" ht="13" hidden="1" x14ac:dyDescent="0.15">
      <c r="BI893" s="3"/>
      <c r="BJ893" s="3"/>
      <c r="BK893" s="3"/>
      <c r="BL893" s="3"/>
      <c r="BM893" s="3"/>
      <c r="BN893" s="3"/>
      <c r="BO893" s="3"/>
      <c r="BV893" s="3"/>
      <c r="BW893" s="3"/>
      <c r="BX893" s="3"/>
    </row>
    <row r="894" spans="61:76" ht="13" hidden="1" x14ac:dyDescent="0.15">
      <c r="BI894" s="3"/>
      <c r="BJ894" s="3"/>
      <c r="BK894" s="3"/>
      <c r="BL894" s="3"/>
      <c r="BM894" s="3"/>
      <c r="BN894" s="3"/>
      <c r="BO894" s="3"/>
      <c r="BV894" s="3"/>
      <c r="BW894" s="3"/>
      <c r="BX894" s="3"/>
    </row>
    <row r="895" spans="61:76" ht="13" hidden="1" x14ac:dyDescent="0.15">
      <c r="BI895" s="3"/>
      <c r="BJ895" s="3"/>
      <c r="BK895" s="3"/>
      <c r="BL895" s="3"/>
      <c r="BM895" s="3"/>
      <c r="BN895" s="3"/>
      <c r="BO895" s="3"/>
      <c r="BV895" s="3"/>
      <c r="BW895" s="3"/>
      <c r="BX895" s="3"/>
    </row>
    <row r="896" spans="61:76" ht="13" hidden="1" x14ac:dyDescent="0.15">
      <c r="BI896" s="3"/>
      <c r="BJ896" s="3"/>
      <c r="BK896" s="3"/>
      <c r="BL896" s="3"/>
      <c r="BM896" s="3"/>
      <c r="BN896" s="3"/>
      <c r="BO896" s="3"/>
      <c r="BV896" s="3"/>
      <c r="BW896" s="3"/>
      <c r="BX896" s="3"/>
    </row>
    <row r="897" spans="61:76" ht="13" hidden="1" x14ac:dyDescent="0.15">
      <c r="BI897" s="3"/>
      <c r="BJ897" s="3"/>
      <c r="BK897" s="3"/>
      <c r="BL897" s="3"/>
      <c r="BM897" s="3"/>
      <c r="BN897" s="3"/>
      <c r="BO897" s="3"/>
      <c r="BV897" s="3"/>
      <c r="BW897" s="3"/>
      <c r="BX897" s="3"/>
    </row>
    <row r="898" spans="61:76" ht="13" hidden="1" x14ac:dyDescent="0.15">
      <c r="BI898" s="3"/>
      <c r="BJ898" s="3"/>
      <c r="BK898" s="3"/>
      <c r="BL898" s="3"/>
      <c r="BM898" s="3"/>
      <c r="BN898" s="3"/>
      <c r="BO898" s="3"/>
      <c r="BV898" s="3"/>
      <c r="BW898" s="3"/>
      <c r="BX898" s="3"/>
    </row>
    <row r="899" spans="61:76" ht="13" hidden="1" x14ac:dyDescent="0.15">
      <c r="BI899" s="3"/>
      <c r="BJ899" s="3"/>
      <c r="BK899" s="3"/>
      <c r="BL899" s="3"/>
      <c r="BM899" s="3"/>
      <c r="BN899" s="3"/>
      <c r="BO899" s="3"/>
      <c r="BV899" s="3"/>
      <c r="BW899" s="3"/>
      <c r="BX899" s="3"/>
    </row>
    <row r="900" spans="61:76" ht="13" hidden="1" x14ac:dyDescent="0.15">
      <c r="BI900" s="3"/>
      <c r="BJ900" s="3"/>
      <c r="BK900" s="3"/>
      <c r="BL900" s="3"/>
      <c r="BM900" s="3"/>
      <c r="BN900" s="3"/>
      <c r="BO900" s="3"/>
      <c r="BV900" s="3"/>
      <c r="BW900" s="3"/>
      <c r="BX900" s="3"/>
    </row>
    <row r="901" spans="61:76" ht="13" hidden="1" x14ac:dyDescent="0.15">
      <c r="BI901" s="3"/>
      <c r="BJ901" s="3"/>
      <c r="BK901" s="3"/>
      <c r="BL901" s="3"/>
      <c r="BM901" s="3"/>
      <c r="BN901" s="3"/>
      <c r="BO901" s="3"/>
      <c r="BV901" s="3"/>
      <c r="BW901" s="3"/>
      <c r="BX901" s="3"/>
    </row>
    <row r="902" spans="61:76" ht="13" hidden="1" x14ac:dyDescent="0.15">
      <c r="BI902" s="3"/>
      <c r="BJ902" s="3"/>
      <c r="BK902" s="3"/>
      <c r="BL902" s="3"/>
      <c r="BM902" s="3"/>
      <c r="BN902" s="3"/>
      <c r="BO902" s="3"/>
      <c r="BV902" s="3"/>
      <c r="BW902" s="3"/>
      <c r="BX902" s="3"/>
    </row>
    <row r="903" spans="61:76" ht="13" hidden="1" x14ac:dyDescent="0.15">
      <c r="BI903" s="3"/>
      <c r="BJ903" s="3"/>
      <c r="BK903" s="3"/>
      <c r="BL903" s="3"/>
      <c r="BM903" s="3"/>
      <c r="BN903" s="3"/>
      <c r="BO903" s="3"/>
      <c r="BV903" s="3"/>
      <c r="BW903" s="3"/>
      <c r="BX903" s="3"/>
    </row>
    <row r="904" spans="61:76" ht="13" hidden="1" x14ac:dyDescent="0.15">
      <c r="BI904" s="3"/>
      <c r="BJ904" s="3"/>
      <c r="BK904" s="3"/>
      <c r="BL904" s="3"/>
      <c r="BM904" s="3"/>
      <c r="BN904" s="3"/>
      <c r="BO904" s="3"/>
      <c r="BV904" s="3"/>
      <c r="BW904" s="3"/>
      <c r="BX904" s="3"/>
    </row>
    <row r="905" spans="61:76" ht="13" hidden="1" x14ac:dyDescent="0.15">
      <c r="BI905" s="3"/>
      <c r="BJ905" s="3"/>
      <c r="BK905" s="3"/>
      <c r="BL905" s="3"/>
      <c r="BM905" s="3"/>
      <c r="BN905" s="3"/>
      <c r="BO905" s="3"/>
      <c r="BV905" s="3"/>
      <c r="BW905" s="3"/>
      <c r="BX905" s="3"/>
    </row>
    <row r="906" spans="61:76" ht="13" hidden="1" x14ac:dyDescent="0.15">
      <c r="BI906" s="3"/>
      <c r="BJ906" s="3"/>
      <c r="BK906" s="3"/>
      <c r="BL906" s="3"/>
      <c r="BM906" s="3"/>
      <c r="BN906" s="3"/>
      <c r="BO906" s="3"/>
      <c r="BV906" s="3"/>
      <c r="BW906" s="3"/>
      <c r="BX906" s="3"/>
    </row>
    <row r="907" spans="61:76" ht="13" hidden="1" x14ac:dyDescent="0.15">
      <c r="BI907" s="3"/>
      <c r="BJ907" s="3"/>
      <c r="BK907" s="3"/>
      <c r="BL907" s="3"/>
      <c r="BM907" s="3"/>
      <c r="BN907" s="3"/>
      <c r="BO907" s="3"/>
      <c r="BV907" s="3"/>
      <c r="BW907" s="3"/>
      <c r="BX907" s="3"/>
    </row>
    <row r="908" spans="61:76" ht="13" hidden="1" x14ac:dyDescent="0.15">
      <c r="BI908" s="3"/>
      <c r="BJ908" s="3"/>
      <c r="BK908" s="3"/>
      <c r="BL908" s="3"/>
      <c r="BM908" s="3"/>
      <c r="BN908" s="3"/>
      <c r="BO908" s="3"/>
      <c r="BV908" s="3"/>
      <c r="BW908" s="3"/>
      <c r="BX908" s="3"/>
    </row>
    <row r="909" spans="61:76" ht="13" hidden="1" x14ac:dyDescent="0.15">
      <c r="BI909" s="3"/>
      <c r="BJ909" s="3"/>
      <c r="BK909" s="3"/>
      <c r="BL909" s="3"/>
      <c r="BM909" s="3"/>
      <c r="BN909" s="3"/>
      <c r="BO909" s="3"/>
      <c r="BV909" s="3"/>
      <c r="BW909" s="3"/>
      <c r="BX909" s="3"/>
    </row>
    <row r="910" spans="61:76" ht="13" hidden="1" x14ac:dyDescent="0.15">
      <c r="BI910" s="3"/>
      <c r="BJ910" s="3"/>
      <c r="BK910" s="3"/>
      <c r="BL910" s="3"/>
      <c r="BM910" s="3"/>
      <c r="BN910" s="3"/>
      <c r="BO910" s="3"/>
      <c r="BV910" s="3"/>
      <c r="BW910" s="3"/>
      <c r="BX910" s="3"/>
    </row>
    <row r="911" spans="61:76" ht="13" hidden="1" x14ac:dyDescent="0.15">
      <c r="BI911" s="3"/>
      <c r="BJ911" s="3"/>
      <c r="BK911" s="3"/>
      <c r="BL911" s="3"/>
      <c r="BM911" s="3"/>
      <c r="BN911" s="3"/>
      <c r="BO911" s="3"/>
      <c r="BV911" s="3"/>
      <c r="BW911" s="3"/>
      <c r="BX911" s="3"/>
    </row>
    <row r="912" spans="61:76" ht="13" hidden="1" x14ac:dyDescent="0.15">
      <c r="BI912" s="3"/>
      <c r="BJ912" s="3"/>
      <c r="BK912" s="3"/>
      <c r="BL912" s="3"/>
      <c r="BM912" s="3"/>
      <c r="BN912" s="3"/>
      <c r="BO912" s="3"/>
      <c r="BV912" s="3"/>
      <c r="BW912" s="3"/>
      <c r="BX912" s="3"/>
    </row>
    <row r="913" spans="61:76" ht="13" hidden="1" x14ac:dyDescent="0.15">
      <c r="BI913" s="3"/>
      <c r="BJ913" s="3"/>
      <c r="BK913" s="3"/>
      <c r="BL913" s="3"/>
      <c r="BM913" s="3"/>
      <c r="BN913" s="3"/>
      <c r="BO913" s="3"/>
      <c r="BV913" s="3"/>
      <c r="BW913" s="3"/>
      <c r="BX913" s="3"/>
    </row>
    <row r="914" spans="61:76" ht="13" hidden="1" x14ac:dyDescent="0.15">
      <c r="BI914" s="3"/>
      <c r="BJ914" s="3"/>
      <c r="BK914" s="3"/>
      <c r="BL914" s="3"/>
      <c r="BM914" s="3"/>
      <c r="BN914" s="3"/>
      <c r="BO914" s="3"/>
      <c r="BV914" s="3"/>
      <c r="BW914" s="3"/>
      <c r="BX914" s="3"/>
    </row>
    <row r="915" spans="61:76" ht="13" hidden="1" x14ac:dyDescent="0.15">
      <c r="BI915" s="3"/>
      <c r="BJ915" s="3"/>
      <c r="BK915" s="3"/>
      <c r="BL915" s="3"/>
      <c r="BM915" s="3"/>
      <c r="BN915" s="3"/>
      <c r="BO915" s="3"/>
      <c r="BV915" s="3"/>
      <c r="BW915" s="3"/>
      <c r="BX915" s="3"/>
    </row>
    <row r="916" spans="61:76" ht="13" hidden="1" x14ac:dyDescent="0.15">
      <c r="BI916" s="3"/>
      <c r="BJ916" s="3"/>
      <c r="BK916" s="3"/>
      <c r="BL916" s="3"/>
      <c r="BM916" s="3"/>
      <c r="BN916" s="3"/>
      <c r="BO916" s="3"/>
      <c r="BV916" s="3"/>
      <c r="BW916" s="3"/>
      <c r="BX916" s="3"/>
    </row>
    <row r="917" spans="61:76" ht="13" hidden="1" x14ac:dyDescent="0.15">
      <c r="BI917" s="3"/>
      <c r="BJ917" s="3"/>
      <c r="BK917" s="3"/>
      <c r="BL917" s="3"/>
      <c r="BM917" s="3"/>
      <c r="BN917" s="3"/>
      <c r="BO917" s="3"/>
      <c r="BV917" s="3"/>
      <c r="BW917" s="3"/>
      <c r="BX917" s="3"/>
    </row>
    <row r="918" spans="61:76" ht="13" hidden="1" x14ac:dyDescent="0.15">
      <c r="BI918" s="3"/>
      <c r="BJ918" s="3"/>
      <c r="BK918" s="3"/>
      <c r="BL918" s="3"/>
      <c r="BM918" s="3"/>
      <c r="BN918" s="3"/>
      <c r="BO918" s="3"/>
      <c r="BV918" s="3"/>
      <c r="BW918" s="3"/>
      <c r="BX918" s="3"/>
    </row>
    <row r="919" spans="61:76" ht="13" hidden="1" x14ac:dyDescent="0.15">
      <c r="BI919" s="3"/>
      <c r="BJ919" s="3"/>
      <c r="BK919" s="3"/>
      <c r="BL919" s="3"/>
      <c r="BM919" s="3"/>
      <c r="BN919" s="3"/>
      <c r="BO919" s="3"/>
      <c r="BV919" s="3"/>
      <c r="BW919" s="3"/>
      <c r="BX919" s="3"/>
    </row>
    <row r="920" spans="61:76" ht="13" hidden="1" x14ac:dyDescent="0.15">
      <c r="BI920" s="3"/>
      <c r="BJ920" s="3"/>
      <c r="BK920" s="3"/>
      <c r="BL920" s="3"/>
      <c r="BM920" s="3"/>
      <c r="BN920" s="3"/>
      <c r="BO920" s="3"/>
      <c r="BV920" s="3"/>
      <c r="BW920" s="3"/>
      <c r="BX920" s="3"/>
    </row>
    <row r="921" spans="61:76" ht="13" hidden="1" x14ac:dyDescent="0.15">
      <c r="BI921" s="3"/>
      <c r="BJ921" s="3"/>
      <c r="BK921" s="3"/>
      <c r="BL921" s="3"/>
      <c r="BM921" s="3"/>
      <c r="BN921" s="3"/>
      <c r="BO921" s="3"/>
      <c r="BV921" s="3"/>
      <c r="BW921" s="3"/>
      <c r="BX921" s="3"/>
    </row>
    <row r="922" spans="61:76" ht="13" hidden="1" x14ac:dyDescent="0.15">
      <c r="BI922" s="3"/>
      <c r="BJ922" s="3"/>
      <c r="BK922" s="3"/>
      <c r="BL922" s="3"/>
      <c r="BM922" s="3"/>
      <c r="BN922" s="3"/>
      <c r="BO922" s="3"/>
      <c r="BV922" s="3"/>
      <c r="BW922" s="3"/>
      <c r="BX922" s="3"/>
    </row>
    <row r="923" spans="61:76" ht="13" hidden="1" x14ac:dyDescent="0.15">
      <c r="BI923" s="3"/>
      <c r="BJ923" s="3"/>
      <c r="BK923" s="3"/>
      <c r="BL923" s="3"/>
      <c r="BM923" s="3"/>
      <c r="BN923" s="3"/>
      <c r="BO923" s="3"/>
      <c r="BV923" s="3"/>
      <c r="BW923" s="3"/>
      <c r="BX923" s="3"/>
    </row>
    <row r="924" spans="61:76" ht="13" hidden="1" x14ac:dyDescent="0.15">
      <c r="BI924" s="3"/>
      <c r="BJ924" s="3"/>
      <c r="BK924" s="3"/>
      <c r="BL924" s="3"/>
      <c r="BM924" s="3"/>
      <c r="BN924" s="3"/>
      <c r="BO924" s="3"/>
      <c r="BV924" s="3"/>
      <c r="BW924" s="3"/>
      <c r="BX924" s="3"/>
    </row>
    <row r="925" spans="61:76" ht="13" hidden="1" x14ac:dyDescent="0.15">
      <c r="BI925" s="3"/>
      <c r="BJ925" s="3"/>
      <c r="BK925" s="3"/>
      <c r="BL925" s="3"/>
      <c r="BM925" s="3"/>
      <c r="BN925" s="3"/>
      <c r="BO925" s="3"/>
      <c r="BV925" s="3"/>
      <c r="BW925" s="3"/>
      <c r="BX925" s="3"/>
    </row>
    <row r="926" spans="61:76" ht="13" hidden="1" x14ac:dyDescent="0.15">
      <c r="BI926" s="3"/>
      <c r="BJ926" s="3"/>
      <c r="BK926" s="3"/>
      <c r="BL926" s="3"/>
      <c r="BM926" s="3"/>
      <c r="BN926" s="3"/>
      <c r="BO926" s="3"/>
      <c r="BV926" s="3"/>
      <c r="BW926" s="3"/>
      <c r="BX926" s="3"/>
    </row>
    <row r="927" spans="61:76" ht="13" hidden="1" x14ac:dyDescent="0.15">
      <c r="BI927" s="3"/>
      <c r="BJ927" s="3"/>
      <c r="BK927" s="3"/>
      <c r="BL927" s="3"/>
      <c r="BM927" s="3"/>
      <c r="BN927" s="3"/>
      <c r="BO927" s="3"/>
      <c r="BV927" s="3"/>
      <c r="BW927" s="3"/>
      <c r="BX927" s="3"/>
    </row>
    <row r="928" spans="61:76" ht="13" hidden="1" x14ac:dyDescent="0.15">
      <c r="BI928" s="3"/>
      <c r="BJ928" s="3"/>
      <c r="BK928" s="3"/>
      <c r="BL928" s="3"/>
      <c r="BM928" s="3"/>
      <c r="BN928" s="3"/>
      <c r="BO928" s="3"/>
      <c r="BV928" s="3"/>
      <c r="BW928" s="3"/>
      <c r="BX928" s="3"/>
    </row>
    <row r="929" spans="61:76" ht="13" hidden="1" x14ac:dyDescent="0.15">
      <c r="BI929" s="3"/>
      <c r="BJ929" s="3"/>
      <c r="BK929" s="3"/>
      <c r="BL929" s="3"/>
      <c r="BM929" s="3"/>
      <c r="BN929" s="3"/>
      <c r="BO929" s="3"/>
      <c r="BV929" s="3"/>
      <c r="BW929" s="3"/>
      <c r="BX929" s="3"/>
    </row>
    <row r="930" spans="61:76" ht="13" hidden="1" x14ac:dyDescent="0.15">
      <c r="BI930" s="3"/>
      <c r="BJ930" s="3"/>
      <c r="BK930" s="3"/>
      <c r="BL930" s="3"/>
      <c r="BM930" s="3"/>
      <c r="BN930" s="3"/>
      <c r="BO930" s="3"/>
      <c r="BV930" s="3"/>
      <c r="BW930" s="3"/>
      <c r="BX930" s="3"/>
    </row>
    <row r="931" spans="61:76" ht="13" hidden="1" x14ac:dyDescent="0.15">
      <c r="BI931" s="3"/>
      <c r="BJ931" s="3"/>
      <c r="BK931" s="3"/>
      <c r="BL931" s="3"/>
      <c r="BM931" s="3"/>
      <c r="BN931" s="3"/>
      <c r="BO931" s="3"/>
      <c r="BV931" s="3"/>
      <c r="BW931" s="3"/>
      <c r="BX931" s="3"/>
    </row>
    <row r="932" spans="61:76" ht="13" hidden="1" x14ac:dyDescent="0.15">
      <c r="BI932" s="3"/>
      <c r="BJ932" s="3"/>
      <c r="BK932" s="3"/>
      <c r="BL932" s="3"/>
      <c r="BM932" s="3"/>
      <c r="BN932" s="3"/>
      <c r="BO932" s="3"/>
      <c r="BV932" s="3"/>
      <c r="BW932" s="3"/>
      <c r="BX932" s="3"/>
    </row>
    <row r="933" spans="61:76" ht="13" hidden="1" x14ac:dyDescent="0.15">
      <c r="BI933" s="3"/>
      <c r="BJ933" s="3"/>
      <c r="BK933" s="3"/>
      <c r="BL933" s="3"/>
      <c r="BM933" s="3"/>
      <c r="BN933" s="3"/>
      <c r="BO933" s="3"/>
      <c r="BV933" s="3"/>
      <c r="BW933" s="3"/>
      <c r="BX933" s="3"/>
    </row>
    <row r="934" spans="61:76" ht="13" hidden="1" x14ac:dyDescent="0.15">
      <c r="BI934" s="3"/>
      <c r="BJ934" s="3"/>
      <c r="BK934" s="3"/>
      <c r="BL934" s="3"/>
      <c r="BM934" s="3"/>
      <c r="BN934" s="3"/>
      <c r="BO934" s="3"/>
      <c r="BV934" s="3"/>
      <c r="BW934" s="3"/>
      <c r="BX934" s="3"/>
    </row>
    <row r="935" spans="61:76" ht="13" hidden="1" x14ac:dyDescent="0.15">
      <c r="BI935" s="3"/>
      <c r="BJ935" s="3"/>
      <c r="BK935" s="3"/>
      <c r="BL935" s="3"/>
      <c r="BM935" s="3"/>
      <c r="BN935" s="3"/>
      <c r="BO935" s="3"/>
      <c r="BV935" s="3"/>
      <c r="BW935" s="3"/>
      <c r="BX935" s="3"/>
    </row>
    <row r="936" spans="61:76" ht="13" hidden="1" x14ac:dyDescent="0.15">
      <c r="BI936" s="3"/>
      <c r="BJ936" s="3"/>
      <c r="BK936" s="3"/>
      <c r="BL936" s="3"/>
      <c r="BM936" s="3"/>
      <c r="BN936" s="3"/>
      <c r="BO936" s="3"/>
      <c r="BV936" s="3"/>
      <c r="BW936" s="3"/>
      <c r="BX936" s="3"/>
    </row>
    <row r="937" spans="61:76" ht="13" hidden="1" x14ac:dyDescent="0.15">
      <c r="BI937" s="3"/>
      <c r="BJ937" s="3"/>
      <c r="BK937" s="3"/>
      <c r="BL937" s="3"/>
      <c r="BM937" s="3"/>
      <c r="BN937" s="3"/>
      <c r="BO937" s="3"/>
      <c r="BV937" s="3"/>
      <c r="BW937" s="3"/>
      <c r="BX937" s="3"/>
    </row>
    <row r="938" spans="61:76" ht="13" hidden="1" x14ac:dyDescent="0.15">
      <c r="BI938" s="3"/>
      <c r="BJ938" s="3"/>
      <c r="BK938" s="3"/>
      <c r="BL938" s="3"/>
      <c r="BM938" s="3"/>
      <c r="BN938" s="3"/>
      <c r="BO938" s="3"/>
      <c r="BV938" s="3"/>
      <c r="BW938" s="3"/>
      <c r="BX938" s="3"/>
    </row>
    <row r="939" spans="61:76" ht="13" hidden="1" x14ac:dyDescent="0.15">
      <c r="BI939" s="3"/>
      <c r="BJ939" s="3"/>
      <c r="BK939" s="3"/>
      <c r="BL939" s="3"/>
      <c r="BM939" s="3"/>
      <c r="BN939" s="3"/>
      <c r="BO939" s="3"/>
      <c r="BV939" s="3"/>
      <c r="BW939" s="3"/>
      <c r="BX939" s="3"/>
    </row>
    <row r="940" spans="61:76" ht="13" hidden="1" x14ac:dyDescent="0.15">
      <c r="BI940" s="3"/>
      <c r="BJ940" s="3"/>
      <c r="BK940" s="3"/>
      <c r="BL940" s="3"/>
      <c r="BM940" s="3"/>
      <c r="BN940" s="3"/>
      <c r="BO940" s="3"/>
      <c r="BV940" s="3"/>
      <c r="BW940" s="3"/>
      <c r="BX940" s="3"/>
    </row>
    <row r="941" spans="61:76" ht="13" hidden="1" x14ac:dyDescent="0.15">
      <c r="BI941" s="3"/>
      <c r="BJ941" s="3"/>
      <c r="BK941" s="3"/>
      <c r="BL941" s="3"/>
      <c r="BM941" s="3"/>
      <c r="BN941" s="3"/>
      <c r="BO941" s="3"/>
      <c r="BV941" s="3"/>
      <c r="BW941" s="3"/>
      <c r="BX941" s="3"/>
    </row>
    <row r="942" spans="61:76" ht="13" hidden="1" x14ac:dyDescent="0.15">
      <c r="BI942" s="3"/>
      <c r="BJ942" s="3"/>
      <c r="BK942" s="3"/>
      <c r="BL942" s="3"/>
      <c r="BM942" s="3"/>
      <c r="BN942" s="3"/>
      <c r="BO942" s="3"/>
      <c r="BV942" s="3"/>
      <c r="BW942" s="3"/>
      <c r="BX942" s="3"/>
    </row>
    <row r="943" spans="61:76" ht="13" hidden="1" x14ac:dyDescent="0.15">
      <c r="BI943" s="3"/>
      <c r="BJ943" s="3"/>
      <c r="BK943" s="3"/>
      <c r="BL943" s="3"/>
      <c r="BM943" s="3"/>
      <c r="BN943" s="3"/>
      <c r="BO943" s="3"/>
      <c r="BV943" s="3"/>
      <c r="BW943" s="3"/>
      <c r="BX943" s="3"/>
    </row>
    <row r="944" spans="61:76" ht="13" hidden="1" x14ac:dyDescent="0.15">
      <c r="BI944" s="3"/>
      <c r="BJ944" s="3"/>
      <c r="BK944" s="3"/>
      <c r="BL944" s="3"/>
      <c r="BM944" s="3"/>
      <c r="BN944" s="3"/>
      <c r="BO944" s="3"/>
      <c r="BV944" s="3"/>
      <c r="BW944" s="3"/>
      <c r="BX944" s="3"/>
    </row>
    <row r="945" spans="61:76" ht="13" hidden="1" x14ac:dyDescent="0.15">
      <c r="BI945" s="3"/>
      <c r="BJ945" s="3"/>
      <c r="BK945" s="3"/>
      <c r="BL945" s="3"/>
      <c r="BM945" s="3"/>
      <c r="BN945" s="3"/>
      <c r="BO945" s="3"/>
      <c r="BV945" s="3"/>
      <c r="BW945" s="3"/>
      <c r="BX945" s="3"/>
    </row>
    <row r="946" spans="61:76" ht="13" hidden="1" x14ac:dyDescent="0.15">
      <c r="BI946" s="3"/>
      <c r="BJ946" s="3"/>
      <c r="BK946" s="3"/>
      <c r="BL946" s="3"/>
      <c r="BM946" s="3"/>
      <c r="BN946" s="3"/>
      <c r="BO946" s="3"/>
      <c r="BV946" s="3"/>
      <c r="BW946" s="3"/>
      <c r="BX946" s="3"/>
    </row>
    <row r="947" spans="61:76" ht="13" hidden="1" x14ac:dyDescent="0.15">
      <c r="BI947" s="3"/>
      <c r="BJ947" s="3"/>
      <c r="BK947" s="3"/>
      <c r="BL947" s="3"/>
      <c r="BM947" s="3"/>
      <c r="BN947" s="3"/>
      <c r="BO947" s="3"/>
      <c r="BV947" s="3"/>
      <c r="BW947" s="3"/>
      <c r="BX947" s="3"/>
    </row>
    <row r="948" spans="61:76" ht="13" hidden="1" x14ac:dyDescent="0.15">
      <c r="BI948" s="3"/>
      <c r="BJ948" s="3"/>
      <c r="BK948" s="3"/>
      <c r="BL948" s="3"/>
      <c r="BM948" s="3"/>
      <c r="BN948" s="3"/>
      <c r="BO948" s="3"/>
      <c r="BV948" s="3"/>
      <c r="BW948" s="3"/>
      <c r="BX948" s="3"/>
    </row>
    <row r="949" spans="61:76" ht="13" hidden="1" x14ac:dyDescent="0.15">
      <c r="BI949" s="3"/>
      <c r="BJ949" s="3"/>
      <c r="BK949" s="3"/>
      <c r="BL949" s="3"/>
      <c r="BM949" s="3"/>
      <c r="BN949" s="3"/>
      <c r="BO949" s="3"/>
      <c r="BV949" s="3"/>
      <c r="BW949" s="3"/>
      <c r="BX949" s="3"/>
    </row>
    <row r="950" spans="61:76" ht="13" hidden="1" x14ac:dyDescent="0.15">
      <c r="BI950" s="3"/>
      <c r="BJ950" s="3"/>
      <c r="BK950" s="3"/>
      <c r="BL950" s="3"/>
      <c r="BM950" s="3"/>
      <c r="BN950" s="3"/>
      <c r="BO950" s="3"/>
      <c r="BV950" s="3"/>
      <c r="BW950" s="3"/>
      <c r="BX950" s="3"/>
    </row>
    <row r="951" spans="61:76" ht="13" hidden="1" x14ac:dyDescent="0.15">
      <c r="BI951" s="3"/>
      <c r="BJ951" s="3"/>
      <c r="BK951" s="3"/>
      <c r="BL951" s="3"/>
      <c r="BM951" s="3"/>
      <c r="BN951" s="3"/>
      <c r="BO951" s="3"/>
      <c r="BV951" s="3"/>
      <c r="BW951" s="3"/>
      <c r="BX951" s="3"/>
    </row>
    <row r="952" spans="61:76" ht="13" hidden="1" x14ac:dyDescent="0.15">
      <c r="BI952" s="3"/>
      <c r="BJ952" s="3"/>
      <c r="BK952" s="3"/>
      <c r="BL952" s="3"/>
      <c r="BM952" s="3"/>
      <c r="BN952" s="3"/>
      <c r="BO952" s="3"/>
      <c r="BV952" s="3"/>
      <c r="BW952" s="3"/>
      <c r="BX952" s="3"/>
    </row>
    <row r="953" spans="61:76" ht="13" hidden="1" x14ac:dyDescent="0.15">
      <c r="BI953" s="3"/>
      <c r="BJ953" s="3"/>
      <c r="BK953" s="3"/>
      <c r="BL953" s="3"/>
      <c r="BM953" s="3"/>
      <c r="BN953" s="3"/>
      <c r="BO953" s="3"/>
      <c r="BV953" s="3"/>
      <c r="BW953" s="3"/>
      <c r="BX953" s="3"/>
    </row>
    <row r="954" spans="61:76" ht="13" hidden="1" x14ac:dyDescent="0.15">
      <c r="BI954" s="3"/>
      <c r="BJ954" s="3"/>
      <c r="BK954" s="3"/>
      <c r="BL954" s="3"/>
      <c r="BM954" s="3"/>
      <c r="BN954" s="3"/>
      <c r="BO954" s="3"/>
      <c r="BV954" s="3"/>
      <c r="BW954" s="3"/>
      <c r="BX954" s="3"/>
    </row>
    <row r="955" spans="61:76" ht="13" hidden="1" x14ac:dyDescent="0.15">
      <c r="BI955" s="3"/>
      <c r="BJ955" s="3"/>
      <c r="BK955" s="3"/>
      <c r="BL955" s="3"/>
      <c r="BM955" s="3"/>
      <c r="BN955" s="3"/>
      <c r="BO955" s="3"/>
      <c r="BV955" s="3"/>
      <c r="BW955" s="3"/>
      <c r="BX955" s="3"/>
    </row>
    <row r="956" spans="61:76" ht="13" hidden="1" x14ac:dyDescent="0.15">
      <c r="BI956" s="3"/>
      <c r="BJ956" s="3"/>
      <c r="BK956" s="3"/>
      <c r="BL956" s="3"/>
      <c r="BM956" s="3"/>
      <c r="BN956" s="3"/>
      <c r="BO956" s="3"/>
      <c r="BV956" s="3"/>
      <c r="BW956" s="3"/>
      <c r="BX956" s="3"/>
    </row>
    <row r="957" spans="61:76" ht="13" hidden="1" x14ac:dyDescent="0.15">
      <c r="BI957" s="3"/>
      <c r="BJ957" s="3"/>
      <c r="BK957" s="3"/>
      <c r="BL957" s="3"/>
      <c r="BM957" s="3"/>
      <c r="BN957" s="3"/>
      <c r="BO957" s="3"/>
      <c r="BV957" s="3"/>
      <c r="BW957" s="3"/>
      <c r="BX957" s="3"/>
    </row>
    <row r="958" spans="61:76" ht="13" hidden="1" x14ac:dyDescent="0.15">
      <c r="BI958" s="3"/>
      <c r="BJ958" s="3"/>
      <c r="BK958" s="3"/>
      <c r="BL958" s="3"/>
      <c r="BM958" s="3"/>
      <c r="BN958" s="3"/>
      <c r="BO958" s="3"/>
      <c r="BV958" s="3"/>
      <c r="BW958" s="3"/>
      <c r="BX958" s="3"/>
    </row>
    <row r="959" spans="61:76" ht="13" hidden="1" x14ac:dyDescent="0.15">
      <c r="BI959" s="3"/>
      <c r="BJ959" s="3"/>
      <c r="BK959" s="3"/>
      <c r="BL959" s="3"/>
      <c r="BM959" s="3"/>
      <c r="BN959" s="3"/>
      <c r="BO959" s="3"/>
      <c r="BV959" s="3"/>
      <c r="BW959" s="3"/>
      <c r="BX959" s="3"/>
    </row>
    <row r="960" spans="61:76" ht="13" hidden="1" x14ac:dyDescent="0.15">
      <c r="BI960" s="3"/>
      <c r="BJ960" s="3"/>
      <c r="BK960" s="3"/>
      <c r="BL960" s="3"/>
      <c r="BM960" s="3"/>
      <c r="BN960" s="3"/>
      <c r="BO960" s="3"/>
      <c r="BV960" s="3"/>
      <c r="BW960" s="3"/>
      <c r="BX960" s="3"/>
    </row>
    <row r="961" spans="61:76" ht="13" hidden="1" x14ac:dyDescent="0.15">
      <c r="BI961" s="3"/>
      <c r="BJ961" s="3"/>
      <c r="BK961" s="3"/>
      <c r="BL961" s="3"/>
      <c r="BM961" s="3"/>
      <c r="BN961" s="3"/>
      <c r="BO961" s="3"/>
      <c r="BV961" s="3"/>
      <c r="BW961" s="3"/>
      <c r="BX961" s="3"/>
    </row>
    <row r="962" spans="61:76" ht="13" hidden="1" x14ac:dyDescent="0.15">
      <c r="BI962" s="3"/>
      <c r="BJ962" s="3"/>
      <c r="BK962" s="3"/>
      <c r="BL962" s="3"/>
      <c r="BM962" s="3"/>
      <c r="BN962" s="3"/>
      <c r="BO962" s="3"/>
      <c r="BV962" s="3"/>
      <c r="BW962" s="3"/>
      <c r="BX962" s="3"/>
    </row>
    <row r="963" spans="61:76" ht="13" hidden="1" x14ac:dyDescent="0.15">
      <c r="BI963" s="3"/>
      <c r="BJ963" s="3"/>
      <c r="BK963" s="3"/>
      <c r="BL963" s="3"/>
      <c r="BM963" s="3"/>
      <c r="BN963" s="3"/>
      <c r="BO963" s="3"/>
      <c r="BV963" s="3"/>
      <c r="BW963" s="3"/>
      <c r="BX963" s="3"/>
    </row>
    <row r="964" spans="61:76" ht="13" hidden="1" x14ac:dyDescent="0.15">
      <c r="BI964" s="3"/>
      <c r="BJ964" s="3"/>
      <c r="BK964" s="3"/>
      <c r="BL964" s="3"/>
      <c r="BM964" s="3"/>
      <c r="BN964" s="3"/>
      <c r="BO964" s="3"/>
      <c r="BV964" s="3"/>
      <c r="BW964" s="3"/>
      <c r="BX964" s="3"/>
    </row>
    <row r="965" spans="61:76" ht="13" hidden="1" x14ac:dyDescent="0.15">
      <c r="BI965" s="3"/>
      <c r="BJ965" s="3"/>
      <c r="BK965" s="3"/>
      <c r="BL965" s="3"/>
      <c r="BM965" s="3"/>
      <c r="BN965" s="3"/>
      <c r="BO965" s="3"/>
      <c r="BV965" s="3"/>
      <c r="BW965" s="3"/>
      <c r="BX965" s="3"/>
    </row>
    <row r="966" spans="61:76" ht="13" hidden="1" x14ac:dyDescent="0.15">
      <c r="BI966" s="3"/>
      <c r="BJ966" s="3"/>
      <c r="BK966" s="3"/>
      <c r="BL966" s="3"/>
      <c r="BM966" s="3"/>
      <c r="BN966" s="3"/>
      <c r="BO966" s="3"/>
      <c r="BV966" s="3"/>
      <c r="BW966" s="3"/>
      <c r="BX966" s="3"/>
    </row>
    <row r="967" spans="61:76" ht="13" hidden="1" x14ac:dyDescent="0.15">
      <c r="BI967" s="3"/>
      <c r="BJ967" s="3"/>
      <c r="BK967" s="3"/>
      <c r="BL967" s="3"/>
      <c r="BM967" s="3"/>
      <c r="BN967" s="3"/>
      <c r="BO967" s="3"/>
      <c r="BV967" s="3"/>
      <c r="BW967" s="3"/>
      <c r="BX967" s="3"/>
    </row>
    <row r="968" spans="61:76" ht="13" hidden="1" x14ac:dyDescent="0.15">
      <c r="BI968" s="3"/>
      <c r="BJ968" s="3"/>
      <c r="BK968" s="3"/>
      <c r="BL968" s="3"/>
      <c r="BM968" s="3"/>
      <c r="BN968" s="3"/>
      <c r="BO968" s="3"/>
      <c r="BV968" s="3"/>
      <c r="BW968" s="3"/>
      <c r="BX968" s="3"/>
    </row>
    <row r="969" spans="61:76" ht="13" hidden="1" x14ac:dyDescent="0.15">
      <c r="BI969" s="3"/>
      <c r="BJ969" s="3"/>
      <c r="BK969" s="3"/>
      <c r="BL969" s="3"/>
      <c r="BM969" s="3"/>
      <c r="BN969" s="3"/>
      <c r="BO969" s="3"/>
      <c r="BV969" s="3"/>
      <c r="BW969" s="3"/>
      <c r="BX969" s="3"/>
    </row>
    <row r="970" spans="61:76" ht="13" hidden="1" x14ac:dyDescent="0.15">
      <c r="BI970" s="3"/>
      <c r="BJ970" s="3"/>
      <c r="BK970" s="3"/>
      <c r="BL970" s="3"/>
      <c r="BM970" s="3"/>
      <c r="BN970" s="3"/>
      <c r="BO970" s="3"/>
      <c r="BV970" s="3"/>
      <c r="BW970" s="3"/>
      <c r="BX970" s="3"/>
    </row>
    <row r="971" spans="61:76" ht="13" hidden="1" x14ac:dyDescent="0.15">
      <c r="BI971" s="3"/>
      <c r="BJ971" s="3"/>
      <c r="BK971" s="3"/>
      <c r="BL971" s="3"/>
      <c r="BM971" s="3"/>
      <c r="BN971" s="3"/>
      <c r="BO971" s="3"/>
      <c r="BV971" s="3"/>
      <c r="BW971" s="3"/>
      <c r="BX971" s="3"/>
    </row>
    <row r="972" spans="61:76" ht="13" hidden="1" x14ac:dyDescent="0.15">
      <c r="BI972" s="3"/>
      <c r="BJ972" s="3"/>
      <c r="BK972" s="3"/>
      <c r="BL972" s="3"/>
      <c r="BM972" s="3"/>
      <c r="BN972" s="3"/>
      <c r="BO972" s="3"/>
      <c r="BV972" s="3"/>
      <c r="BW972" s="3"/>
      <c r="BX972" s="3"/>
    </row>
    <row r="973" spans="61:76" ht="13" hidden="1" x14ac:dyDescent="0.15">
      <c r="BI973" s="3"/>
      <c r="BJ973" s="3"/>
      <c r="BK973" s="3"/>
      <c r="BL973" s="3"/>
      <c r="BM973" s="3"/>
      <c r="BN973" s="3"/>
      <c r="BO973" s="3"/>
      <c r="BV973" s="3"/>
      <c r="BW973" s="3"/>
      <c r="BX973" s="3"/>
    </row>
    <row r="974" spans="61:76" ht="13" hidden="1" x14ac:dyDescent="0.15">
      <c r="BI974" s="3"/>
      <c r="BJ974" s="3"/>
      <c r="BK974" s="3"/>
      <c r="BL974" s="3"/>
      <c r="BM974" s="3"/>
      <c r="BN974" s="3"/>
      <c r="BO974" s="3"/>
      <c r="BV974" s="3"/>
      <c r="BW974" s="3"/>
      <c r="BX974" s="3"/>
    </row>
    <row r="975" spans="61:76" ht="13" hidden="1" x14ac:dyDescent="0.15">
      <c r="BI975" s="3"/>
      <c r="BJ975" s="3"/>
      <c r="BK975" s="3"/>
      <c r="BL975" s="3"/>
      <c r="BM975" s="3"/>
      <c r="BN975" s="3"/>
      <c r="BO975" s="3"/>
      <c r="BV975" s="3"/>
      <c r="BW975" s="3"/>
      <c r="BX975" s="3"/>
    </row>
    <row r="976" spans="61:76" ht="13" hidden="1" x14ac:dyDescent="0.15">
      <c r="BI976" s="3"/>
      <c r="BJ976" s="3"/>
      <c r="BK976" s="3"/>
      <c r="BL976" s="3"/>
      <c r="BM976" s="3"/>
      <c r="BN976" s="3"/>
      <c r="BO976" s="3"/>
      <c r="BV976" s="3"/>
      <c r="BW976" s="3"/>
      <c r="BX976" s="3"/>
    </row>
    <row r="977" spans="1:78" ht="13" hidden="1" x14ac:dyDescent="0.15">
      <c r="BI977" s="3"/>
      <c r="BJ977" s="3"/>
      <c r="BK977" s="3"/>
      <c r="BL977" s="3"/>
      <c r="BM977" s="3"/>
      <c r="BN977" s="3"/>
      <c r="BO977" s="3"/>
      <c r="BV977" s="3"/>
      <c r="BW977" s="3"/>
      <c r="BX977" s="3"/>
    </row>
    <row r="978" spans="1:78" ht="13" hidden="1" x14ac:dyDescent="0.15">
      <c r="BI978" s="3"/>
      <c r="BJ978" s="3"/>
      <c r="BK978" s="3"/>
      <c r="BL978" s="3"/>
      <c r="BM978" s="3"/>
      <c r="BN978" s="3"/>
      <c r="BO978" s="3"/>
      <c r="BV978" s="3"/>
      <c r="BW978" s="3"/>
      <c r="BX978" s="3"/>
    </row>
    <row r="979" spans="1:78" ht="13" hidden="1" x14ac:dyDescent="0.15">
      <c r="BI979" s="3"/>
      <c r="BJ979" s="3"/>
      <c r="BK979" s="3"/>
      <c r="BL979" s="3"/>
      <c r="BM979" s="3"/>
      <c r="BN979" s="3"/>
      <c r="BO979" s="3"/>
      <c r="BV979" s="3"/>
      <c r="BW979" s="3"/>
      <c r="BX979" s="3"/>
    </row>
    <row r="980" spans="1:78" ht="13" hidden="1" x14ac:dyDescent="0.15">
      <c r="BI980" s="3"/>
      <c r="BJ980" s="3"/>
      <c r="BK980" s="3"/>
      <c r="BL980" s="3"/>
      <c r="BM980" s="3"/>
      <c r="BN980" s="3"/>
      <c r="BO980" s="3"/>
      <c r="BV980" s="3"/>
      <c r="BW980" s="3"/>
      <c r="BX980" s="3"/>
    </row>
    <row r="981" spans="1:78" ht="13" hidden="1" x14ac:dyDescent="0.15">
      <c r="BI981" s="3"/>
      <c r="BJ981" s="3"/>
      <c r="BK981" s="3"/>
      <c r="BL981" s="3"/>
      <c r="BM981" s="3"/>
      <c r="BN981" s="3"/>
      <c r="BO981" s="3"/>
      <c r="BV981" s="3"/>
      <c r="BW981" s="3"/>
      <c r="BX981" s="3"/>
    </row>
    <row r="982" spans="1:78" ht="13" hidden="1" x14ac:dyDescent="0.15">
      <c r="BI982" s="3"/>
      <c r="BJ982" s="3"/>
      <c r="BK982" s="3"/>
      <c r="BL982" s="3"/>
      <c r="BM982" s="3"/>
      <c r="BN982" s="3"/>
      <c r="BO982" s="3"/>
      <c r="BV982" s="3"/>
      <c r="BW982" s="3"/>
      <c r="BX982" s="3"/>
    </row>
    <row r="983" spans="1:78" ht="13" hidden="1" x14ac:dyDescent="0.15">
      <c r="BI983" s="3"/>
      <c r="BJ983" s="3"/>
      <c r="BK983" s="3"/>
      <c r="BL983" s="3"/>
      <c r="BM983" s="3"/>
      <c r="BN983" s="3"/>
      <c r="BO983" s="3"/>
      <c r="BV983" s="3"/>
      <c r="BW983" s="3"/>
      <c r="BX983" s="3"/>
    </row>
    <row r="984" spans="1:78" ht="13" hidden="1" x14ac:dyDescent="0.15">
      <c r="BI984" s="3"/>
      <c r="BJ984" s="3"/>
      <c r="BK984" s="3"/>
      <c r="BL984" s="3"/>
      <c r="BM984" s="3"/>
      <c r="BN984" s="3"/>
      <c r="BO984" s="3"/>
      <c r="BV984" s="3"/>
      <c r="BW984" s="3"/>
      <c r="BX984" s="3"/>
    </row>
    <row r="985" spans="1:78" ht="13" hidden="1" x14ac:dyDescent="0.15">
      <c r="BI985" s="3"/>
      <c r="BJ985" s="3"/>
      <c r="BK985" s="3"/>
      <c r="BL985" s="3"/>
      <c r="BM985" s="3"/>
      <c r="BN985" s="3"/>
      <c r="BO985" s="3"/>
      <c r="BV985" s="3"/>
      <c r="BW985" s="3"/>
      <c r="BX985" s="3"/>
    </row>
    <row r="986" spans="1:78" ht="13" hidden="1" x14ac:dyDescent="0.15">
      <c r="BI986" s="3"/>
      <c r="BJ986" s="3"/>
      <c r="BK986" s="3"/>
      <c r="BL986" s="3"/>
      <c r="BM986" s="3"/>
      <c r="BN986" s="3"/>
      <c r="BO986" s="3"/>
      <c r="BV986" s="3"/>
      <c r="BW986" s="3"/>
      <c r="BX986" s="3"/>
    </row>
    <row r="987" spans="1:78" ht="13" hidden="1" x14ac:dyDescent="0.15">
      <c r="A987" s="3">
        <v>1228542870</v>
      </c>
      <c r="B987" s="3" t="s">
        <v>529</v>
      </c>
      <c r="C987" s="3"/>
      <c r="D987" s="3">
        <v>5</v>
      </c>
      <c r="E987" s="3">
        <v>5</v>
      </c>
      <c r="F987" s="3" t="s">
        <v>81</v>
      </c>
      <c r="G987" s="3">
        <v>2</v>
      </c>
      <c r="H987" s="3">
        <v>34.039000000000001</v>
      </c>
      <c r="I987" s="3">
        <v>17.530999999999999</v>
      </c>
      <c r="J987" s="3">
        <v>15.253</v>
      </c>
      <c r="K987" s="3">
        <v>9.17</v>
      </c>
      <c r="L987" s="3" t="s">
        <v>81</v>
      </c>
      <c r="M987" s="3" t="s">
        <v>81</v>
      </c>
      <c r="N987" s="3" t="s">
        <v>81</v>
      </c>
      <c r="O987" s="3" t="s">
        <v>81</v>
      </c>
      <c r="P987" s="3" t="s">
        <v>81</v>
      </c>
      <c r="Q987" s="3">
        <v>52.902999999999999</v>
      </c>
      <c r="R987" s="3">
        <v>2</v>
      </c>
      <c r="S987" s="3">
        <v>29.645</v>
      </c>
      <c r="T987" s="3">
        <v>18.338000000000001</v>
      </c>
      <c r="U987" s="3">
        <v>17.96</v>
      </c>
      <c r="V987" s="3">
        <v>8.2590000000000003</v>
      </c>
      <c r="W987" s="3">
        <v>4.6210000000000004</v>
      </c>
      <c r="X987" s="3" t="s">
        <v>81</v>
      </c>
      <c r="Y987" s="3" t="s">
        <v>81</v>
      </c>
      <c r="Z987" s="3" t="s">
        <v>81</v>
      </c>
      <c r="AA987" s="3" t="s">
        <v>81</v>
      </c>
      <c r="AB987" s="3">
        <v>46.222000000000001</v>
      </c>
      <c r="AC987" s="3">
        <v>2</v>
      </c>
      <c r="AD987" s="3">
        <v>28.568000000000001</v>
      </c>
      <c r="AE987" s="3">
        <v>14.672000000000001</v>
      </c>
      <c r="AF987" s="3">
        <v>12.916</v>
      </c>
      <c r="AG987" s="3">
        <v>8.0540000000000003</v>
      </c>
      <c r="AH987" s="3">
        <v>2.5609999999999999</v>
      </c>
      <c r="AI987" s="3" t="s">
        <v>81</v>
      </c>
      <c r="AJ987" s="3" t="s">
        <v>81</v>
      </c>
      <c r="AK987" s="3" t="s">
        <v>81</v>
      </c>
      <c r="AL987" s="3" t="s">
        <v>81</v>
      </c>
      <c r="AM987" s="3" t="s">
        <v>81</v>
      </c>
      <c r="AN987" s="3">
        <v>2</v>
      </c>
      <c r="AO987" s="3">
        <v>27.86</v>
      </c>
      <c r="AP987" s="3">
        <v>16.349</v>
      </c>
      <c r="AQ987" s="3">
        <v>10.946999999999999</v>
      </c>
      <c r="AR987" s="3" t="s">
        <v>81</v>
      </c>
      <c r="AS987" s="3" t="s">
        <v>81</v>
      </c>
      <c r="AT987" s="3" t="s">
        <v>81</v>
      </c>
      <c r="AU987" s="3" t="s">
        <v>81</v>
      </c>
      <c r="AV987" s="3" t="s">
        <v>81</v>
      </c>
      <c r="AW987" s="3" t="s">
        <v>81</v>
      </c>
      <c r="AX987" s="3" t="s">
        <v>81</v>
      </c>
      <c r="AY987" s="3">
        <v>2</v>
      </c>
      <c r="AZ987" s="3">
        <v>30.997</v>
      </c>
      <c r="BA987" s="3" t="s">
        <v>81</v>
      </c>
      <c r="BB987" s="3">
        <v>12.435</v>
      </c>
      <c r="BC987" s="3">
        <v>5.7569999999999997</v>
      </c>
      <c r="BD987" s="3" t="s">
        <v>81</v>
      </c>
      <c r="BE987" s="3" t="s">
        <v>81</v>
      </c>
      <c r="BF987" s="3" t="s">
        <v>81</v>
      </c>
      <c r="BG987" s="3" t="s">
        <v>81</v>
      </c>
      <c r="BH987" s="3" t="s">
        <v>81</v>
      </c>
      <c r="BI987" s="3" t="s">
        <v>84</v>
      </c>
      <c r="BJ987" s="3" t="s">
        <v>82</v>
      </c>
      <c r="BK987" s="3" t="s">
        <v>83</v>
      </c>
      <c r="BL987" s="3" t="s">
        <v>84</v>
      </c>
      <c r="BM987" s="3" t="s">
        <v>84</v>
      </c>
      <c r="BN987" s="3" t="s">
        <v>82</v>
      </c>
      <c r="BO987" s="3" t="s">
        <v>83</v>
      </c>
      <c r="BP987" s="3" t="s">
        <v>81</v>
      </c>
      <c r="BQ987" s="3" t="s">
        <v>81</v>
      </c>
      <c r="BR987" s="3" t="s">
        <v>81</v>
      </c>
      <c r="BS987" s="3" t="s">
        <v>81</v>
      </c>
      <c r="BT987" s="3" t="s">
        <v>81</v>
      </c>
      <c r="BU987" s="3" t="s">
        <v>81</v>
      </c>
      <c r="BV987" s="3" t="s">
        <v>82</v>
      </c>
      <c r="BW987" s="3" t="s">
        <v>91</v>
      </c>
      <c r="BX987" s="3" t="s">
        <v>82</v>
      </c>
      <c r="BY987" s="3" t="s">
        <v>530</v>
      </c>
      <c r="BZ987" s="3" t="s">
        <v>93</v>
      </c>
    </row>
    <row r="988" spans="1:78" ht="15.75" hidden="1" customHeight="1" x14ac:dyDescent="0.15"/>
    <row r="989" spans="1:78" ht="15.75" hidden="1" customHeight="1" x14ac:dyDescent="0.15"/>
    <row r="990" spans="1:78" ht="15.75" hidden="1" customHeight="1" x14ac:dyDescent="0.15"/>
    <row r="991" spans="1:78" ht="15.75" hidden="1" customHeight="1" x14ac:dyDescent="0.15"/>
    <row r="992" spans="1:78" ht="15.75" hidden="1" customHeight="1" x14ac:dyDescent="0.15"/>
    <row r="993" spans="1:3" ht="15.75" hidden="1" customHeight="1" x14ac:dyDescent="0.15"/>
    <row r="994" spans="1:3" ht="15.75" hidden="1" customHeight="1" x14ac:dyDescent="0.15"/>
    <row r="995" spans="1:3" ht="15.75" hidden="1" customHeight="1" x14ac:dyDescent="0.15"/>
    <row r="996" spans="1:3" ht="15.75" hidden="1" customHeight="1" x14ac:dyDescent="0.15"/>
    <row r="997" spans="1:3" ht="15.75" hidden="1" customHeight="1" x14ac:dyDescent="0.15"/>
    <row r="998" spans="1:3" ht="15.75" hidden="1" customHeight="1" x14ac:dyDescent="0.15"/>
    <row r="999" spans="1:3" ht="15.75" hidden="1" customHeight="1" x14ac:dyDescent="0.15"/>
    <row r="1000" spans="1:3" ht="15.75" customHeight="1" x14ac:dyDescent="0.15">
      <c r="A1000" s="3"/>
      <c r="B1000" s="3"/>
      <c r="C1000" s="3"/>
    </row>
    <row r="1001" spans="1:3" ht="15.75" customHeight="1" x14ac:dyDescent="0.15">
      <c r="A1001" s="3"/>
      <c r="B1001" s="3"/>
      <c r="C1001" s="3"/>
    </row>
    <row r="1002" spans="1:3" ht="15.75" customHeight="1" x14ac:dyDescent="0.15">
      <c r="A1002" s="3"/>
      <c r="B1002" s="3"/>
      <c r="C1002" s="3"/>
    </row>
    <row r="1003" spans="1:3" ht="15.75" customHeight="1" x14ac:dyDescent="0.15">
      <c r="A1003" s="3"/>
      <c r="B1003" s="3"/>
      <c r="C1003" s="3"/>
    </row>
    <row r="1004" spans="1:3" ht="15.75" customHeight="1" x14ac:dyDescent="0.15">
      <c r="A1004" s="3"/>
      <c r="B1004" s="3"/>
      <c r="C1004" s="3"/>
    </row>
    <row r="1005" spans="1:3" ht="15.75" customHeight="1" x14ac:dyDescent="0.15">
      <c r="A1005" s="3"/>
      <c r="B1005" s="3"/>
      <c r="C1005" s="3"/>
    </row>
    <row r="1006" spans="1:3" ht="15.75" customHeight="1" x14ac:dyDescent="0.15">
      <c r="A1006" s="3"/>
      <c r="B1006" s="3"/>
      <c r="C1006" s="3"/>
    </row>
    <row r="1007" spans="1:3" ht="15.75" customHeight="1" x14ac:dyDescent="0.15">
      <c r="A1007" s="3"/>
      <c r="B1007" s="3"/>
      <c r="C1007" s="3"/>
    </row>
    <row r="1008" spans="1:3" ht="15.75" customHeight="1" x14ac:dyDescent="0.15">
      <c r="A1008" s="3"/>
      <c r="B1008" s="3"/>
      <c r="C1008" s="3"/>
    </row>
    <row r="1009" spans="1:3" ht="15.75" customHeight="1" x14ac:dyDescent="0.15">
      <c r="A1009" s="3"/>
      <c r="B1009" s="3"/>
      <c r="C1009" s="3"/>
    </row>
  </sheetData>
  <autoFilter ref="A1:CH999" xr:uid="{00000000-0001-0000-0000-000000000000}">
    <filterColumn colId="79">
      <customFilters>
        <customFilter operator="notEqual" val=" "/>
      </customFilters>
    </filterColumn>
    <sortState xmlns:xlrd2="http://schemas.microsoft.com/office/spreadsheetml/2017/richdata2" ref="A7:CH314">
      <sortCondition ref="C1:C999"/>
    </sortState>
  </autoFilter>
  <dataValidations count="2">
    <dataValidation type="list" allowBlank="1" sqref="BW25:BW27 BW2:BW23 BW29:BW256 BW258:BW302 BW313:BW987" xr:uid="{00000000-0002-0000-0000-000000000000}">
      <formula1>"Longer,Shorter,NA"</formula1>
    </dataValidation>
    <dataValidation type="list" allowBlank="1" sqref="BV24:BX24 BO257 BI258:BI282 BI284 BJ258:BK285 BJ314:BO987 BJ287 BI314 BI316:BI987 BX25:BX27 BV25:BV27 BI289:BJ289 BI2:BO27 BX2:BX23 BV2:BV23 BI29:BO256 BX29:BX256 BV29:BV256 BK287:BK289 BL258:BO289 BX258:BX302 BV258:BV302 BI290:BO302 BI313:BO313 BX313:BX987 BV313:BV987" xr:uid="{00000000-0002-0000-0000-000001000000}">
      <formula1>"Y,N,NA"</formula1>
    </dataValidation>
  </dataValidations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phylo_species</vt:lpstr>
      <vt:lpstr>hidden 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Chiara Smythies</cp:lastModifiedBy>
  <dcterms:modified xsi:type="dcterms:W3CDTF">2025-06-02T17:58:46Z</dcterms:modified>
</cp:coreProperties>
</file>